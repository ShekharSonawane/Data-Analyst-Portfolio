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boffoodspvtltd-my.sharepoint.com/personal/shekhar_sonawane_twobrothersindia_com/Documents/Desktop/Data-Analyst-Portfolio/Excel-Dashboards/"/>
    </mc:Choice>
  </mc:AlternateContent>
  <xr:revisionPtr revIDLastSave="0" documentId="8_{11613137-27BA-4FF8-9BF5-40E524BD0D14}" xr6:coauthVersionLast="47" xr6:coauthVersionMax="47" xr10:uidLastSave="{00000000-0000-0000-0000-000000000000}"/>
  <bookViews>
    <workbookView xWindow="-110" yWindow="-110" windowWidth="25820" windowHeight="15500" xr2:uid="{B713219C-19CC-4E51-9642-4867D5A00D05}"/>
  </bookViews>
  <sheets>
    <sheet name="Dashboard" sheetId="1" r:id="rId1"/>
    <sheet name="Summary" sheetId="2" r:id="rId2"/>
    <sheet name="Domestic" sheetId="3" r:id="rId3"/>
    <sheet name="INT-_Manjiri" sheetId="4" r:id="rId4"/>
    <sheet name="USA-_Sea_shipment" sheetId="5" r:id="rId5"/>
    <sheet name="MENA" sheetId="6" r:id="rId6"/>
    <sheet name="Amazon_USA_Sea" sheetId="7" r:id="rId7"/>
    <sheet name="USA_Air_Shipment" sheetId="8" r:id="rId8"/>
    <sheet name="Amazon_USA_Air_Shipment" sheetId="9" r:id="rId9"/>
    <sheet name="BMM_Order" sheetId="10" state="hidden" r:id="rId10"/>
    <sheet name="Adhoc-_Backlog" sheetId="11" r:id="rId11"/>
    <sheet name="UK" sheetId="12" state="hidden" r:id="rId12"/>
    <sheet name="Projection_" sheetId="13" r:id="rId13"/>
    <sheet name="Production_(KG)" sheetId="14" state="hidden" r:id="rId14"/>
    <sheet name="Box_Packing" sheetId="15" r:id="rId15"/>
    <sheet name="Report" sheetId="16" r:id="rId16"/>
    <sheet name="Raw_Data" sheetId="17" r:id="rId17"/>
    <sheet name="Reports" sheetId="18" r:id="rId18"/>
    <sheet name="BI_Data" sheetId="19" state="hidden" r:id="rId19"/>
    <sheet name="BI_Channel" sheetId="20" state="hidden" r:id="rId20"/>
    <sheet name="BI_ReadMe" sheetId="21" state="hidden" r:id="rId21"/>
  </sheets>
  <definedNames>
    <definedName name="_xlnm._FilterDatabase" localSheetId="10" hidden="1">'Adhoc-_Backlog'!$A$2:$BH$22</definedName>
    <definedName name="_xlnm._FilterDatabase" localSheetId="8" hidden="1">Amazon_USA_Air_Shipment!$A$2:$BA$22</definedName>
    <definedName name="_xlnm._FilterDatabase" localSheetId="6" hidden="1">Amazon_USA_Sea!$A$2:$AY$19</definedName>
    <definedName name="_xlnm._FilterDatabase" localSheetId="9" hidden="1">BMM_Order!$A$2:$BE$22</definedName>
    <definedName name="_xlnm._FilterDatabase" localSheetId="2" hidden="1">Domestic!$A$2:$AZ$2</definedName>
    <definedName name="_xlnm._FilterDatabase" localSheetId="3" hidden="1">'INT-_Manjiri'!$A$2:$AY$22</definedName>
    <definedName name="_xlnm._FilterDatabase" localSheetId="5" hidden="1">MENA!$A$2:$BA$22</definedName>
    <definedName name="_xlnm._FilterDatabase" localSheetId="12" hidden="1">Projection_!$A$3:$AC$20</definedName>
    <definedName name="_xlnm._FilterDatabase" localSheetId="1" hidden="1">Summary!$A$2:$BL$2</definedName>
    <definedName name="_xlnm._FilterDatabase" localSheetId="7" hidden="1">USA_Air_Shipment!$A$2:$BA$22</definedName>
    <definedName name="_xlnm._FilterDatabase" localSheetId="4" hidden="1">'USA-_Sea_shipment'!$A$2:$AY$21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5" i="18" l="1"/>
  <c r="E74" i="18"/>
  <c r="E73" i="18"/>
  <c r="E72" i="18"/>
  <c r="E71" i="18"/>
  <c r="E70" i="18"/>
  <c r="E69" i="18"/>
  <c r="E68" i="18"/>
  <c r="J67" i="18"/>
  <c r="I67" i="18"/>
  <c r="H67" i="18"/>
  <c r="G67" i="18"/>
  <c r="E67" i="18"/>
  <c r="D67" i="18"/>
  <c r="C67" i="18"/>
  <c r="E66" i="18"/>
  <c r="F65" i="18"/>
  <c r="E65" i="18"/>
  <c r="C65" i="18"/>
  <c r="E64" i="18"/>
  <c r="J63" i="18"/>
  <c r="I63" i="18"/>
  <c r="H63" i="18"/>
  <c r="G63" i="18"/>
  <c r="E63" i="18"/>
  <c r="D63" i="18"/>
  <c r="C63" i="18"/>
  <c r="E62" i="18"/>
  <c r="E61" i="18"/>
  <c r="E60" i="18"/>
  <c r="E59" i="18"/>
  <c r="I18" i="16"/>
  <c r="A18" i="16"/>
  <c r="I17" i="16"/>
  <c r="A17" i="16"/>
  <c r="I16" i="16"/>
  <c r="A16" i="16"/>
  <c r="I15" i="16"/>
  <c r="A15" i="16"/>
  <c r="I14" i="16"/>
  <c r="A14" i="16"/>
  <c r="I13" i="16"/>
  <c r="A13" i="16"/>
  <c r="I12" i="16"/>
  <c r="A12" i="16"/>
  <c r="I11" i="16"/>
  <c r="A11" i="16"/>
  <c r="I10" i="16"/>
  <c r="A10" i="16"/>
  <c r="I9" i="16"/>
  <c r="A9" i="16"/>
  <c r="I8" i="16"/>
  <c r="A8" i="16"/>
  <c r="I7" i="16"/>
  <c r="A7" i="16"/>
  <c r="I6" i="16"/>
  <c r="A6" i="16"/>
  <c r="I5" i="16"/>
  <c r="A5" i="16"/>
  <c r="I4" i="16"/>
  <c r="A4" i="16"/>
  <c r="I3" i="16"/>
  <c r="A3" i="16"/>
  <c r="I2" i="16"/>
  <c r="A2" i="16"/>
  <c r="D18" i="15"/>
  <c r="C18" i="15"/>
  <c r="B18" i="15"/>
  <c r="A18" i="15"/>
  <c r="D17" i="15"/>
  <c r="C17" i="15"/>
  <c r="B17" i="15"/>
  <c r="F17" i="15" s="1"/>
  <c r="A17" i="15"/>
  <c r="D16" i="15"/>
  <c r="C16" i="15"/>
  <c r="B16" i="15"/>
  <c r="A16" i="15"/>
  <c r="D15" i="15"/>
  <c r="C15" i="15"/>
  <c r="B15" i="15"/>
  <c r="A15" i="15"/>
  <c r="G14" i="15"/>
  <c r="F14" i="15"/>
  <c r="D14" i="15"/>
  <c r="C14" i="15"/>
  <c r="B14" i="15"/>
  <c r="A14" i="15"/>
  <c r="F13" i="15"/>
  <c r="D13" i="15"/>
  <c r="C13" i="15"/>
  <c r="B13" i="15"/>
  <c r="A13" i="15"/>
  <c r="D12" i="15"/>
  <c r="C12" i="15"/>
  <c r="B12" i="15"/>
  <c r="A12" i="15"/>
  <c r="G11" i="15"/>
  <c r="F11" i="15"/>
  <c r="D11" i="15"/>
  <c r="C11" i="15"/>
  <c r="B11" i="15"/>
  <c r="A11" i="15"/>
  <c r="G10" i="15"/>
  <c r="D10" i="15"/>
  <c r="C10" i="15"/>
  <c r="B10" i="15"/>
  <c r="F10" i="15" s="1"/>
  <c r="A10" i="15"/>
  <c r="G9" i="15"/>
  <c r="F9" i="15"/>
  <c r="D9" i="15"/>
  <c r="C9" i="15"/>
  <c r="B9" i="15"/>
  <c r="A9" i="15"/>
  <c r="G8" i="15"/>
  <c r="F8" i="15"/>
  <c r="D8" i="15"/>
  <c r="C8" i="15"/>
  <c r="B8" i="15"/>
  <c r="A8" i="15"/>
  <c r="D7" i="15"/>
  <c r="C7" i="15"/>
  <c r="B7" i="15"/>
  <c r="G7" i="15" s="1"/>
  <c r="A7" i="15"/>
  <c r="F6" i="15"/>
  <c r="D6" i="15"/>
  <c r="C6" i="15"/>
  <c r="B6" i="15"/>
  <c r="G6" i="15" s="1"/>
  <c r="A6" i="15"/>
  <c r="F5" i="15"/>
  <c r="D5" i="15"/>
  <c r="C5" i="15"/>
  <c r="B5" i="15"/>
  <c r="A5" i="15"/>
  <c r="D4" i="15"/>
  <c r="C4" i="15"/>
  <c r="B4" i="15"/>
  <c r="A4" i="15"/>
  <c r="G3" i="15"/>
  <c r="F3" i="15"/>
  <c r="D3" i="15"/>
  <c r="C3" i="15"/>
  <c r="B3" i="15"/>
  <c r="A3" i="15"/>
  <c r="G2" i="15"/>
  <c r="D2" i="15"/>
  <c r="C2" i="15"/>
  <c r="B2" i="15"/>
  <c r="F2" i="15" s="1"/>
  <c r="A2" i="15"/>
  <c r="AZ20" i="14"/>
  <c r="AY20" i="14"/>
  <c r="AX20" i="14"/>
  <c r="AW20" i="14"/>
  <c r="AN20" i="14"/>
  <c r="AM20" i="14"/>
  <c r="AL20" i="14"/>
  <c r="AK20" i="14"/>
  <c r="AJ20" i="14"/>
  <c r="AI20" i="14"/>
  <c r="AH20" i="14"/>
  <c r="AD20" i="14"/>
  <c r="AC20" i="14"/>
  <c r="AB20" i="14"/>
  <c r="AA20" i="14"/>
  <c r="Z20" i="14"/>
  <c r="Y20" i="14"/>
  <c r="X20" i="14"/>
  <c r="AZ19" i="14"/>
  <c r="AY19" i="14"/>
  <c r="AX19" i="14"/>
  <c r="AW19" i="14"/>
  <c r="AN19" i="14"/>
  <c r="AM19" i="14"/>
  <c r="AL19" i="14"/>
  <c r="AK19" i="14"/>
  <c r="AJ19" i="14"/>
  <c r="AI19" i="14"/>
  <c r="AH19" i="14"/>
  <c r="AD19" i="14"/>
  <c r="AC19" i="14"/>
  <c r="AB19" i="14"/>
  <c r="AA19" i="14"/>
  <c r="Z19" i="14"/>
  <c r="Y19" i="14"/>
  <c r="X19" i="14"/>
  <c r="AZ18" i="14"/>
  <c r="AY18" i="14"/>
  <c r="AX18" i="14"/>
  <c r="AW18" i="14"/>
  <c r="AN18" i="14"/>
  <c r="AM18" i="14"/>
  <c r="AL18" i="14"/>
  <c r="AK18" i="14"/>
  <c r="AJ18" i="14"/>
  <c r="AI18" i="14"/>
  <c r="AH18" i="14"/>
  <c r="AD18" i="14"/>
  <c r="AC18" i="14"/>
  <c r="AB18" i="14"/>
  <c r="AA18" i="14"/>
  <c r="Z18" i="14"/>
  <c r="Y18" i="14"/>
  <c r="X18" i="14"/>
  <c r="AZ17" i="14"/>
  <c r="AY17" i="14"/>
  <c r="AX17" i="14"/>
  <c r="AW17" i="14"/>
  <c r="AN17" i="14"/>
  <c r="AM17" i="14"/>
  <c r="AL17" i="14"/>
  <c r="AK17" i="14"/>
  <c r="AJ17" i="14"/>
  <c r="AI17" i="14"/>
  <c r="AH17" i="14"/>
  <c r="AD17" i="14"/>
  <c r="AC17" i="14"/>
  <c r="AB17" i="14"/>
  <c r="AA17" i="14"/>
  <c r="Z17" i="14"/>
  <c r="Y17" i="14"/>
  <c r="X17" i="14"/>
  <c r="AZ16" i="14"/>
  <c r="AY16" i="14"/>
  <c r="AX16" i="14"/>
  <c r="AW16" i="14"/>
  <c r="AN16" i="14"/>
  <c r="AM16" i="14"/>
  <c r="AL16" i="14"/>
  <c r="AK16" i="14"/>
  <c r="AJ16" i="14"/>
  <c r="AI16" i="14"/>
  <c r="AH16" i="14"/>
  <c r="AD16" i="14"/>
  <c r="AC16" i="14"/>
  <c r="AB16" i="14"/>
  <c r="AA16" i="14"/>
  <c r="Z16" i="14"/>
  <c r="Y16" i="14"/>
  <c r="X16" i="14"/>
  <c r="AZ15" i="14"/>
  <c r="AY15" i="14"/>
  <c r="AX15" i="14"/>
  <c r="AW15" i="14"/>
  <c r="AN15" i="14"/>
  <c r="AM15" i="14"/>
  <c r="AL15" i="14"/>
  <c r="AK15" i="14"/>
  <c r="AJ15" i="14"/>
  <c r="AI15" i="14"/>
  <c r="AH15" i="14"/>
  <c r="AD15" i="14"/>
  <c r="AC15" i="14"/>
  <c r="AB15" i="14"/>
  <c r="AA15" i="14"/>
  <c r="Z15" i="14"/>
  <c r="Y15" i="14"/>
  <c r="X15" i="14"/>
  <c r="AZ14" i="14"/>
  <c r="AY14" i="14"/>
  <c r="AX14" i="14"/>
  <c r="AW14" i="14"/>
  <c r="AN14" i="14"/>
  <c r="AM14" i="14"/>
  <c r="AL14" i="14"/>
  <c r="AK14" i="14"/>
  <c r="AJ14" i="14"/>
  <c r="AI14" i="14"/>
  <c r="AH14" i="14"/>
  <c r="AD14" i="14"/>
  <c r="AC14" i="14"/>
  <c r="AB14" i="14"/>
  <c r="AA14" i="14"/>
  <c r="Z14" i="14"/>
  <c r="Y14" i="14"/>
  <c r="X14" i="14"/>
  <c r="AZ13" i="14"/>
  <c r="AY13" i="14"/>
  <c r="AX13" i="14"/>
  <c r="AW13" i="14"/>
  <c r="AV13" i="14"/>
  <c r="AU13" i="14"/>
  <c r="AT13" i="14"/>
  <c r="AS13" i="14"/>
  <c r="AR13" i="14"/>
  <c r="AN13" i="14"/>
  <c r="AM13" i="14"/>
  <c r="AL13" i="14"/>
  <c r="AK13" i="14"/>
  <c r="AJ13" i="14"/>
  <c r="AI13" i="14"/>
  <c r="AH13" i="14"/>
  <c r="AD13" i="14"/>
  <c r="AC13" i="14"/>
  <c r="AB13" i="14"/>
  <c r="AA13" i="14"/>
  <c r="Z13" i="14"/>
  <c r="Y13" i="14"/>
  <c r="X13" i="14"/>
  <c r="AZ12" i="14"/>
  <c r="AY12" i="14"/>
  <c r="AX12" i="14"/>
  <c r="AW12" i="14"/>
  <c r="AN12" i="14"/>
  <c r="AM12" i="14"/>
  <c r="AL12" i="14"/>
  <c r="AK12" i="14"/>
  <c r="AJ12" i="14"/>
  <c r="AI12" i="14"/>
  <c r="AH12" i="14"/>
  <c r="AD12" i="14"/>
  <c r="AC12" i="14"/>
  <c r="AB12" i="14"/>
  <c r="AA12" i="14"/>
  <c r="AE12" i="14" s="1"/>
  <c r="AF12" i="14" s="1"/>
  <c r="Z12" i="14"/>
  <c r="Y12" i="14"/>
  <c r="X12" i="14"/>
  <c r="AZ11" i="14"/>
  <c r="AY11" i="14"/>
  <c r="AX11" i="14"/>
  <c r="AW11" i="14"/>
  <c r="AN11" i="14"/>
  <c r="AM11" i="14"/>
  <c r="AL11" i="14"/>
  <c r="AK11" i="14"/>
  <c r="AJ11" i="14"/>
  <c r="AI11" i="14"/>
  <c r="AH11" i="14"/>
  <c r="AD11" i="14"/>
  <c r="AC11" i="14"/>
  <c r="AB11" i="14"/>
  <c r="AA11" i="14"/>
  <c r="Z11" i="14"/>
  <c r="Y11" i="14"/>
  <c r="X11" i="14"/>
  <c r="AZ10" i="14"/>
  <c r="AY10" i="14"/>
  <c r="AX10" i="14"/>
  <c r="AW10" i="14"/>
  <c r="AN10" i="14"/>
  <c r="AM10" i="14"/>
  <c r="AL10" i="14"/>
  <c r="AK10" i="14"/>
  <c r="AJ10" i="14"/>
  <c r="AI10" i="14"/>
  <c r="AH10" i="14"/>
  <c r="AD10" i="14"/>
  <c r="AC10" i="14"/>
  <c r="AB10" i="14"/>
  <c r="AA10" i="14"/>
  <c r="Z10" i="14"/>
  <c r="Y10" i="14"/>
  <c r="X10" i="14"/>
  <c r="AZ9" i="14"/>
  <c r="AY9" i="14"/>
  <c r="AX9" i="14"/>
  <c r="AW9" i="14"/>
  <c r="AN9" i="14"/>
  <c r="AM9" i="14"/>
  <c r="AL9" i="14"/>
  <c r="AK9" i="14"/>
  <c r="AJ9" i="14"/>
  <c r="AI9" i="14"/>
  <c r="AH9" i="14"/>
  <c r="AD9" i="14"/>
  <c r="AC9" i="14"/>
  <c r="AB9" i="14"/>
  <c r="AA9" i="14"/>
  <c r="Z9" i="14"/>
  <c r="Y9" i="14"/>
  <c r="X9" i="14"/>
  <c r="AZ8" i="14"/>
  <c r="AY8" i="14"/>
  <c r="AX8" i="14"/>
  <c r="AW8" i="14"/>
  <c r="AN8" i="14"/>
  <c r="AM8" i="14"/>
  <c r="AL8" i="14"/>
  <c r="AK8" i="14"/>
  <c r="AJ8" i="14"/>
  <c r="AI8" i="14"/>
  <c r="AH8" i="14"/>
  <c r="AD8" i="14"/>
  <c r="AC8" i="14"/>
  <c r="AB8" i="14"/>
  <c r="AA8" i="14"/>
  <c r="Z8" i="14"/>
  <c r="Y8" i="14"/>
  <c r="X8" i="14"/>
  <c r="AZ7" i="14"/>
  <c r="AY7" i="14"/>
  <c r="AX7" i="14"/>
  <c r="AW7" i="14"/>
  <c r="AN7" i="14"/>
  <c r="AM7" i="14"/>
  <c r="AL7" i="14"/>
  <c r="AK7" i="14"/>
  <c r="AJ7" i="14"/>
  <c r="AI7" i="14"/>
  <c r="AH7" i="14"/>
  <c r="AD7" i="14"/>
  <c r="AC7" i="14"/>
  <c r="AB7" i="14"/>
  <c r="AA7" i="14"/>
  <c r="Z7" i="14"/>
  <c r="Y7" i="14"/>
  <c r="X7" i="14"/>
  <c r="AZ6" i="14"/>
  <c r="AY6" i="14"/>
  <c r="AX6" i="14"/>
  <c r="AW6" i="14"/>
  <c r="AN6" i="14"/>
  <c r="AM6" i="14"/>
  <c r="AL6" i="14"/>
  <c r="AK6" i="14"/>
  <c r="AJ6" i="14"/>
  <c r="AI6" i="14"/>
  <c r="AH6" i="14"/>
  <c r="AD6" i="14"/>
  <c r="AC6" i="14"/>
  <c r="AB6" i="14"/>
  <c r="AA6" i="14"/>
  <c r="Z6" i="14"/>
  <c r="Y6" i="14"/>
  <c r="X6" i="14"/>
  <c r="AZ5" i="14"/>
  <c r="AY5" i="14"/>
  <c r="AX5" i="14"/>
  <c r="AW5" i="14"/>
  <c r="AN5" i="14"/>
  <c r="AM5" i="14"/>
  <c r="AL5" i="14"/>
  <c r="AK5" i="14"/>
  <c r="AJ5" i="14"/>
  <c r="AI5" i="14"/>
  <c r="AH5" i="14"/>
  <c r="AD5" i="14"/>
  <c r="AC5" i="14"/>
  <c r="AB5" i="14"/>
  <c r="AA5" i="14"/>
  <c r="Z5" i="14"/>
  <c r="Y5" i="14"/>
  <c r="X5" i="14"/>
  <c r="AZ4" i="14"/>
  <c r="AY4" i="14"/>
  <c r="AX4" i="14"/>
  <c r="AW4" i="14"/>
  <c r="AN4" i="14"/>
  <c r="AM4" i="14"/>
  <c r="AL4" i="14"/>
  <c r="AK4" i="14"/>
  <c r="AJ4" i="14"/>
  <c r="AI4" i="14"/>
  <c r="AH4" i="14"/>
  <c r="AD4" i="14"/>
  <c r="AC4" i="14"/>
  <c r="AB4" i="14"/>
  <c r="AA4" i="14"/>
  <c r="AE4" i="14" s="1"/>
  <c r="AF4" i="14" s="1"/>
  <c r="Z4" i="14"/>
  <c r="Y4" i="14"/>
  <c r="X4" i="14"/>
  <c r="AZ3" i="14"/>
  <c r="AY3" i="14"/>
  <c r="AX3" i="14"/>
  <c r="AW3" i="14"/>
  <c r="AN3" i="14"/>
  <c r="AM3" i="14"/>
  <c r="AL3" i="14"/>
  <c r="AK3" i="14"/>
  <c r="AJ3" i="14"/>
  <c r="AI3" i="14"/>
  <c r="AH3" i="14"/>
  <c r="AD3" i="14"/>
  <c r="AC3" i="14"/>
  <c r="AB3" i="14"/>
  <c r="Z3" i="14"/>
  <c r="Y3" i="14"/>
  <c r="X3" i="14"/>
  <c r="F21" i="12"/>
  <c r="F20" i="12"/>
  <c r="F19" i="12"/>
  <c r="F18" i="12"/>
  <c r="F17" i="12"/>
  <c r="F16" i="12"/>
  <c r="F15" i="12"/>
  <c r="F14" i="12"/>
  <c r="F13" i="12"/>
  <c r="F12" i="12"/>
  <c r="F11" i="12"/>
  <c r="F10" i="12"/>
  <c r="F9" i="12"/>
  <c r="F8" i="12"/>
  <c r="F7" i="12"/>
  <c r="F6" i="12"/>
  <c r="F5" i="12"/>
  <c r="F4" i="12"/>
  <c r="F3" i="12"/>
  <c r="H21" i="11"/>
  <c r="H20" i="11"/>
  <c r="H19" i="11"/>
  <c r="H18" i="11"/>
  <c r="H17" i="11"/>
  <c r="H16" i="11"/>
  <c r="H15" i="11"/>
  <c r="H14" i="11"/>
  <c r="H13" i="11"/>
  <c r="H12" i="11"/>
  <c r="H11" i="11"/>
  <c r="H10" i="11"/>
  <c r="H9" i="11"/>
  <c r="H8" i="11"/>
  <c r="H7" i="11"/>
  <c r="H6" i="11"/>
  <c r="H5" i="11"/>
  <c r="H4" i="11"/>
  <c r="H3" i="11"/>
  <c r="F21" i="10"/>
  <c r="P21" i="10" s="1"/>
  <c r="F20" i="10"/>
  <c r="F19" i="10"/>
  <c r="F18" i="10"/>
  <c r="F17" i="10"/>
  <c r="F16" i="10"/>
  <c r="F15" i="10"/>
  <c r="F14" i="10"/>
  <c r="F13" i="10"/>
  <c r="F12" i="10"/>
  <c r="F11" i="10"/>
  <c r="F10" i="10"/>
  <c r="F9" i="10"/>
  <c r="F8" i="10"/>
  <c r="F7" i="10"/>
  <c r="F6" i="10"/>
  <c r="F5" i="10"/>
  <c r="F4" i="10"/>
  <c r="F3" i="10"/>
  <c r="F21" i="9"/>
  <c r="F20" i="9"/>
  <c r="AU20" i="9" s="1"/>
  <c r="F19" i="9"/>
  <c r="F18" i="9"/>
  <c r="F17" i="9"/>
  <c r="F16" i="9"/>
  <c r="F15" i="9"/>
  <c r="F14" i="9"/>
  <c r="F13" i="9"/>
  <c r="F11" i="9"/>
  <c r="F10" i="9"/>
  <c r="F9" i="9"/>
  <c r="F8" i="9"/>
  <c r="F7" i="9"/>
  <c r="F6" i="9"/>
  <c r="F5" i="9"/>
  <c r="F4" i="9"/>
  <c r="F3" i="9"/>
  <c r="G1" i="9"/>
  <c r="F21" i="8"/>
  <c r="F20" i="8"/>
  <c r="AV20" i="8" s="1"/>
  <c r="F19" i="8"/>
  <c r="F18" i="8"/>
  <c r="F17" i="8"/>
  <c r="F16" i="8"/>
  <c r="F15" i="8"/>
  <c r="F14" i="8"/>
  <c r="F13" i="8"/>
  <c r="F11" i="8"/>
  <c r="F10" i="8"/>
  <c r="F9" i="8"/>
  <c r="F8" i="8"/>
  <c r="F7" i="8"/>
  <c r="F6" i="8"/>
  <c r="F5" i="8"/>
  <c r="F4" i="8"/>
  <c r="F3" i="8"/>
  <c r="E19" i="7"/>
  <c r="D19" i="7"/>
  <c r="C19" i="7"/>
  <c r="F19" i="7" s="1"/>
  <c r="B19" i="7"/>
  <c r="D18" i="7"/>
  <c r="C18" i="7"/>
  <c r="B18" i="7" s="1"/>
  <c r="E17" i="7"/>
  <c r="D17" i="7"/>
  <c r="C17" i="7"/>
  <c r="F17" i="7" s="1"/>
  <c r="B17" i="7"/>
  <c r="F16" i="7"/>
  <c r="D16" i="7"/>
  <c r="C16" i="7"/>
  <c r="E15" i="7"/>
  <c r="D15" i="7"/>
  <c r="C15" i="7"/>
  <c r="F15" i="7" s="1"/>
  <c r="E14" i="7"/>
  <c r="D14" i="7"/>
  <c r="C14" i="7"/>
  <c r="F14" i="7" s="1"/>
  <c r="D13" i="7"/>
  <c r="C13" i="7"/>
  <c r="F12" i="7"/>
  <c r="D12" i="7"/>
  <c r="C12" i="7"/>
  <c r="E12" i="7" s="1"/>
  <c r="AU12" i="7" s="1"/>
  <c r="D11" i="7"/>
  <c r="C11" i="7"/>
  <c r="E10" i="7"/>
  <c r="D10" i="7"/>
  <c r="C10" i="7"/>
  <c r="F10" i="7" s="1"/>
  <c r="B10" i="7"/>
  <c r="F9" i="7"/>
  <c r="D9" i="7"/>
  <c r="C9" i="7"/>
  <c r="E9" i="7" s="1"/>
  <c r="B9" i="7"/>
  <c r="F8" i="7"/>
  <c r="E8" i="7"/>
  <c r="D8" i="7"/>
  <c r="C8" i="7"/>
  <c r="B8" i="7"/>
  <c r="E7" i="7"/>
  <c r="D7" i="7"/>
  <c r="C7" i="7"/>
  <c r="F7" i="7" s="1"/>
  <c r="B7" i="7"/>
  <c r="D6" i="7"/>
  <c r="C6" i="7"/>
  <c r="AD15" i="2" s="1"/>
  <c r="B6" i="7"/>
  <c r="F5" i="7"/>
  <c r="E5" i="7"/>
  <c r="D5" i="7"/>
  <c r="C5" i="7"/>
  <c r="B5" i="7"/>
  <c r="D4" i="7"/>
  <c r="C4" i="7"/>
  <c r="E3" i="7"/>
  <c r="D3" i="7"/>
  <c r="C3" i="7"/>
  <c r="F3" i="7" s="1"/>
  <c r="B3" i="7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G20" i="5"/>
  <c r="G19" i="5"/>
  <c r="G18" i="5"/>
  <c r="G17" i="5"/>
  <c r="G16" i="5"/>
  <c r="G15" i="5"/>
  <c r="G14" i="5"/>
  <c r="G12" i="5"/>
  <c r="G11" i="5"/>
  <c r="G10" i="5"/>
  <c r="G9" i="5"/>
  <c r="G8" i="5"/>
  <c r="G7" i="5"/>
  <c r="G6" i="5"/>
  <c r="G5" i="5"/>
  <c r="G4" i="5"/>
  <c r="G3" i="5"/>
  <c r="G21" i="4"/>
  <c r="E21" i="4"/>
  <c r="G20" i="4"/>
  <c r="E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AK19" i="2"/>
  <c r="AE19" i="2"/>
  <c r="AD19" i="2"/>
  <c r="Z19" i="2"/>
  <c r="S19" i="2"/>
  <c r="Q19" i="2"/>
  <c r="E19" i="2"/>
  <c r="D19" i="2"/>
  <c r="AP19" i="2" s="1"/>
  <c r="AK18" i="2"/>
  <c r="AJ18" i="2"/>
  <c r="AE18" i="2"/>
  <c r="AD18" i="2"/>
  <c r="AC18" i="2"/>
  <c r="M18" i="2"/>
  <c r="L18" i="2"/>
  <c r="H18" i="2"/>
  <c r="E18" i="2"/>
  <c r="D18" i="2"/>
  <c r="AO18" i="2" s="1"/>
  <c r="AZ17" i="2"/>
  <c r="AY17" i="2"/>
  <c r="AL17" i="2"/>
  <c r="AK17" i="2"/>
  <c r="AJ17" i="2"/>
  <c r="AE17" i="2"/>
  <c r="AD17" i="2"/>
  <c r="AB17" i="2"/>
  <c r="AA17" i="2"/>
  <c r="T17" i="2"/>
  <c r="K17" i="2"/>
  <c r="I17" i="2"/>
  <c r="H17" i="2"/>
  <c r="E17" i="2"/>
  <c r="D17" i="2"/>
  <c r="N16" i="2"/>
  <c r="M16" i="2"/>
  <c r="K16" i="2"/>
  <c r="J16" i="2"/>
  <c r="I16" i="2"/>
  <c r="H16" i="2"/>
  <c r="E16" i="2"/>
  <c r="D16" i="2"/>
  <c r="BH15" i="2"/>
  <c r="AZ15" i="2"/>
  <c r="AY15" i="2"/>
  <c r="AX15" i="2"/>
  <c r="AU15" i="2"/>
  <c r="AO15" i="2"/>
  <c r="AF15" i="2"/>
  <c r="AE15" i="2"/>
  <c r="AB15" i="2"/>
  <c r="Z15" i="2"/>
  <c r="V15" i="2"/>
  <c r="T15" i="2"/>
  <c r="R15" i="2"/>
  <c r="P15" i="2"/>
  <c r="N15" i="2"/>
  <c r="M15" i="2"/>
  <c r="K15" i="2"/>
  <c r="J15" i="2"/>
  <c r="I15" i="2"/>
  <c r="H15" i="2"/>
  <c r="E15" i="2"/>
  <c r="D15" i="2"/>
  <c r="AY14" i="2"/>
  <c r="AU14" i="2"/>
  <c r="E14" i="2"/>
  <c r="D14" i="2"/>
  <c r="BH13" i="2"/>
  <c r="N13" i="2"/>
  <c r="M13" i="2"/>
  <c r="K13" i="2"/>
  <c r="I13" i="2"/>
  <c r="H13" i="2"/>
  <c r="E13" i="2"/>
  <c r="D13" i="2"/>
  <c r="BH12" i="2"/>
  <c r="BG12" i="2"/>
  <c r="BA12" i="2"/>
  <c r="AZ12" i="2"/>
  <c r="AX12" i="2"/>
  <c r="AW12" i="2"/>
  <c r="AU12" i="2"/>
  <c r="AT12" i="2"/>
  <c r="AP12" i="2"/>
  <c r="AO12" i="2"/>
  <c r="AM12" i="2"/>
  <c r="AL12" i="2"/>
  <c r="AJ12" i="2"/>
  <c r="AC12" i="2"/>
  <c r="AB12" i="2"/>
  <c r="Z12" i="2"/>
  <c r="V12" i="2"/>
  <c r="U12" i="2"/>
  <c r="T12" i="2"/>
  <c r="S12" i="2"/>
  <c r="R12" i="2"/>
  <c r="Q12" i="2"/>
  <c r="N12" i="2"/>
  <c r="M12" i="2"/>
  <c r="L12" i="2"/>
  <c r="K12" i="2"/>
  <c r="J12" i="2"/>
  <c r="I12" i="2"/>
  <c r="E12" i="2"/>
  <c r="D12" i="2"/>
  <c r="BG11" i="2"/>
  <c r="AY11" i="2"/>
  <c r="AX11" i="2"/>
  <c r="AW11" i="2"/>
  <c r="AV11" i="2"/>
  <c r="AU11" i="2"/>
  <c r="AT11" i="2"/>
  <c r="AP11" i="2"/>
  <c r="AO11" i="2"/>
  <c r="AM11" i="2"/>
  <c r="AK11" i="2"/>
  <c r="AJ11" i="2"/>
  <c r="AC11" i="2"/>
  <c r="AA11" i="2"/>
  <c r="V11" i="2"/>
  <c r="U11" i="2"/>
  <c r="T11" i="2"/>
  <c r="S11" i="2"/>
  <c r="R11" i="2"/>
  <c r="P11" i="2"/>
  <c r="N11" i="2"/>
  <c r="J11" i="2"/>
  <c r="H11" i="2"/>
  <c r="E11" i="2"/>
  <c r="D11" i="2"/>
  <c r="AD11" i="2" s="1"/>
  <c r="BH10" i="2"/>
  <c r="BG10" i="2"/>
  <c r="AY10" i="2"/>
  <c r="AX10" i="2"/>
  <c r="AW10" i="2"/>
  <c r="AO10" i="2"/>
  <c r="AN10" i="2"/>
  <c r="AL10" i="2"/>
  <c r="AK10" i="2"/>
  <c r="AB10" i="2"/>
  <c r="AA10" i="2"/>
  <c r="Z10" i="2"/>
  <c r="V10" i="2"/>
  <c r="T10" i="2"/>
  <c r="S10" i="2"/>
  <c r="Q10" i="2"/>
  <c r="P10" i="2"/>
  <c r="N10" i="2"/>
  <c r="M10" i="2"/>
  <c r="K10" i="2"/>
  <c r="I10" i="2"/>
  <c r="H10" i="2"/>
  <c r="E10" i="2"/>
  <c r="D10" i="2"/>
  <c r="BH9" i="2"/>
  <c r="AW9" i="2"/>
  <c r="AV9" i="2"/>
  <c r="AT9" i="2"/>
  <c r="AP9" i="2"/>
  <c r="AO9" i="2"/>
  <c r="AM9" i="2"/>
  <c r="AJ9" i="2"/>
  <c r="AE9" i="2"/>
  <c r="AD9" i="2"/>
  <c r="AA9" i="2"/>
  <c r="V9" i="2"/>
  <c r="T9" i="2"/>
  <c r="R9" i="2"/>
  <c r="Q9" i="2"/>
  <c r="P9" i="2"/>
  <c r="N9" i="2"/>
  <c r="M9" i="2"/>
  <c r="K9" i="2"/>
  <c r="I9" i="2"/>
  <c r="H9" i="2"/>
  <c r="E9" i="2"/>
  <c r="D9" i="2"/>
  <c r="BG8" i="2"/>
  <c r="BA8" i="2"/>
  <c r="AY8" i="2"/>
  <c r="AW8" i="2"/>
  <c r="AU8" i="2"/>
  <c r="AT8" i="2"/>
  <c r="AP8" i="2"/>
  <c r="AO8" i="2"/>
  <c r="AM8" i="2"/>
  <c r="AL8" i="2"/>
  <c r="AJ8" i="2"/>
  <c r="AF8" i="2"/>
  <c r="AD8" i="2"/>
  <c r="AC8" i="2"/>
  <c r="V8" i="2"/>
  <c r="U8" i="2"/>
  <c r="T8" i="2"/>
  <c r="R8" i="2"/>
  <c r="Q8" i="2"/>
  <c r="N8" i="2"/>
  <c r="M8" i="2"/>
  <c r="K8" i="2"/>
  <c r="J8" i="2"/>
  <c r="I8" i="2"/>
  <c r="H8" i="2"/>
  <c r="E8" i="2"/>
  <c r="D8" i="2"/>
  <c r="BH7" i="2"/>
  <c r="N7" i="2"/>
  <c r="M7" i="2"/>
  <c r="K7" i="2"/>
  <c r="J7" i="2"/>
  <c r="I7" i="2"/>
  <c r="H7" i="2"/>
  <c r="E7" i="2"/>
  <c r="D7" i="2"/>
  <c r="N6" i="2"/>
  <c r="K6" i="2"/>
  <c r="H6" i="2"/>
  <c r="E6" i="2"/>
  <c r="D6" i="2"/>
  <c r="E5" i="2"/>
  <c r="D5" i="2"/>
  <c r="BH4" i="2"/>
  <c r="N4" i="2"/>
  <c r="M4" i="2"/>
  <c r="L4" i="2"/>
  <c r="K4" i="2"/>
  <c r="J4" i="2"/>
  <c r="I4" i="2"/>
  <c r="E4" i="2"/>
  <c r="D4" i="2"/>
  <c r="E3" i="2"/>
  <c r="D3" i="2"/>
  <c r="A160" i="1" a="1"/>
  <c r="A160" i="1"/>
  <c r="A159" i="1" a="1"/>
  <c r="A159" i="1" s="1"/>
  <c r="A158" i="1" a="1"/>
  <c r="A158" i="1" s="1"/>
  <c r="A157" i="1" a="1"/>
  <c r="A157" i="1" s="1"/>
  <c r="A156" i="1" a="1"/>
  <c r="A156" i="1" s="1"/>
  <c r="A155" i="1" a="1"/>
  <c r="A155" i="1" s="1"/>
  <c r="A154" i="1" a="1"/>
  <c r="A154" i="1" s="1"/>
  <c r="A153" i="1" a="1"/>
  <c r="A153" i="1"/>
  <c r="A152" i="1" a="1"/>
  <c r="A152" i="1"/>
  <c r="A151" i="1" a="1"/>
  <c r="A151" i="1"/>
  <c r="A150" i="1" a="1"/>
  <c r="A150" i="1"/>
  <c r="A149" i="1" a="1"/>
  <c r="A149" i="1"/>
  <c r="A148" i="1" a="1"/>
  <c r="A148" i="1" s="1"/>
  <c r="A147" i="1" a="1"/>
  <c r="A147" i="1" s="1"/>
  <c r="A146" i="1" a="1"/>
  <c r="A146" i="1" s="1"/>
  <c r="A145" i="1" a="1"/>
  <c r="A145" i="1"/>
  <c r="A144" i="1" a="1"/>
  <c r="A144" i="1" s="1"/>
  <c r="A143" i="1" a="1"/>
  <c r="A143" i="1"/>
  <c r="A142" i="1" a="1"/>
  <c r="A142" i="1"/>
  <c r="A141" i="1" a="1"/>
  <c r="A141" i="1" s="1"/>
  <c r="A140" i="1" a="1"/>
  <c r="A140" i="1"/>
  <c r="A139" i="1" a="1"/>
  <c r="A139" i="1"/>
  <c r="A138" i="1" a="1"/>
  <c r="A138" i="1" s="1"/>
  <c r="A137" i="1" a="1"/>
  <c r="A137" i="1" s="1"/>
  <c r="A136" i="1" a="1"/>
  <c r="A136" i="1" s="1"/>
  <c r="A135" i="1" a="1"/>
  <c r="A135" i="1"/>
  <c r="A134" i="1" a="1"/>
  <c r="A134" i="1" s="1"/>
  <c r="A133" i="1" a="1"/>
  <c r="A133" i="1" s="1"/>
  <c r="A132" i="1" a="1"/>
  <c r="A132" i="1"/>
  <c r="A131" i="1" a="1"/>
  <c r="A131" i="1"/>
  <c r="A130" i="1" a="1"/>
  <c r="A130" i="1"/>
  <c r="O82" i="1"/>
  <c r="O81" i="1"/>
  <c r="O80" i="1"/>
  <c r="O79" i="1"/>
  <c r="O78" i="1"/>
  <c r="O77" i="1"/>
  <c r="O76" i="1"/>
  <c r="O75" i="1"/>
  <c r="U70" i="1"/>
  <c r="S70" i="1"/>
  <c r="P70" i="1"/>
  <c r="O70" i="1" a="1"/>
  <c r="O70" i="1" s="1"/>
  <c r="U69" i="1"/>
  <c r="S69" i="1"/>
  <c r="P69" i="1"/>
  <c r="O69" i="1" a="1"/>
  <c r="O69" i="1" s="1"/>
  <c r="Y68" i="1"/>
  <c r="U68" i="1"/>
  <c r="S68" i="1"/>
  <c r="P68" i="1"/>
  <c r="O68" i="1" a="1"/>
  <c r="O68" i="1" s="1"/>
  <c r="Y67" i="1"/>
  <c r="U67" i="1"/>
  <c r="S67" i="1"/>
  <c r="P67" i="1"/>
  <c r="O67" i="1" a="1"/>
  <c r="O67" i="1" s="1"/>
  <c r="Y66" i="1"/>
  <c r="U66" i="1"/>
  <c r="S66" i="1"/>
  <c r="P66" i="1"/>
  <c r="O66" i="1" a="1"/>
  <c r="O66" i="1"/>
  <c r="Y65" i="1"/>
  <c r="U65" i="1"/>
  <c r="S65" i="1"/>
  <c r="P65" i="1"/>
  <c r="O65" i="1" a="1"/>
  <c r="O65" i="1" s="1"/>
  <c r="Y64" i="1"/>
  <c r="U64" i="1"/>
  <c r="S64" i="1"/>
  <c r="P64" i="1"/>
  <c r="O64" i="1" a="1"/>
  <c r="O64" i="1"/>
  <c r="Y63" i="1"/>
  <c r="U63" i="1"/>
  <c r="S63" i="1"/>
  <c r="P63" i="1"/>
  <c r="O63" i="1" a="1"/>
  <c r="O63" i="1" s="1"/>
  <c r="Y62" i="1"/>
  <c r="U62" i="1"/>
  <c r="S62" i="1"/>
  <c r="P62" i="1"/>
  <c r="O62" i="1" a="1"/>
  <c r="O62" i="1"/>
  <c r="Y61" i="1"/>
  <c r="U61" i="1"/>
  <c r="S61" i="1"/>
  <c r="P61" i="1"/>
  <c r="O61" i="1" a="1"/>
  <c r="O61" i="1"/>
  <c r="Y60" i="1"/>
  <c r="U60" i="1"/>
  <c r="S60" i="1"/>
  <c r="P60" i="1"/>
  <c r="O60" i="1" a="1"/>
  <c r="O60" i="1" s="1"/>
  <c r="Y59" i="1"/>
  <c r="U59" i="1"/>
  <c r="S59" i="1"/>
  <c r="P59" i="1"/>
  <c r="O59" i="1" a="1"/>
  <c r="O59" i="1"/>
  <c r="Y58" i="1"/>
  <c r="U58" i="1"/>
  <c r="S58" i="1"/>
  <c r="P58" i="1"/>
  <c r="O58" i="1" a="1"/>
  <c r="O58" i="1"/>
  <c r="Y57" i="1"/>
  <c r="U57" i="1"/>
  <c r="S57" i="1"/>
  <c r="P57" i="1"/>
  <c r="O57" i="1" a="1"/>
  <c r="O57" i="1" s="1"/>
  <c r="Y56" i="1"/>
  <c r="U56" i="1"/>
  <c r="S56" i="1"/>
  <c r="P56" i="1"/>
  <c r="O56" i="1" a="1"/>
  <c r="O56" i="1" s="1"/>
  <c r="Y55" i="1"/>
  <c r="U55" i="1"/>
  <c r="S55" i="1"/>
  <c r="P55" i="1"/>
  <c r="O55" i="1" a="1"/>
  <c r="O55" i="1" s="1"/>
  <c r="Y54" i="1"/>
  <c r="U54" i="1"/>
  <c r="S54" i="1"/>
  <c r="P54" i="1"/>
  <c r="O54" i="1" a="1"/>
  <c r="O54" i="1" s="1"/>
  <c r="Y53" i="1"/>
  <c r="U53" i="1"/>
  <c r="S53" i="1"/>
  <c r="P53" i="1"/>
  <c r="O53" i="1" a="1"/>
  <c r="O53" i="1"/>
  <c r="Y52" i="1"/>
  <c r="U52" i="1"/>
  <c r="S52" i="1"/>
  <c r="P52" i="1"/>
  <c r="O52" i="1" a="1"/>
  <c r="O52" i="1"/>
  <c r="Y51" i="1"/>
  <c r="U51" i="1"/>
  <c r="S51" i="1"/>
  <c r="P51" i="1"/>
  <c r="O51" i="1" a="1"/>
  <c r="O51" i="1"/>
  <c r="Y50" i="1"/>
  <c r="U50" i="1"/>
  <c r="S50" i="1"/>
  <c r="P50" i="1"/>
  <c r="O50" i="1" a="1"/>
  <c r="O50" i="1"/>
  <c r="Y49" i="1"/>
  <c r="U49" i="1"/>
  <c r="S49" i="1"/>
  <c r="P49" i="1"/>
  <c r="O49" i="1" a="1"/>
  <c r="O49" i="1" s="1"/>
  <c r="Y48" i="1"/>
  <c r="U48" i="1"/>
  <c r="S48" i="1"/>
  <c r="P48" i="1"/>
  <c r="O48" i="1" a="1"/>
  <c r="O48" i="1" s="1"/>
  <c r="Y47" i="1"/>
  <c r="U47" i="1"/>
  <c r="S47" i="1"/>
  <c r="P47" i="1"/>
  <c r="O47" i="1" a="1"/>
  <c r="O47" i="1" s="1"/>
  <c r="Y46" i="1"/>
  <c r="U46" i="1"/>
  <c r="S46" i="1"/>
  <c r="P46" i="1"/>
  <c r="O46" i="1" a="1"/>
  <c r="O46" i="1"/>
  <c r="Y45" i="1"/>
  <c r="U45" i="1"/>
  <c r="S45" i="1"/>
  <c r="P45" i="1"/>
  <c r="O45" i="1" a="1"/>
  <c r="O45" i="1"/>
  <c r="Y44" i="1"/>
  <c r="U44" i="1"/>
  <c r="S44" i="1"/>
  <c r="P44" i="1"/>
  <c r="O44" i="1" a="1"/>
  <c r="O44" i="1"/>
  <c r="Y43" i="1"/>
  <c r="U43" i="1"/>
  <c r="S43" i="1"/>
  <c r="P43" i="1"/>
  <c r="O43" i="1" a="1"/>
  <c r="O43" i="1" s="1"/>
  <c r="Y42" i="1"/>
  <c r="U42" i="1"/>
  <c r="S42" i="1"/>
  <c r="P42" i="1"/>
  <c r="O42" i="1" a="1"/>
  <c r="O42" i="1" s="1"/>
  <c r="Y41" i="1"/>
  <c r="U41" i="1"/>
  <c r="S41" i="1"/>
  <c r="P41" i="1"/>
  <c r="O41" i="1" a="1"/>
  <c r="O41" i="1"/>
  <c r="Y40" i="1"/>
  <c r="U40" i="1"/>
  <c r="S40" i="1"/>
  <c r="P40" i="1"/>
  <c r="O40" i="1" a="1"/>
  <c r="O40" i="1" s="1"/>
  <c r="Y39" i="1"/>
  <c r="U39" i="1"/>
  <c r="S39" i="1"/>
  <c r="P39" i="1"/>
  <c r="O39" i="1" a="1"/>
  <c r="O39" i="1"/>
  <c r="Y38" i="1"/>
  <c r="U38" i="1"/>
  <c r="S38" i="1"/>
  <c r="P38" i="1"/>
  <c r="O38" i="1" a="1"/>
  <c r="O38" i="1" s="1"/>
  <c r="Y37" i="1"/>
  <c r="U37" i="1"/>
  <c r="S37" i="1"/>
  <c r="P37" i="1"/>
  <c r="O37" i="1" a="1"/>
  <c r="O37" i="1"/>
  <c r="Y36" i="1"/>
  <c r="U36" i="1"/>
  <c r="S36" i="1"/>
  <c r="P36" i="1"/>
  <c r="O36" i="1" a="1"/>
  <c r="O36" i="1"/>
  <c r="Y35" i="1"/>
  <c r="U35" i="1"/>
  <c r="S35" i="1"/>
  <c r="P35" i="1"/>
  <c r="O35" i="1" a="1"/>
  <c r="O35" i="1" s="1"/>
  <c r="Y34" i="1"/>
  <c r="U34" i="1"/>
  <c r="S34" i="1"/>
  <c r="P34" i="1"/>
  <c r="O34" i="1" a="1"/>
  <c r="O34" i="1"/>
  <c r="Y33" i="1"/>
  <c r="U33" i="1"/>
  <c r="S33" i="1"/>
  <c r="P33" i="1"/>
  <c r="O33" i="1" a="1"/>
  <c r="O33" i="1" s="1"/>
  <c r="Y32" i="1"/>
  <c r="U32" i="1"/>
  <c r="S32" i="1"/>
  <c r="P32" i="1"/>
  <c r="O32" i="1" a="1"/>
  <c r="O32" i="1"/>
  <c r="Y31" i="1"/>
  <c r="U31" i="1"/>
  <c r="S31" i="1"/>
  <c r="P31" i="1"/>
  <c r="O31" i="1" a="1"/>
  <c r="O31" i="1" s="1"/>
  <c r="Y30" i="1"/>
  <c r="U30" i="1"/>
  <c r="S30" i="1"/>
  <c r="P30" i="1"/>
  <c r="O30" i="1" a="1"/>
  <c r="O30" i="1" s="1"/>
  <c r="Y29" i="1"/>
  <c r="U29" i="1"/>
  <c r="S29" i="1"/>
  <c r="P29" i="1"/>
  <c r="O29" i="1" a="1"/>
  <c r="O29" i="1" s="1"/>
  <c r="Y28" i="1"/>
  <c r="U28" i="1"/>
  <c r="S28" i="1"/>
  <c r="P28" i="1"/>
  <c r="O28" i="1" a="1"/>
  <c r="O28" i="1"/>
  <c r="Y26" i="1"/>
  <c r="U26" i="1"/>
  <c r="S26" i="1"/>
  <c r="P26" i="1"/>
  <c r="O26" i="1" a="1"/>
  <c r="O26" i="1"/>
  <c r="Y25" i="1"/>
  <c r="U25" i="1"/>
  <c r="S25" i="1"/>
  <c r="P25" i="1"/>
  <c r="O25" i="1" a="1"/>
  <c r="O25" i="1" s="1"/>
  <c r="Y24" i="1"/>
  <c r="U24" i="1"/>
  <c r="S24" i="1"/>
  <c r="P24" i="1"/>
  <c r="O24" i="1" a="1"/>
  <c r="O24" i="1" s="1"/>
  <c r="Y23" i="1"/>
  <c r="U23" i="1"/>
  <c r="S23" i="1"/>
  <c r="P23" i="1"/>
  <c r="O23" i="1" a="1"/>
  <c r="O23" i="1" s="1"/>
  <c r="Y22" i="1"/>
  <c r="U22" i="1"/>
  <c r="S22" i="1"/>
  <c r="P22" i="1"/>
  <c r="O22" i="1" a="1"/>
  <c r="O22" i="1" s="1"/>
  <c r="Y21" i="1"/>
  <c r="U21" i="1"/>
  <c r="S21" i="1"/>
  <c r="P21" i="1"/>
  <c r="O21" i="1" a="1"/>
  <c r="O21" i="1" s="1"/>
  <c r="Y20" i="1"/>
  <c r="U20" i="1"/>
  <c r="S20" i="1"/>
  <c r="P20" i="1"/>
  <c r="H20" i="1"/>
  <c r="Y19" i="1"/>
  <c r="U19" i="1"/>
  <c r="S19" i="1"/>
  <c r="H19" i="1"/>
  <c r="Y18" i="1"/>
  <c r="U18" i="1"/>
  <c r="S18" i="1"/>
  <c r="H18" i="1"/>
  <c r="F18" i="1" a="1"/>
  <c r="F18" i="1" s="1"/>
  <c r="Y17" i="1"/>
  <c r="U17" i="1"/>
  <c r="S17" i="1"/>
  <c r="H17" i="1"/>
  <c r="F17" i="1" a="1"/>
  <c r="F17" i="1"/>
  <c r="Y16" i="1"/>
  <c r="U16" i="1"/>
  <c r="S16" i="1"/>
  <c r="H16" i="1"/>
  <c r="F16" i="1" a="1"/>
  <c r="F16" i="1" s="1"/>
  <c r="U15" i="1"/>
  <c r="S15" i="1"/>
  <c r="H15" i="1"/>
  <c r="F15" i="1" a="1"/>
  <c r="F15" i="1"/>
  <c r="Y14" i="1"/>
  <c r="U14" i="1"/>
  <c r="S14" i="1"/>
  <c r="H14" i="1"/>
  <c r="F14" i="1" a="1"/>
  <c r="F14" i="1" s="1"/>
  <c r="Y13" i="1"/>
  <c r="U13" i="1"/>
  <c r="S13" i="1"/>
  <c r="H13" i="1"/>
  <c r="Y12" i="1"/>
  <c r="U12" i="1"/>
  <c r="S12" i="1"/>
  <c r="Y11" i="1"/>
  <c r="U11" i="1"/>
  <c r="S11" i="1"/>
  <c r="Y10" i="1"/>
  <c r="U10" i="1"/>
  <c r="S10" i="1"/>
  <c r="U9" i="1"/>
  <c r="S9" i="1"/>
  <c r="Y8" i="1"/>
  <c r="U8" i="1"/>
  <c r="S8" i="1"/>
  <c r="Y7" i="1"/>
  <c r="U7" i="1"/>
  <c r="S7" i="1"/>
  <c r="U6" i="1"/>
  <c r="S6" i="1"/>
  <c r="Y5" i="1"/>
  <c r="U5" i="1"/>
  <c r="S5" i="1"/>
  <c r="Y4" i="1"/>
  <c r="U4" i="1"/>
  <c r="S4" i="1"/>
  <c r="Y3" i="1"/>
  <c r="U3" i="1"/>
  <c r="S3" i="1"/>
  <c r="Y2" i="1"/>
  <c r="A2" i="1"/>
  <c r="M55" i="18"/>
  <c r="L55" i="18"/>
  <c r="K55" i="18"/>
  <c r="J55" i="18"/>
  <c r="I55" i="18"/>
  <c r="M54" i="18"/>
  <c r="L54" i="18"/>
  <c r="K54" i="18"/>
  <c r="J54" i="18"/>
  <c r="I54" i="18"/>
  <c r="M53" i="18"/>
  <c r="L53" i="18"/>
  <c r="K53" i="18"/>
  <c r="J53" i="18"/>
  <c r="I53" i="18"/>
  <c r="M52" i="18"/>
  <c r="L52" i="18"/>
  <c r="K52" i="18"/>
  <c r="J52" i="18"/>
  <c r="I52" i="18"/>
  <c r="M51" i="18"/>
  <c r="L51" i="18"/>
  <c r="K51" i="18"/>
  <c r="J51" i="18"/>
  <c r="I51" i="18"/>
  <c r="M50" i="18"/>
  <c r="L50" i="18"/>
  <c r="K50" i="18"/>
  <c r="J50" i="18"/>
  <c r="I50" i="18"/>
  <c r="M49" i="18"/>
  <c r="L49" i="18"/>
  <c r="K49" i="18"/>
  <c r="J49" i="18"/>
  <c r="I49" i="18"/>
  <c r="M48" i="18"/>
  <c r="L48" i="18"/>
  <c r="K48" i="18"/>
  <c r="J48" i="18"/>
  <c r="I48" i="18"/>
  <c r="M47" i="18"/>
  <c r="L47" i="18"/>
  <c r="K47" i="18"/>
  <c r="J47" i="18"/>
  <c r="I47" i="18"/>
  <c r="AE46" i="18"/>
  <c r="AD46" i="18"/>
  <c r="AC46" i="18"/>
  <c r="AB46" i="18"/>
  <c r="AA46" i="18"/>
  <c r="Z46" i="18"/>
  <c r="Y46" i="18"/>
  <c r="X46" i="18"/>
  <c r="W46" i="18"/>
  <c r="V46" i="18"/>
  <c r="U46" i="18"/>
  <c r="M46" i="18"/>
  <c r="L46" i="18"/>
  <c r="K46" i="18"/>
  <c r="J46" i="18"/>
  <c r="I46" i="18"/>
  <c r="AE45" i="18"/>
  <c r="AD45" i="18"/>
  <c r="AC45" i="18"/>
  <c r="AB45" i="18"/>
  <c r="AA45" i="18"/>
  <c r="Z45" i="18"/>
  <c r="Y45" i="18"/>
  <c r="X45" i="18"/>
  <c r="W45" i="18"/>
  <c r="V45" i="18"/>
  <c r="U45" i="18"/>
  <c r="M45" i="18"/>
  <c r="L45" i="18"/>
  <c r="K45" i="18"/>
  <c r="J45" i="18"/>
  <c r="I45" i="18"/>
  <c r="AE44" i="18"/>
  <c r="AD44" i="18"/>
  <c r="AC44" i="18"/>
  <c r="AB44" i="18"/>
  <c r="AA44" i="18"/>
  <c r="Z44" i="18"/>
  <c r="Y44" i="18"/>
  <c r="X44" i="18"/>
  <c r="W44" i="18"/>
  <c r="V44" i="18"/>
  <c r="U44" i="18"/>
  <c r="M44" i="18"/>
  <c r="L44" i="18"/>
  <c r="K44" i="18"/>
  <c r="J44" i="18"/>
  <c r="I44" i="18"/>
  <c r="AE43" i="18"/>
  <c r="AD43" i="18"/>
  <c r="AC43" i="18"/>
  <c r="AB43" i="18"/>
  <c r="AA43" i="18"/>
  <c r="Z43" i="18"/>
  <c r="Y43" i="18"/>
  <c r="X43" i="18"/>
  <c r="W43" i="18"/>
  <c r="V43" i="18"/>
  <c r="U43" i="18"/>
  <c r="M43" i="18"/>
  <c r="L43" i="18"/>
  <c r="K43" i="18"/>
  <c r="J43" i="18"/>
  <c r="I43" i="18"/>
  <c r="AE42" i="18"/>
  <c r="AD42" i="18"/>
  <c r="AC42" i="18"/>
  <c r="AB42" i="18"/>
  <c r="AA42" i="18"/>
  <c r="Z42" i="18"/>
  <c r="Y42" i="18"/>
  <c r="X42" i="18"/>
  <c r="W42" i="18"/>
  <c r="V42" i="18"/>
  <c r="U42" i="18"/>
  <c r="M42" i="18"/>
  <c r="L42" i="18"/>
  <c r="K42" i="18"/>
  <c r="J42" i="18"/>
  <c r="I42" i="18"/>
  <c r="AE41" i="18"/>
  <c r="AD41" i="18"/>
  <c r="AC41" i="18"/>
  <c r="AB41" i="18"/>
  <c r="AA41" i="18"/>
  <c r="Z41" i="18"/>
  <c r="Y41" i="18"/>
  <c r="X41" i="18"/>
  <c r="W41" i="18"/>
  <c r="V41" i="18"/>
  <c r="U41" i="18"/>
  <c r="M41" i="18"/>
  <c r="L41" i="18"/>
  <c r="K41" i="18"/>
  <c r="J41" i="18"/>
  <c r="I41" i="18"/>
  <c r="AE40" i="18"/>
  <c r="AD40" i="18"/>
  <c r="AC40" i="18"/>
  <c r="AB40" i="18"/>
  <c r="AA40" i="18"/>
  <c r="Z40" i="18"/>
  <c r="Y40" i="18"/>
  <c r="X40" i="18"/>
  <c r="W40" i="18"/>
  <c r="V40" i="18"/>
  <c r="U40" i="18"/>
  <c r="L37" i="18"/>
  <c r="K37" i="18"/>
  <c r="J37" i="18"/>
  <c r="I37" i="18"/>
  <c r="L36" i="18"/>
  <c r="K36" i="18"/>
  <c r="J36" i="18"/>
  <c r="I36" i="18"/>
  <c r="L35" i="18"/>
  <c r="K35" i="18"/>
  <c r="J35" i="18"/>
  <c r="I35" i="18"/>
  <c r="L34" i="18"/>
  <c r="K34" i="18"/>
  <c r="J34" i="18"/>
  <c r="I34" i="18"/>
  <c r="L33" i="18"/>
  <c r="K33" i="18"/>
  <c r="J33" i="18"/>
  <c r="I33" i="18"/>
  <c r="L32" i="18"/>
  <c r="K32" i="18"/>
  <c r="J32" i="18"/>
  <c r="I32" i="18"/>
  <c r="L31" i="18"/>
  <c r="K31" i="18"/>
  <c r="J31" i="18"/>
  <c r="I31" i="18"/>
  <c r="L30" i="18"/>
  <c r="K30" i="18"/>
  <c r="J30" i="18"/>
  <c r="I30" i="18"/>
  <c r="L29" i="18"/>
  <c r="K29" i="18"/>
  <c r="J29" i="18"/>
  <c r="I29" i="18"/>
  <c r="L28" i="18"/>
  <c r="K28" i="18"/>
  <c r="J28" i="18"/>
  <c r="I28" i="18"/>
  <c r="L27" i="18"/>
  <c r="K27" i="18"/>
  <c r="J27" i="18"/>
  <c r="I27" i="18"/>
  <c r="L26" i="18"/>
  <c r="K26" i="18"/>
  <c r="J26" i="18"/>
  <c r="I26" i="18"/>
  <c r="AK25" i="18"/>
  <c r="AJ25" i="18"/>
  <c r="AI25" i="18"/>
  <c r="AH25" i="18"/>
  <c r="AG25" i="18"/>
  <c r="AF25" i="18"/>
  <c r="AE25" i="18"/>
  <c r="AD25" i="18"/>
  <c r="L25" i="18"/>
  <c r="K25" i="18"/>
  <c r="J25" i="18"/>
  <c r="I25" i="18"/>
  <c r="AK24" i="18"/>
  <c r="AJ24" i="18"/>
  <c r="AI24" i="18"/>
  <c r="AH24" i="18"/>
  <c r="AG24" i="18"/>
  <c r="AF24" i="18"/>
  <c r="AE24" i="18"/>
  <c r="AD24" i="18"/>
  <c r="L24" i="18"/>
  <c r="K24" i="18"/>
  <c r="J24" i="18"/>
  <c r="I24" i="18"/>
  <c r="AK23" i="18"/>
  <c r="AJ23" i="18"/>
  <c r="AI23" i="18"/>
  <c r="AH23" i="18"/>
  <c r="AG23" i="18"/>
  <c r="AF23" i="18"/>
  <c r="AE23" i="18"/>
  <c r="AD23" i="18"/>
  <c r="L23" i="18"/>
  <c r="K23" i="18"/>
  <c r="J23" i="18"/>
  <c r="I23" i="18"/>
  <c r="AK22" i="18"/>
  <c r="AJ22" i="18"/>
  <c r="AI22" i="18"/>
  <c r="AH22" i="18"/>
  <c r="AG22" i="18"/>
  <c r="AF22" i="18"/>
  <c r="AE22" i="18"/>
  <c r="AD22" i="18"/>
  <c r="L22" i="18"/>
  <c r="K22" i="18"/>
  <c r="J22" i="18"/>
  <c r="I22" i="18"/>
  <c r="AK21" i="18"/>
  <c r="AJ21" i="18"/>
  <c r="AI21" i="18"/>
  <c r="AH21" i="18"/>
  <c r="AG21" i="18"/>
  <c r="AF21" i="18"/>
  <c r="AE21" i="18"/>
  <c r="AD21" i="18"/>
  <c r="L21" i="18"/>
  <c r="K21" i="18"/>
  <c r="J21" i="18"/>
  <c r="I21" i="18"/>
  <c r="AK20" i="18"/>
  <c r="AJ20" i="18"/>
  <c r="AI20" i="18"/>
  <c r="AH20" i="18"/>
  <c r="AG20" i="18"/>
  <c r="AF20" i="18"/>
  <c r="AE20" i="18"/>
  <c r="AD20" i="18"/>
  <c r="L20" i="18"/>
  <c r="K20" i="18"/>
  <c r="J20" i="18"/>
  <c r="I20" i="18"/>
  <c r="AK19" i="18"/>
  <c r="AJ19" i="18"/>
  <c r="AI19" i="18"/>
  <c r="AH19" i="18"/>
  <c r="AG19" i="18"/>
  <c r="AF19" i="18"/>
  <c r="AE19" i="18"/>
  <c r="AD19" i="18"/>
  <c r="AK18" i="18"/>
  <c r="AJ18" i="18"/>
  <c r="AI18" i="18"/>
  <c r="AH18" i="18"/>
  <c r="AG18" i="18"/>
  <c r="AF18" i="18"/>
  <c r="AE18" i="18"/>
  <c r="AD18" i="18"/>
  <c r="AK17" i="18"/>
  <c r="AJ17" i="18"/>
  <c r="AI17" i="18"/>
  <c r="AH17" i="18"/>
  <c r="AG17" i="18"/>
  <c r="AF17" i="18"/>
  <c r="AE17" i="18"/>
  <c r="AD17" i="18"/>
  <c r="O15" i="18"/>
  <c r="N15" i="18"/>
  <c r="M15" i="18"/>
  <c r="L15" i="18"/>
  <c r="K15" i="18"/>
  <c r="J15" i="18"/>
  <c r="I15" i="18"/>
  <c r="O14" i="18"/>
  <c r="N14" i="18"/>
  <c r="M14" i="18"/>
  <c r="L14" i="18"/>
  <c r="K14" i="18"/>
  <c r="J14" i="18"/>
  <c r="I14" i="18"/>
  <c r="O13" i="18"/>
  <c r="N13" i="18"/>
  <c r="M13" i="18"/>
  <c r="L13" i="18"/>
  <c r="K13" i="18"/>
  <c r="J13" i="18"/>
  <c r="I13" i="18"/>
  <c r="O12" i="18"/>
  <c r="N12" i="18"/>
  <c r="M12" i="18"/>
  <c r="L12" i="18"/>
  <c r="K12" i="18"/>
  <c r="J12" i="18"/>
  <c r="I12" i="18"/>
  <c r="O11" i="18"/>
  <c r="N11" i="18"/>
  <c r="M11" i="18"/>
  <c r="L11" i="18"/>
  <c r="K11" i="18"/>
  <c r="J11" i="18"/>
  <c r="I11" i="18"/>
  <c r="O10" i="18"/>
  <c r="N10" i="18"/>
  <c r="M10" i="18"/>
  <c r="L10" i="18"/>
  <c r="K10" i="18"/>
  <c r="J10" i="18"/>
  <c r="I10" i="18"/>
  <c r="O9" i="18"/>
  <c r="N9" i="18"/>
  <c r="M9" i="18"/>
  <c r="L9" i="18"/>
  <c r="K9" i="18"/>
  <c r="J9" i="18"/>
  <c r="I9" i="18"/>
  <c r="O8" i="18"/>
  <c r="N8" i="18"/>
  <c r="M8" i="18"/>
  <c r="L8" i="18"/>
  <c r="K8" i="18"/>
  <c r="J8" i="18"/>
  <c r="I8" i="18"/>
  <c r="AZ21" i="14"/>
  <c r="AY21" i="14"/>
  <c r="AX21" i="14"/>
  <c r="AW21" i="14"/>
  <c r="AN21" i="14"/>
  <c r="AM21" i="14"/>
  <c r="AL21" i="14"/>
  <c r="AK21" i="14"/>
  <c r="AJ21" i="14"/>
  <c r="AI21" i="14"/>
  <c r="AH21" i="14"/>
  <c r="AD21" i="14"/>
  <c r="AC21" i="14"/>
  <c r="AB21" i="14"/>
  <c r="X21" i="14"/>
  <c r="T21" i="14"/>
  <c r="S21" i="14"/>
  <c r="R21" i="14"/>
  <c r="Q21" i="14"/>
  <c r="P21" i="14"/>
  <c r="O21" i="14"/>
  <c r="N21" i="14"/>
  <c r="J21" i="14"/>
  <c r="H21" i="14"/>
  <c r="F21" i="14"/>
  <c r="BC20" i="14"/>
  <c r="AQ20" i="14"/>
  <c r="AP20" i="14"/>
  <c r="AO20" i="14"/>
  <c r="AF20" i="14"/>
  <c r="AE20" i="14"/>
  <c r="V20" i="14"/>
  <c r="U20" i="14"/>
  <c r="M20" i="14"/>
  <c r="AP19" i="14"/>
  <c r="AO19" i="14"/>
  <c r="AF19" i="14"/>
  <c r="AE19" i="14"/>
  <c r="W19" i="14"/>
  <c r="V19" i="14"/>
  <c r="U19" i="14"/>
  <c r="M19" i="14"/>
  <c r="AP18" i="14"/>
  <c r="AO18" i="14"/>
  <c r="AG18" i="14"/>
  <c r="AF18" i="14"/>
  <c r="AE18" i="14"/>
  <c r="U18" i="14"/>
  <c r="M18" i="14"/>
  <c r="BL17" i="14"/>
  <c r="BC17" i="14"/>
  <c r="AP17" i="14"/>
  <c r="AO17" i="14" s="1"/>
  <c r="AF17" i="14"/>
  <c r="AE17" i="14"/>
  <c r="W17" i="14"/>
  <c r="V17" i="14"/>
  <c r="U17" i="14"/>
  <c r="M17" i="14"/>
  <c r="AG17" i="14" s="1"/>
  <c r="BC16" i="14"/>
  <c r="AQ16" i="14"/>
  <c r="AP16" i="14"/>
  <c r="AO16" i="14"/>
  <c r="AF16" i="14"/>
  <c r="AE16" i="14"/>
  <c r="U16" i="14"/>
  <c r="M16" i="14"/>
  <c r="W16" i="14" s="1"/>
  <c r="BC15" i="14"/>
  <c r="AQ15" i="14"/>
  <c r="AP15" i="14"/>
  <c r="AO15" i="14"/>
  <c r="AG15" i="14"/>
  <c r="AF15" i="14"/>
  <c r="AE15" i="14"/>
  <c r="W15" i="14"/>
  <c r="V15" i="14"/>
  <c r="U15" i="14"/>
  <c r="M15" i="14"/>
  <c r="AP14" i="14"/>
  <c r="AO14" i="14" s="1"/>
  <c r="AG14" i="14"/>
  <c r="AE14" i="14"/>
  <c r="AF14" i="14" s="1"/>
  <c r="U14" i="14"/>
  <c r="M14" i="14"/>
  <c r="BA13" i="14"/>
  <c r="AQ13" i="14"/>
  <c r="AP13" i="14"/>
  <c r="AO13" i="14" s="1"/>
  <c r="AE13" i="14"/>
  <c r="AF13" i="14" s="1"/>
  <c r="V13" i="14"/>
  <c r="U13" i="14"/>
  <c r="BD13" i="14" s="1"/>
  <c r="M13" i="14"/>
  <c r="BL12" i="14"/>
  <c r="BC12" i="14"/>
  <c r="AQ12" i="14"/>
  <c r="AP12" i="14"/>
  <c r="AO12" i="14" s="1"/>
  <c r="AG12" i="14"/>
  <c r="V12" i="14"/>
  <c r="U12" i="14"/>
  <c r="M12" i="14"/>
  <c r="W12" i="14" s="1"/>
  <c r="BL11" i="14"/>
  <c r="AQ11" i="14"/>
  <c r="AP11" i="14"/>
  <c r="AO11" i="14"/>
  <c r="W11" i="14"/>
  <c r="V11" i="14"/>
  <c r="U11" i="14"/>
  <c r="M11" i="14"/>
  <c r="AP10" i="14"/>
  <c r="AO10" i="14" s="1"/>
  <c r="AE10" i="14"/>
  <c r="AF10" i="14" s="1"/>
  <c r="W10" i="14"/>
  <c r="U10" i="14"/>
  <c r="M10" i="14"/>
  <c r="BL9" i="14"/>
  <c r="AP9" i="14"/>
  <c r="AO9" i="14"/>
  <c r="AE9" i="14"/>
  <c r="AF9" i="14" s="1"/>
  <c r="W9" i="14"/>
  <c r="U9" i="14"/>
  <c r="M9" i="14"/>
  <c r="AQ9" i="14" s="1"/>
  <c r="BC8" i="14"/>
  <c r="AQ8" i="14"/>
  <c r="AP8" i="14"/>
  <c r="AO8" i="14" s="1"/>
  <c r="AE8" i="14"/>
  <c r="AF8" i="14" s="1"/>
  <c r="W8" i="14"/>
  <c r="U8" i="14"/>
  <c r="M8" i="14"/>
  <c r="BL7" i="14"/>
  <c r="BC7" i="14"/>
  <c r="AQ7" i="14"/>
  <c r="AP7" i="14"/>
  <c r="AO7" i="14"/>
  <c r="AE7" i="14"/>
  <c r="AF7" i="14" s="1"/>
  <c r="W7" i="14"/>
  <c r="V7" i="14"/>
  <c r="U7" i="14"/>
  <c r="M7" i="14"/>
  <c r="AG7" i="14" s="1"/>
  <c r="BL6" i="14"/>
  <c r="AQ6" i="14"/>
  <c r="AP6" i="14"/>
  <c r="AO6" i="14"/>
  <c r="AE6" i="14"/>
  <c r="U6" i="14"/>
  <c r="V6" i="14" s="1"/>
  <c r="M6" i="14"/>
  <c r="BL5" i="14"/>
  <c r="BC5" i="14"/>
  <c r="AQ5" i="14"/>
  <c r="AP5" i="14"/>
  <c r="AO5" i="14"/>
  <c r="AG5" i="14"/>
  <c r="AF5" i="14"/>
  <c r="AE5" i="14"/>
  <c r="W5" i="14"/>
  <c r="V5" i="14"/>
  <c r="U5" i="14"/>
  <c r="M5" i="14"/>
  <c r="BC4" i="14"/>
  <c r="AQ4" i="14"/>
  <c r="AP4" i="14"/>
  <c r="AO4" i="14" s="1"/>
  <c r="AG4" i="14"/>
  <c r="U4" i="14"/>
  <c r="M4" i="14"/>
  <c r="BL4" i="14" s="1"/>
  <c r="BC3" i="14"/>
  <c r="AQ3" i="14"/>
  <c r="AP3" i="14"/>
  <c r="AO3" i="14"/>
  <c r="AG3" i="14"/>
  <c r="W3" i="14"/>
  <c r="V3" i="14"/>
  <c r="U3" i="14"/>
  <c r="M3" i="14"/>
  <c r="BL3" i="14" s="1"/>
  <c r="AZ1" i="14"/>
  <c r="AY1" i="14"/>
  <c r="AX1" i="14"/>
  <c r="AW1" i="14"/>
  <c r="AN1" i="14"/>
  <c r="AM1" i="14"/>
  <c r="AL1" i="14"/>
  <c r="AK1" i="14"/>
  <c r="AJ1" i="14"/>
  <c r="AI1" i="14"/>
  <c r="AH1" i="14"/>
  <c r="AD1" i="14"/>
  <c r="AC1" i="14"/>
  <c r="AB1" i="14"/>
  <c r="X1" i="14"/>
  <c r="T1" i="14"/>
  <c r="S1" i="14"/>
  <c r="R1" i="14"/>
  <c r="Q1" i="14"/>
  <c r="P1" i="14"/>
  <c r="O1" i="14"/>
  <c r="N1" i="14"/>
  <c r="M1" i="14"/>
  <c r="K1" i="14"/>
  <c r="J1" i="14"/>
  <c r="I1" i="14"/>
  <c r="H1" i="14"/>
  <c r="G1" i="14"/>
  <c r="F1" i="14"/>
  <c r="V20" i="13"/>
  <c r="S20" i="13"/>
  <c r="T20" i="13" s="1"/>
  <c r="U20" i="13" s="1"/>
  <c r="J20" i="13"/>
  <c r="G17" i="3" s="1"/>
  <c r="V19" i="13"/>
  <c r="U19" i="13"/>
  <c r="T19" i="13"/>
  <c r="S19" i="13"/>
  <c r="J19" i="13"/>
  <c r="S18" i="13"/>
  <c r="J18" i="13"/>
  <c r="T17" i="13"/>
  <c r="U17" i="13" s="1"/>
  <c r="S17" i="13"/>
  <c r="J17" i="13"/>
  <c r="V16" i="13"/>
  <c r="T16" i="13"/>
  <c r="U16" i="13" s="1"/>
  <c r="S16" i="13"/>
  <c r="J16" i="13"/>
  <c r="G18" i="3" s="1"/>
  <c r="H18" i="3" s="1"/>
  <c r="V15" i="13"/>
  <c r="U15" i="13"/>
  <c r="S15" i="13"/>
  <c r="T15" i="13" s="1"/>
  <c r="J15" i="13"/>
  <c r="G14" i="3" s="1"/>
  <c r="T14" i="13"/>
  <c r="U14" i="13" s="1"/>
  <c r="S14" i="13"/>
  <c r="J14" i="13"/>
  <c r="V13" i="13"/>
  <c r="R13" i="13"/>
  <c r="J13" i="13"/>
  <c r="V12" i="13"/>
  <c r="U12" i="13"/>
  <c r="T12" i="13"/>
  <c r="S12" i="13"/>
  <c r="J12" i="13"/>
  <c r="V11" i="13"/>
  <c r="U11" i="13"/>
  <c r="T11" i="13"/>
  <c r="S11" i="13"/>
  <c r="J11" i="13"/>
  <c r="V10" i="13"/>
  <c r="T10" i="13"/>
  <c r="U10" i="13" s="1"/>
  <c r="S10" i="13"/>
  <c r="J10" i="13"/>
  <c r="G9" i="3" s="1"/>
  <c r="H9" i="3" s="1"/>
  <c r="S9" i="13"/>
  <c r="J9" i="13"/>
  <c r="S8" i="13"/>
  <c r="J8" i="13"/>
  <c r="AD7" i="13"/>
  <c r="AC7" i="13"/>
  <c r="V7" i="13"/>
  <c r="S7" i="13"/>
  <c r="J7" i="13"/>
  <c r="V6" i="13"/>
  <c r="S6" i="13"/>
  <c r="T6" i="13" s="1"/>
  <c r="U6" i="13" s="1"/>
  <c r="J6" i="13"/>
  <c r="T5" i="13"/>
  <c r="U5" i="13" s="1"/>
  <c r="S5" i="13"/>
  <c r="J5" i="13"/>
  <c r="G6" i="3" s="1"/>
  <c r="T4" i="13"/>
  <c r="S4" i="13"/>
  <c r="J4" i="13"/>
  <c r="R2" i="13"/>
  <c r="Q2" i="13"/>
  <c r="P2" i="13"/>
  <c r="O2" i="13"/>
  <c r="N2" i="13"/>
  <c r="M2" i="13"/>
  <c r="L2" i="13"/>
  <c r="K2" i="13"/>
  <c r="AS22" i="12"/>
  <c r="AR22" i="12"/>
  <c r="AQ22" i="12"/>
  <c r="AP22" i="12"/>
  <c r="AO22" i="12"/>
  <c r="AN22" i="12"/>
  <c r="AM22" i="12"/>
  <c r="AL22" i="12"/>
  <c r="AK22" i="12"/>
  <c r="AG22" i="12"/>
  <c r="AF22" i="12"/>
  <c r="AE22" i="12"/>
  <c r="AD22" i="12"/>
  <c r="AC22" i="12"/>
  <c r="AB22" i="12"/>
  <c r="AA22" i="12"/>
  <c r="W22" i="12"/>
  <c r="V22" i="12"/>
  <c r="U22" i="12"/>
  <c r="T22" i="12"/>
  <c r="S22" i="12"/>
  <c r="R22" i="12"/>
  <c r="Q22" i="12"/>
  <c r="M22" i="12"/>
  <c r="L22" i="12"/>
  <c r="K22" i="12"/>
  <c r="J22" i="12"/>
  <c r="I22" i="12"/>
  <c r="H22" i="12"/>
  <c r="G22" i="12"/>
  <c r="AV21" i="12"/>
  <c r="AT21" i="12"/>
  <c r="AU21" i="12" s="1"/>
  <c r="AJ21" i="12"/>
  <c r="AI21" i="12"/>
  <c r="AH21" i="12" s="1"/>
  <c r="Z21" i="12"/>
  <c r="Y21" i="12"/>
  <c r="X21" i="12"/>
  <c r="P21" i="12"/>
  <c r="O21" i="12"/>
  <c r="N21" i="12"/>
  <c r="AV20" i="12"/>
  <c r="AU20" i="12"/>
  <c r="AT20" i="12"/>
  <c r="AJ20" i="12"/>
  <c r="AI20" i="12"/>
  <c r="AH20" i="12"/>
  <c r="Z20" i="12"/>
  <c r="X20" i="12"/>
  <c r="Y20" i="12" s="1"/>
  <c r="P20" i="12"/>
  <c r="N20" i="12"/>
  <c r="AV19" i="12"/>
  <c r="AU19" i="12"/>
  <c r="AT19" i="12"/>
  <c r="AJ19" i="12"/>
  <c r="AI19" i="12"/>
  <c r="AH19" i="12" s="1"/>
  <c r="Z19" i="12"/>
  <c r="X19" i="12"/>
  <c r="Y19" i="12" s="1"/>
  <c r="P19" i="12"/>
  <c r="O19" i="12"/>
  <c r="N19" i="12"/>
  <c r="AW19" i="12" s="1"/>
  <c r="AV18" i="12"/>
  <c r="AT18" i="12"/>
  <c r="AU18" i="12" s="1"/>
  <c r="AJ18" i="12"/>
  <c r="AI18" i="12"/>
  <c r="AH18" i="12" s="1"/>
  <c r="Z18" i="12"/>
  <c r="X18" i="12"/>
  <c r="P18" i="12"/>
  <c r="N18" i="12"/>
  <c r="O18" i="12" s="1"/>
  <c r="AX17" i="12"/>
  <c r="AW17" i="12"/>
  <c r="AZ17" i="12" s="1"/>
  <c r="AV17" i="12"/>
  <c r="AU17" i="12"/>
  <c r="AT17" i="12"/>
  <c r="AJ17" i="12"/>
  <c r="AI17" i="12"/>
  <c r="AH17" i="12"/>
  <c r="Z17" i="12"/>
  <c r="Y17" i="12"/>
  <c r="X17" i="12"/>
  <c r="P17" i="12"/>
  <c r="N17" i="12"/>
  <c r="O17" i="12" s="1"/>
  <c r="AV16" i="12"/>
  <c r="AT16" i="12"/>
  <c r="AU16" i="12" s="1"/>
  <c r="AJ16" i="12"/>
  <c r="AI16" i="12"/>
  <c r="AH16" i="12"/>
  <c r="Z16" i="12"/>
  <c r="X16" i="12"/>
  <c r="Y16" i="12" s="1"/>
  <c r="P16" i="12"/>
  <c r="N16" i="12"/>
  <c r="AW16" i="12" s="1"/>
  <c r="AZ15" i="12"/>
  <c r="AY15" i="12"/>
  <c r="I70" i="18" s="1"/>
  <c r="AX15" i="12"/>
  <c r="AV15" i="12"/>
  <c r="AU15" i="12"/>
  <c r="AT15" i="12"/>
  <c r="AJ15" i="12"/>
  <c r="AI15" i="12"/>
  <c r="AH15" i="12" s="1"/>
  <c r="Z15" i="12"/>
  <c r="Y15" i="12"/>
  <c r="X15" i="12"/>
  <c r="AW15" i="12" s="1"/>
  <c r="P15" i="12"/>
  <c r="O15" i="12"/>
  <c r="N15" i="12"/>
  <c r="AV14" i="12"/>
  <c r="AT14" i="12"/>
  <c r="AJ14" i="12"/>
  <c r="AI14" i="12"/>
  <c r="AH14" i="12"/>
  <c r="Z14" i="12"/>
  <c r="X14" i="12"/>
  <c r="Y14" i="12" s="1"/>
  <c r="P14" i="12"/>
  <c r="O14" i="12"/>
  <c r="N14" i="12"/>
  <c r="AV13" i="12"/>
  <c r="AU13" i="12"/>
  <c r="AT13" i="12"/>
  <c r="AJ13" i="12"/>
  <c r="AI13" i="12"/>
  <c r="AH13" i="12" s="1"/>
  <c r="Z13" i="12"/>
  <c r="X13" i="12"/>
  <c r="P13" i="12"/>
  <c r="N13" i="12"/>
  <c r="O13" i="12" s="1"/>
  <c r="AV12" i="12"/>
  <c r="AU12" i="12"/>
  <c r="AT12" i="12"/>
  <c r="AJ12" i="12"/>
  <c r="AI12" i="12"/>
  <c r="AH12" i="12"/>
  <c r="Z12" i="12"/>
  <c r="X12" i="12"/>
  <c r="Y12" i="12" s="1"/>
  <c r="AH10" i="2" s="1"/>
  <c r="P12" i="12"/>
  <c r="O12" i="12"/>
  <c r="N12" i="12"/>
  <c r="AV11" i="12"/>
  <c r="AU11" i="12"/>
  <c r="AT11" i="12"/>
  <c r="AJ11" i="12"/>
  <c r="AI11" i="12"/>
  <c r="AH11" i="12" s="1"/>
  <c r="Z11" i="12"/>
  <c r="X11" i="12"/>
  <c r="Y11" i="12" s="1"/>
  <c r="P11" i="12"/>
  <c r="O11" i="12"/>
  <c r="N11" i="12"/>
  <c r="AW10" i="12"/>
  <c r="AV10" i="12"/>
  <c r="AU10" i="12"/>
  <c r="AT10" i="12"/>
  <c r="AJ10" i="12"/>
  <c r="AI10" i="12"/>
  <c r="AH10" i="12"/>
  <c r="Z10" i="12"/>
  <c r="X10" i="12"/>
  <c r="P10" i="12"/>
  <c r="N10" i="12"/>
  <c r="O10" i="12" s="1"/>
  <c r="AV9" i="12"/>
  <c r="AT9" i="12"/>
  <c r="AU9" i="12" s="1"/>
  <c r="AJ9" i="12"/>
  <c r="AI9" i="12"/>
  <c r="AH9" i="12"/>
  <c r="Z9" i="12"/>
  <c r="Y9" i="12"/>
  <c r="X9" i="12"/>
  <c r="P9" i="12"/>
  <c r="N9" i="12"/>
  <c r="AV8" i="12"/>
  <c r="AT8" i="12"/>
  <c r="AU8" i="12" s="1"/>
  <c r="AJ8" i="12"/>
  <c r="AI8" i="12"/>
  <c r="Z8" i="12"/>
  <c r="Y8" i="12"/>
  <c r="X8" i="12"/>
  <c r="AG8" i="2" s="1"/>
  <c r="P8" i="12"/>
  <c r="N8" i="12"/>
  <c r="AV7" i="12"/>
  <c r="AT7" i="12"/>
  <c r="AU7" i="12" s="1"/>
  <c r="AJ7" i="12"/>
  <c r="AI7" i="12"/>
  <c r="Z7" i="12"/>
  <c r="Y7" i="12"/>
  <c r="X7" i="12"/>
  <c r="P7" i="12"/>
  <c r="Y11" i="2" s="1"/>
  <c r="N7" i="12"/>
  <c r="AZ6" i="12"/>
  <c r="AY6" i="12"/>
  <c r="I60" i="18" s="1"/>
  <c r="AW6" i="12"/>
  <c r="AX6" i="12" s="1"/>
  <c r="AV6" i="12"/>
  <c r="AU6" i="12"/>
  <c r="AT6" i="12"/>
  <c r="AJ6" i="12"/>
  <c r="AI6" i="12"/>
  <c r="AH6" i="12" s="1"/>
  <c r="Z6" i="12"/>
  <c r="X6" i="12"/>
  <c r="Y6" i="12" s="1"/>
  <c r="P6" i="12"/>
  <c r="O6" i="12"/>
  <c r="N6" i="12"/>
  <c r="AV5" i="12"/>
  <c r="AU5" i="12"/>
  <c r="AT5" i="12"/>
  <c r="AJ5" i="12"/>
  <c r="AI5" i="12"/>
  <c r="AH5" i="12"/>
  <c r="Z5" i="12"/>
  <c r="X5" i="12"/>
  <c r="Y5" i="12" s="1"/>
  <c r="AH15" i="2" s="1"/>
  <c r="P5" i="12"/>
  <c r="N5" i="12"/>
  <c r="AV4" i="12"/>
  <c r="AT4" i="12"/>
  <c r="AU4" i="12" s="1"/>
  <c r="AJ4" i="12"/>
  <c r="AI4" i="12"/>
  <c r="Z4" i="12"/>
  <c r="AI19" i="2" s="1"/>
  <c r="X4" i="12"/>
  <c r="P4" i="12"/>
  <c r="N4" i="12"/>
  <c r="AT3" i="12"/>
  <c r="AW3" i="12" s="1"/>
  <c r="AI3" i="12"/>
  <c r="X3" i="12"/>
  <c r="N3" i="12"/>
  <c r="AU22" i="11"/>
  <c r="AT22" i="11"/>
  <c r="AS22" i="11"/>
  <c r="AR22" i="11"/>
  <c r="AQ22" i="11"/>
  <c r="AP22" i="11"/>
  <c r="AO22" i="11"/>
  <c r="AN22" i="11"/>
  <c r="AM22" i="11"/>
  <c r="AI22" i="11"/>
  <c r="AH22" i="11"/>
  <c r="AG22" i="11"/>
  <c r="AF22" i="11"/>
  <c r="AE22" i="11"/>
  <c r="AD22" i="11"/>
  <c r="AC22" i="11"/>
  <c r="Y22" i="11"/>
  <c r="X22" i="11"/>
  <c r="W22" i="11"/>
  <c r="V22" i="11"/>
  <c r="U22" i="11"/>
  <c r="T22" i="11"/>
  <c r="S22" i="11"/>
  <c r="O22" i="11"/>
  <c r="N22" i="11"/>
  <c r="M22" i="11"/>
  <c r="L22" i="11"/>
  <c r="K22" i="11"/>
  <c r="J22" i="11"/>
  <c r="I22" i="11"/>
  <c r="H22" i="11"/>
  <c r="AX21" i="11"/>
  <c r="AV21" i="11"/>
  <c r="AW21" i="11" s="1"/>
  <c r="AL21" i="11"/>
  <c r="AK21" i="11"/>
  <c r="AJ21" i="11" s="1"/>
  <c r="AB21" i="11"/>
  <c r="AA21" i="11"/>
  <c r="Z21" i="11"/>
  <c r="R21" i="11"/>
  <c r="Q21" i="11"/>
  <c r="P21" i="11"/>
  <c r="BB20" i="11"/>
  <c r="AZ20" i="11"/>
  <c r="AY20" i="11"/>
  <c r="BA20" i="11" s="1"/>
  <c r="AX20" i="11"/>
  <c r="AV20" i="11"/>
  <c r="AW20" i="11" s="1"/>
  <c r="AL20" i="11"/>
  <c r="AK20" i="11"/>
  <c r="AJ20" i="11" s="1"/>
  <c r="AB20" i="11"/>
  <c r="Z20" i="11"/>
  <c r="AA20" i="11" s="1"/>
  <c r="R20" i="11"/>
  <c r="Q20" i="11"/>
  <c r="P20" i="11"/>
  <c r="BB19" i="11"/>
  <c r="AX19" i="11"/>
  <c r="AW19" i="11"/>
  <c r="AV19" i="11"/>
  <c r="AL19" i="11"/>
  <c r="AK19" i="11"/>
  <c r="AJ19" i="11"/>
  <c r="AB19" i="11"/>
  <c r="AA19" i="11"/>
  <c r="Z19" i="11"/>
  <c r="AY19" i="11" s="1"/>
  <c r="R19" i="11"/>
  <c r="Q19" i="11"/>
  <c r="P19" i="11"/>
  <c r="AX18" i="11"/>
  <c r="AV18" i="11"/>
  <c r="AW18" i="11" s="1"/>
  <c r="AL18" i="11"/>
  <c r="AK18" i="11"/>
  <c r="AJ18" i="11" s="1"/>
  <c r="AB18" i="11"/>
  <c r="Z18" i="11"/>
  <c r="R18" i="11"/>
  <c r="Q18" i="11"/>
  <c r="P18" i="11"/>
  <c r="AX17" i="11"/>
  <c r="AW17" i="11"/>
  <c r="AV17" i="11"/>
  <c r="AL17" i="11"/>
  <c r="AK17" i="11"/>
  <c r="AJ17" i="11" s="1"/>
  <c r="AB17" i="11"/>
  <c r="Z17" i="11"/>
  <c r="AA17" i="11" s="1"/>
  <c r="R17" i="11"/>
  <c r="P17" i="11"/>
  <c r="AX16" i="11"/>
  <c r="AV16" i="11"/>
  <c r="AW16" i="11" s="1"/>
  <c r="AL16" i="11"/>
  <c r="AK16" i="11"/>
  <c r="AJ16" i="11"/>
  <c r="AB16" i="11"/>
  <c r="Z16" i="11"/>
  <c r="AA16" i="11" s="1"/>
  <c r="R16" i="11"/>
  <c r="P16" i="11"/>
  <c r="G16" i="11"/>
  <c r="AX15" i="11"/>
  <c r="AV15" i="11"/>
  <c r="AW15" i="11" s="1"/>
  <c r="AL15" i="11"/>
  <c r="AK15" i="11"/>
  <c r="AJ15" i="11" s="1"/>
  <c r="AB15" i="11"/>
  <c r="Z15" i="11"/>
  <c r="AA15" i="11" s="1"/>
  <c r="R15" i="11"/>
  <c r="P15" i="11"/>
  <c r="Q15" i="11" s="1"/>
  <c r="G15" i="11"/>
  <c r="AX14" i="11"/>
  <c r="AV14" i="11"/>
  <c r="AW14" i="11" s="1"/>
  <c r="AL14" i="11"/>
  <c r="AK14" i="11"/>
  <c r="AJ14" i="11"/>
  <c r="AB14" i="11"/>
  <c r="AA14" i="11"/>
  <c r="Z14" i="11"/>
  <c r="R14" i="11"/>
  <c r="P14" i="11"/>
  <c r="AX13" i="11"/>
  <c r="AV13" i="11"/>
  <c r="AW13" i="11" s="1"/>
  <c r="AL13" i="11"/>
  <c r="AK13" i="11"/>
  <c r="AJ13" i="11" s="1"/>
  <c r="AB13" i="11"/>
  <c r="Z13" i="11"/>
  <c r="AA13" i="11" s="1"/>
  <c r="R13" i="11"/>
  <c r="P13" i="11"/>
  <c r="Q13" i="11" s="1"/>
  <c r="AX12" i="11"/>
  <c r="AV12" i="11"/>
  <c r="AW12" i="11" s="1"/>
  <c r="AL12" i="11"/>
  <c r="AK12" i="11"/>
  <c r="AJ12" i="11" s="1"/>
  <c r="AB12" i="11"/>
  <c r="AA12" i="11"/>
  <c r="Z12" i="11"/>
  <c r="R12" i="11"/>
  <c r="P12" i="11"/>
  <c r="Q12" i="11" s="1"/>
  <c r="G12" i="11"/>
  <c r="AX11" i="11"/>
  <c r="AV11" i="11"/>
  <c r="AW11" i="11" s="1"/>
  <c r="AL11" i="11"/>
  <c r="AK11" i="11"/>
  <c r="AJ11" i="11"/>
  <c r="AB11" i="11"/>
  <c r="AA11" i="11"/>
  <c r="Z11" i="11"/>
  <c r="R11" i="11"/>
  <c r="P11" i="11"/>
  <c r="AX10" i="11"/>
  <c r="AV10" i="11"/>
  <c r="AW10" i="11" s="1"/>
  <c r="AL10" i="11"/>
  <c r="AK10" i="11"/>
  <c r="AJ10" i="11"/>
  <c r="AB10" i="11"/>
  <c r="AA10" i="11"/>
  <c r="Z10" i="11"/>
  <c r="R10" i="11"/>
  <c r="Q10" i="11"/>
  <c r="P10" i="11"/>
  <c r="AX9" i="11"/>
  <c r="AV9" i="11"/>
  <c r="AW9" i="11" s="1"/>
  <c r="AL9" i="11"/>
  <c r="AK9" i="11"/>
  <c r="AJ9" i="11" s="1"/>
  <c r="AB9" i="11"/>
  <c r="AA9" i="11"/>
  <c r="Z9" i="11"/>
  <c r="R9" i="11"/>
  <c r="P9" i="11"/>
  <c r="AY9" i="11" s="1"/>
  <c r="AX8" i="11"/>
  <c r="AW8" i="11"/>
  <c r="AV8" i="11"/>
  <c r="AL8" i="11"/>
  <c r="AK8" i="11"/>
  <c r="AJ8" i="11" s="1"/>
  <c r="AB8" i="11"/>
  <c r="Z8" i="11"/>
  <c r="R8" i="11"/>
  <c r="Q8" i="11"/>
  <c r="P8" i="11"/>
  <c r="G8" i="11"/>
  <c r="AY7" i="11"/>
  <c r="AX7" i="11"/>
  <c r="AW7" i="11"/>
  <c r="AV7" i="11"/>
  <c r="AL7" i="11"/>
  <c r="AK7" i="11"/>
  <c r="AJ7" i="11" s="1"/>
  <c r="AB7" i="11"/>
  <c r="AA7" i="11"/>
  <c r="Z7" i="11"/>
  <c r="R7" i="11"/>
  <c r="Q7" i="11"/>
  <c r="P7" i="11"/>
  <c r="AX6" i="11"/>
  <c r="AV6" i="11"/>
  <c r="AL6" i="11"/>
  <c r="AK6" i="11"/>
  <c r="AJ6" i="11"/>
  <c r="AB6" i="11"/>
  <c r="AA6" i="11"/>
  <c r="Z6" i="11"/>
  <c r="R6" i="11"/>
  <c r="Q6" i="11"/>
  <c r="P6" i="11"/>
  <c r="AX5" i="11"/>
  <c r="AV5" i="11"/>
  <c r="AW5" i="11" s="1"/>
  <c r="AL5" i="11"/>
  <c r="AK5" i="11"/>
  <c r="AJ5" i="11" s="1"/>
  <c r="AB5" i="11"/>
  <c r="Z5" i="11"/>
  <c r="AA5" i="11" s="1"/>
  <c r="R5" i="11"/>
  <c r="P5" i="11"/>
  <c r="G5" i="11"/>
  <c r="AX4" i="11"/>
  <c r="AW4" i="11"/>
  <c r="AV4" i="11"/>
  <c r="AL4" i="11"/>
  <c r="AK4" i="11"/>
  <c r="AB4" i="11"/>
  <c r="AA4" i="11"/>
  <c r="Z4" i="11"/>
  <c r="R4" i="11"/>
  <c r="R22" i="11" s="1"/>
  <c r="Q4" i="11"/>
  <c r="P4" i="11"/>
  <c r="G4" i="11"/>
  <c r="BA3" i="11"/>
  <c r="AY3" i="11"/>
  <c r="AX3" i="11"/>
  <c r="AW3" i="11"/>
  <c r="AV3" i="11"/>
  <c r="AL3" i="11"/>
  <c r="AK3" i="11"/>
  <c r="AJ3" i="11"/>
  <c r="AB3" i="11"/>
  <c r="Z3" i="11"/>
  <c r="AA3" i="11" s="1"/>
  <c r="R3" i="11"/>
  <c r="Q3" i="11"/>
  <c r="P3" i="11"/>
  <c r="G3" i="11"/>
  <c r="AS22" i="10"/>
  <c r="AR22" i="10"/>
  <c r="AQ22" i="10"/>
  <c r="AP22" i="10"/>
  <c r="AO22" i="10"/>
  <c r="AN22" i="10"/>
  <c r="AM22" i="10"/>
  <c r="AL22" i="10"/>
  <c r="AK22" i="10"/>
  <c r="AG22" i="10"/>
  <c r="AF22" i="10"/>
  <c r="AE22" i="10"/>
  <c r="AD22" i="10"/>
  <c r="AC22" i="10"/>
  <c r="AB22" i="10"/>
  <c r="AA22" i="10"/>
  <c r="W22" i="10"/>
  <c r="V22" i="10"/>
  <c r="U22" i="10"/>
  <c r="T22" i="10"/>
  <c r="S22" i="10"/>
  <c r="R22" i="10"/>
  <c r="Q22" i="10"/>
  <c r="M22" i="10"/>
  <c r="L22" i="10"/>
  <c r="K22" i="10"/>
  <c r="J22" i="10"/>
  <c r="I22" i="10"/>
  <c r="H22" i="10"/>
  <c r="G22" i="10"/>
  <c r="F22" i="10"/>
  <c r="AT21" i="10"/>
  <c r="AU21" i="10" s="1"/>
  <c r="AI21" i="10"/>
  <c r="Y21" i="10"/>
  <c r="X21" i="10"/>
  <c r="N21" i="10"/>
  <c r="O21" i="10" s="1"/>
  <c r="AV20" i="10"/>
  <c r="AT20" i="10"/>
  <c r="AU20" i="10" s="1"/>
  <c r="AJ20" i="10"/>
  <c r="AI20" i="10"/>
  <c r="AH20" i="10" s="1"/>
  <c r="Z20" i="10"/>
  <c r="X20" i="10"/>
  <c r="P20" i="10"/>
  <c r="O20" i="10"/>
  <c r="N20" i="10"/>
  <c r="AV19" i="10"/>
  <c r="AU19" i="10"/>
  <c r="AT19" i="10"/>
  <c r="AJ19" i="10"/>
  <c r="AI19" i="10"/>
  <c r="AH19" i="10" s="1"/>
  <c r="Z19" i="10"/>
  <c r="X19" i="10"/>
  <c r="P19" i="10"/>
  <c r="O19" i="10"/>
  <c r="N19" i="10"/>
  <c r="AV18" i="10"/>
  <c r="AT18" i="10"/>
  <c r="AU18" i="10" s="1"/>
  <c r="AJ18" i="10"/>
  <c r="AI18" i="10"/>
  <c r="AH18" i="10"/>
  <c r="Z18" i="10"/>
  <c r="Y18" i="10"/>
  <c r="X18" i="10"/>
  <c r="P18" i="10"/>
  <c r="O18" i="10"/>
  <c r="N18" i="10"/>
  <c r="AV17" i="10"/>
  <c r="AU17" i="10"/>
  <c r="AT17" i="10"/>
  <c r="AJ17" i="10"/>
  <c r="AI17" i="10"/>
  <c r="AH17" i="10"/>
  <c r="Z17" i="10"/>
  <c r="Y17" i="10"/>
  <c r="X17" i="10"/>
  <c r="P17" i="10"/>
  <c r="N17" i="10"/>
  <c r="AV16" i="10"/>
  <c r="AU16" i="10"/>
  <c r="AT16" i="10"/>
  <c r="AJ16" i="10"/>
  <c r="AI16" i="10"/>
  <c r="AH16" i="10" s="1"/>
  <c r="Z16" i="10"/>
  <c r="Y16" i="10"/>
  <c r="X16" i="10"/>
  <c r="P16" i="10"/>
  <c r="N16" i="10"/>
  <c r="AY15" i="10"/>
  <c r="AX15" i="10"/>
  <c r="AW15" i="10"/>
  <c r="AZ15" i="10" s="1"/>
  <c r="AV15" i="10"/>
  <c r="AT15" i="10"/>
  <c r="AU15" i="10" s="1"/>
  <c r="AJ15" i="10"/>
  <c r="AI15" i="10"/>
  <c r="AH15" i="10"/>
  <c r="Z15" i="10"/>
  <c r="X15" i="10"/>
  <c r="Y15" i="10" s="1"/>
  <c r="P15" i="10"/>
  <c r="N15" i="10"/>
  <c r="O15" i="10" s="1"/>
  <c r="AV14" i="10"/>
  <c r="AU14" i="10"/>
  <c r="AT14" i="10"/>
  <c r="AJ14" i="10"/>
  <c r="AI14" i="10"/>
  <c r="AH14" i="10"/>
  <c r="Z14" i="10"/>
  <c r="X14" i="10"/>
  <c r="P14" i="10"/>
  <c r="O14" i="10"/>
  <c r="N14" i="10"/>
  <c r="AV13" i="10"/>
  <c r="AT13" i="10"/>
  <c r="AU13" i="10" s="1"/>
  <c r="AJ13" i="10"/>
  <c r="AI13" i="10"/>
  <c r="AH13" i="10" s="1"/>
  <c r="Z13" i="10"/>
  <c r="X13" i="10"/>
  <c r="Y13" i="10" s="1"/>
  <c r="P13" i="10"/>
  <c r="N13" i="10"/>
  <c r="AV12" i="10"/>
  <c r="AT12" i="10"/>
  <c r="AU12" i="10" s="1"/>
  <c r="AJ12" i="10"/>
  <c r="AI12" i="10"/>
  <c r="AH12" i="10" s="1"/>
  <c r="Z12" i="10"/>
  <c r="X12" i="10"/>
  <c r="Y12" i="10" s="1"/>
  <c r="P12" i="10"/>
  <c r="N12" i="10"/>
  <c r="AV11" i="10"/>
  <c r="AU11" i="10"/>
  <c r="AT11" i="10"/>
  <c r="AJ11" i="10"/>
  <c r="AI11" i="10"/>
  <c r="AH11" i="10" s="1"/>
  <c r="Z11" i="10"/>
  <c r="X11" i="10"/>
  <c r="AW11" i="10" s="1"/>
  <c r="P11" i="10"/>
  <c r="N11" i="10"/>
  <c r="O11" i="10" s="1"/>
  <c r="AV10" i="10"/>
  <c r="AT10" i="10"/>
  <c r="AU10" i="10" s="1"/>
  <c r="AJ10" i="10"/>
  <c r="AI10" i="10"/>
  <c r="AH10" i="10"/>
  <c r="Z10" i="10"/>
  <c r="X10" i="10"/>
  <c r="Y10" i="10" s="1"/>
  <c r="P10" i="10"/>
  <c r="O10" i="10"/>
  <c r="N10" i="10"/>
  <c r="AW9" i="10"/>
  <c r="AY9" i="10" s="1"/>
  <c r="AV9" i="10"/>
  <c r="AT9" i="10"/>
  <c r="AU9" i="10" s="1"/>
  <c r="AJ9" i="10"/>
  <c r="AI9" i="10"/>
  <c r="AH9" i="10"/>
  <c r="Z9" i="10"/>
  <c r="Y9" i="10"/>
  <c r="X9" i="10"/>
  <c r="P9" i="10"/>
  <c r="O9" i="10"/>
  <c r="N9" i="10"/>
  <c r="AV8" i="10"/>
  <c r="AU8" i="10"/>
  <c r="AT8" i="10"/>
  <c r="AJ8" i="10"/>
  <c r="AI8" i="10"/>
  <c r="AH8" i="10" s="1"/>
  <c r="Z8" i="10"/>
  <c r="Y8" i="10"/>
  <c r="X8" i="10"/>
  <c r="P8" i="10"/>
  <c r="N8" i="10"/>
  <c r="AV7" i="10"/>
  <c r="AU7" i="10"/>
  <c r="AT7" i="10"/>
  <c r="AJ7" i="10"/>
  <c r="AI7" i="10"/>
  <c r="AH7" i="10" s="1"/>
  <c r="Z7" i="10"/>
  <c r="X7" i="10"/>
  <c r="Y7" i="10" s="1"/>
  <c r="P7" i="10"/>
  <c r="N7" i="10"/>
  <c r="AV6" i="10"/>
  <c r="AU6" i="10"/>
  <c r="AT6" i="10"/>
  <c r="AJ6" i="10"/>
  <c r="AI6" i="10"/>
  <c r="AH6" i="10"/>
  <c r="Z6" i="10"/>
  <c r="X6" i="10"/>
  <c r="Y6" i="10" s="1"/>
  <c r="P6" i="10"/>
  <c r="N6" i="10"/>
  <c r="AY5" i="10"/>
  <c r="AV5" i="10"/>
  <c r="AT5" i="10"/>
  <c r="AU5" i="10" s="1"/>
  <c r="AJ5" i="10"/>
  <c r="AI5" i="10"/>
  <c r="AH5" i="10"/>
  <c r="Z5" i="10"/>
  <c r="X5" i="10"/>
  <c r="Y5" i="10" s="1"/>
  <c r="P5" i="10"/>
  <c r="O5" i="10"/>
  <c r="N5" i="10"/>
  <c r="AW5" i="10" s="1"/>
  <c r="AV4" i="10"/>
  <c r="AT4" i="10"/>
  <c r="AJ4" i="10"/>
  <c r="AI4" i="10"/>
  <c r="AH4" i="10"/>
  <c r="Z4" i="10"/>
  <c r="Y4" i="10"/>
  <c r="X4" i="10"/>
  <c r="P4" i="10"/>
  <c r="O4" i="10"/>
  <c r="N4" i="10"/>
  <c r="AW3" i="10"/>
  <c r="AV3" i="10"/>
  <c r="AT3" i="10"/>
  <c r="AU3" i="10" s="1"/>
  <c r="AJ3" i="10"/>
  <c r="AI3" i="10"/>
  <c r="AH3" i="10" s="1"/>
  <c r="Z3" i="10"/>
  <c r="X3" i="10"/>
  <c r="Y3" i="10" s="1"/>
  <c r="P3" i="10"/>
  <c r="N3" i="10"/>
  <c r="F1" i="10"/>
  <c r="AK22" i="9"/>
  <c r="AJ22" i="9"/>
  <c r="AI22" i="9"/>
  <c r="AH22" i="9"/>
  <c r="AG22" i="9"/>
  <c r="AF22" i="9"/>
  <c r="AE22" i="9"/>
  <c r="AD22" i="9"/>
  <c r="AC22" i="9"/>
  <c r="AB22" i="9"/>
  <c r="AA22" i="9"/>
  <c r="Z22" i="9"/>
  <c r="Y22" i="9"/>
  <c r="X22" i="9"/>
  <c r="W22" i="9"/>
  <c r="V22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AU21" i="9"/>
  <c r="AS21" i="9"/>
  <c r="AT20" i="9"/>
  <c r="AS20" i="9"/>
  <c r="AS19" i="9"/>
  <c r="AT19" i="9" s="1"/>
  <c r="AV18" i="9"/>
  <c r="AU18" i="9"/>
  <c r="H75" i="18" s="1"/>
  <c r="AS18" i="9"/>
  <c r="AT18" i="9" s="1"/>
  <c r="AU17" i="9"/>
  <c r="H74" i="18" s="1"/>
  <c r="AT17" i="9"/>
  <c r="AS17" i="9"/>
  <c r="AV17" i="9" s="1"/>
  <c r="AV16" i="9"/>
  <c r="AS16" i="9"/>
  <c r="AV15" i="9"/>
  <c r="AU15" i="9"/>
  <c r="H70" i="18" s="1"/>
  <c r="AT15" i="9"/>
  <c r="AS15" i="9"/>
  <c r="AS14" i="9"/>
  <c r="AV13" i="9"/>
  <c r="AT13" i="9"/>
  <c r="AS13" i="9"/>
  <c r="AU13" i="9" s="1"/>
  <c r="AS12" i="9"/>
  <c r="AV11" i="9"/>
  <c r="AU11" i="9"/>
  <c r="H69" i="18" s="1"/>
  <c r="AS11" i="9"/>
  <c r="AT11" i="9" s="1"/>
  <c r="AS10" i="9"/>
  <c r="AV9" i="9"/>
  <c r="AT9" i="9"/>
  <c r="AS9" i="9"/>
  <c r="AU9" i="9" s="1"/>
  <c r="H65" i="18" s="1"/>
  <c r="AV8" i="9"/>
  <c r="AU8" i="9"/>
  <c r="H64" i="18" s="1"/>
  <c r="AT8" i="9"/>
  <c r="AS8" i="9"/>
  <c r="AV7" i="9"/>
  <c r="AU7" i="9"/>
  <c r="H66" i="18" s="1"/>
  <c r="AS7" i="9"/>
  <c r="AS6" i="9"/>
  <c r="AU5" i="9"/>
  <c r="AT5" i="9"/>
  <c r="AS5" i="9"/>
  <c r="AV5" i="9" s="1"/>
  <c r="AV4" i="9"/>
  <c r="AT4" i="9"/>
  <c r="AS4" i="9"/>
  <c r="AU4" i="9" s="1"/>
  <c r="H62" i="18" s="1"/>
  <c r="AV3" i="9"/>
  <c r="AU3" i="9"/>
  <c r="H59" i="18" s="1"/>
  <c r="AT3" i="9"/>
  <c r="AS3" i="9"/>
  <c r="AK22" i="8"/>
  <c r="AJ22" i="8"/>
  <c r="AI22" i="8"/>
  <c r="AH22" i="8"/>
  <c r="AG22" i="8"/>
  <c r="AF22" i="8"/>
  <c r="AE22" i="8"/>
  <c r="AD22" i="8"/>
  <c r="AC22" i="8"/>
  <c r="AB22" i="8"/>
  <c r="AA22" i="8"/>
  <c r="Z22" i="8"/>
  <c r="Y22" i="8"/>
  <c r="X22" i="8"/>
  <c r="W22" i="8"/>
  <c r="V22" i="8"/>
  <c r="U22" i="8"/>
  <c r="T22" i="8"/>
  <c r="S22" i="8"/>
  <c r="R22" i="8"/>
  <c r="Q22" i="8"/>
  <c r="P22" i="8"/>
  <c r="O22" i="8"/>
  <c r="N22" i="8"/>
  <c r="M22" i="8"/>
  <c r="L22" i="8"/>
  <c r="K22" i="8"/>
  <c r="J22" i="8"/>
  <c r="I22" i="8"/>
  <c r="H22" i="8"/>
  <c r="G22" i="8"/>
  <c r="AV21" i="8"/>
  <c r="AU21" i="8"/>
  <c r="AT21" i="8"/>
  <c r="AS21" i="8"/>
  <c r="AT20" i="8"/>
  <c r="AS20" i="8"/>
  <c r="AV19" i="8"/>
  <c r="AT19" i="8"/>
  <c r="AS19" i="8"/>
  <c r="AU19" i="8" s="1"/>
  <c r="G71" i="18" s="1"/>
  <c r="AV18" i="8"/>
  <c r="AU18" i="8"/>
  <c r="G75" i="18" s="1"/>
  <c r="AT18" i="8"/>
  <c r="AS18" i="8"/>
  <c r="AS17" i="8"/>
  <c r="AU17" i="8" s="1"/>
  <c r="G74" i="18" s="1"/>
  <c r="AV16" i="8"/>
  <c r="AT16" i="8"/>
  <c r="AS16" i="8"/>
  <c r="AU16" i="8" s="1"/>
  <c r="G72" i="18" s="1"/>
  <c r="AS15" i="8"/>
  <c r="AV14" i="8"/>
  <c r="AS14" i="8"/>
  <c r="AV13" i="8"/>
  <c r="AU13" i="8"/>
  <c r="AS13" i="8"/>
  <c r="AT13" i="8" s="1"/>
  <c r="AV12" i="8"/>
  <c r="AU12" i="8"/>
  <c r="G68" i="18" s="1"/>
  <c r="AS12" i="8"/>
  <c r="AS11" i="8"/>
  <c r="AV11" i="8" s="1"/>
  <c r="AS10" i="8"/>
  <c r="AV9" i="8"/>
  <c r="AU9" i="8"/>
  <c r="G65" i="18" s="1"/>
  <c r="AT9" i="8"/>
  <c r="AS9" i="8"/>
  <c r="AS8" i="8"/>
  <c r="AV8" i="8" s="1"/>
  <c r="AS7" i="8"/>
  <c r="AU6" i="8"/>
  <c r="G60" i="18" s="1"/>
  <c r="AS6" i="8"/>
  <c r="AV5" i="8"/>
  <c r="AT5" i="8"/>
  <c r="AS5" i="8"/>
  <c r="AU5" i="8" s="1"/>
  <c r="AV4" i="8"/>
  <c r="AS4" i="8"/>
  <c r="AU4" i="8" s="1"/>
  <c r="G62" i="18" s="1"/>
  <c r="AU3" i="8"/>
  <c r="AS3" i="8"/>
  <c r="AU1" i="8"/>
  <c r="F1" i="8"/>
  <c r="AU19" i="7"/>
  <c r="AT19" i="7"/>
  <c r="G19" i="7"/>
  <c r="AV19" i="7" s="1"/>
  <c r="AW19" i="7" s="1"/>
  <c r="A19" i="7"/>
  <c r="AT18" i="7"/>
  <c r="A18" i="7"/>
  <c r="AT17" i="7"/>
  <c r="AU17" i="7" s="1"/>
  <c r="G17" i="7"/>
  <c r="AX17" i="7" s="1"/>
  <c r="A17" i="7"/>
  <c r="AT16" i="7"/>
  <c r="G16" i="7"/>
  <c r="A16" i="7"/>
  <c r="AX15" i="7"/>
  <c r="AW15" i="7"/>
  <c r="AV15" i="7"/>
  <c r="AU15" i="7"/>
  <c r="AT15" i="7"/>
  <c r="G15" i="7"/>
  <c r="A15" i="7"/>
  <c r="AX14" i="7"/>
  <c r="AW14" i="7"/>
  <c r="AT14" i="7"/>
  <c r="AU14" i="7" s="1"/>
  <c r="G14" i="7"/>
  <c r="AV14" i="7" s="1"/>
  <c r="A14" i="7"/>
  <c r="AT13" i="7"/>
  <c r="A13" i="7"/>
  <c r="AT12" i="7"/>
  <c r="G12" i="7"/>
  <c r="A12" i="7"/>
  <c r="AT11" i="7"/>
  <c r="A11" i="7"/>
  <c r="AT10" i="7"/>
  <c r="G10" i="7"/>
  <c r="A10" i="7"/>
  <c r="AU9" i="7"/>
  <c r="AT9" i="7"/>
  <c r="G9" i="7"/>
  <c r="AV9" i="7" s="1"/>
  <c r="AW9" i="7" s="1"/>
  <c r="A9" i="7"/>
  <c r="AX8" i="7"/>
  <c r="AV8" i="7"/>
  <c r="AW8" i="7" s="1"/>
  <c r="AT8" i="7"/>
  <c r="AU8" i="7" s="1"/>
  <c r="G8" i="7"/>
  <c r="A8" i="7"/>
  <c r="AT7" i="7"/>
  <c r="AV7" i="7" s="1"/>
  <c r="AW7" i="7" s="1"/>
  <c r="G7" i="7"/>
  <c r="A7" i="7"/>
  <c r="H6" i="7"/>
  <c r="AT6" i="7" s="1"/>
  <c r="A6" i="7"/>
  <c r="AX5" i="7"/>
  <c r="AV5" i="7"/>
  <c r="AW5" i="7" s="1"/>
  <c r="AT5" i="7"/>
  <c r="AU5" i="7" s="1"/>
  <c r="G5" i="7"/>
  <c r="A5" i="7"/>
  <c r="AT4" i="7"/>
  <c r="A4" i="7"/>
  <c r="AT3" i="7"/>
  <c r="G3" i="7"/>
  <c r="A3" i="7"/>
  <c r="AR22" i="6"/>
  <c r="AQ22" i="6"/>
  <c r="AP22" i="6"/>
  <c r="AO22" i="6"/>
  <c r="AN22" i="6"/>
  <c r="AM22" i="6"/>
  <c r="AL22" i="6"/>
  <c r="AK22" i="6"/>
  <c r="AJ22" i="6"/>
  <c r="AI22" i="6"/>
  <c r="AH22" i="6"/>
  <c r="AG22" i="6"/>
  <c r="AF22" i="6"/>
  <c r="AE22" i="6"/>
  <c r="AD22" i="6"/>
  <c r="AC22" i="6"/>
  <c r="AB22" i="6"/>
  <c r="AA22" i="6"/>
  <c r="Z22" i="6"/>
  <c r="Y22" i="6"/>
  <c r="X22" i="6"/>
  <c r="W22" i="6"/>
  <c r="V22" i="6"/>
  <c r="U22" i="6"/>
  <c r="T22" i="6"/>
  <c r="S22" i="6"/>
  <c r="R22" i="6"/>
  <c r="Q22" i="6"/>
  <c r="P22" i="6"/>
  <c r="O22" i="6"/>
  <c r="N22" i="6"/>
  <c r="M22" i="6"/>
  <c r="L22" i="6"/>
  <c r="K22" i="6"/>
  <c r="J22" i="6"/>
  <c r="I22" i="6"/>
  <c r="H22" i="6"/>
  <c r="G22" i="6"/>
  <c r="F22" i="6"/>
  <c r="AV21" i="6"/>
  <c r="AU21" i="6"/>
  <c r="AT21" i="6"/>
  <c r="AS21" i="6"/>
  <c r="AS20" i="6"/>
  <c r="AV19" i="6"/>
  <c r="AU19" i="6"/>
  <c r="J71" i="18" s="1"/>
  <c r="AT19" i="6"/>
  <c r="AS19" i="6"/>
  <c r="AV18" i="6"/>
  <c r="AU18" i="6"/>
  <c r="J75" i="18" s="1"/>
  <c r="AT18" i="6"/>
  <c r="AS18" i="6"/>
  <c r="AS17" i="6"/>
  <c r="AS16" i="6"/>
  <c r="AT16" i="6" s="1"/>
  <c r="AV15" i="6"/>
  <c r="AU15" i="6"/>
  <c r="J70" i="18" s="1"/>
  <c r="AS15" i="6"/>
  <c r="AT15" i="6" s="1"/>
  <c r="AV14" i="6"/>
  <c r="AU14" i="6"/>
  <c r="J73" i="18" s="1"/>
  <c r="AT14" i="6"/>
  <c r="AS14" i="6"/>
  <c r="AS13" i="6"/>
  <c r="AT13" i="6" s="1"/>
  <c r="AV12" i="6"/>
  <c r="AT12" i="6"/>
  <c r="AS12" i="6"/>
  <c r="AU12" i="6" s="1"/>
  <c r="J68" i="18" s="1"/>
  <c r="AS11" i="6"/>
  <c r="AS10" i="6"/>
  <c r="AV9" i="6"/>
  <c r="AU9" i="6"/>
  <c r="J65" i="18" s="1"/>
  <c r="AT9" i="6"/>
  <c r="AS9" i="6"/>
  <c r="AV8" i="6"/>
  <c r="AU8" i="6"/>
  <c r="J64" i="18" s="1"/>
  <c r="AT8" i="6"/>
  <c r="AS8" i="6"/>
  <c r="AV7" i="6"/>
  <c r="AU7" i="6"/>
  <c r="J66" i="18" s="1"/>
  <c r="AS7" i="6"/>
  <c r="AT7" i="6" s="1"/>
  <c r="AV6" i="6"/>
  <c r="AU6" i="6"/>
  <c r="J60" i="18" s="1"/>
  <c r="AS6" i="6"/>
  <c r="AT6" i="6" s="1"/>
  <c r="AV5" i="6"/>
  <c r="AU5" i="6"/>
  <c r="AS5" i="6"/>
  <c r="AT5" i="6" s="1"/>
  <c r="AV4" i="6"/>
  <c r="AU4" i="6"/>
  <c r="J62" i="18" s="1"/>
  <c r="AT4" i="6"/>
  <c r="AS4" i="6"/>
  <c r="AS3" i="6"/>
  <c r="AT3" i="6" s="1"/>
  <c r="F1" i="6"/>
  <c r="AS21" i="5"/>
  <c r="AR21" i="5"/>
  <c r="AQ21" i="5"/>
  <c r="AP21" i="5"/>
  <c r="AO21" i="5"/>
  <c r="AN21" i="5"/>
  <c r="AM21" i="5"/>
  <c r="AL21" i="5"/>
  <c r="AK21" i="5"/>
  <c r="AJ21" i="5"/>
  <c r="AI21" i="5"/>
  <c r="AH21" i="5"/>
  <c r="AG21" i="5"/>
  <c r="AF21" i="5"/>
  <c r="AE21" i="5"/>
  <c r="AD21" i="5"/>
  <c r="AC21" i="5"/>
  <c r="AB21" i="5"/>
  <c r="AA21" i="5"/>
  <c r="Z21" i="5"/>
  <c r="Y21" i="5"/>
  <c r="X21" i="5"/>
  <c r="W21" i="5"/>
  <c r="V21" i="5"/>
  <c r="U21" i="5"/>
  <c r="T21" i="5"/>
  <c r="S21" i="5"/>
  <c r="R21" i="5"/>
  <c r="Q21" i="5"/>
  <c r="P21" i="5"/>
  <c r="O21" i="5"/>
  <c r="N21" i="5"/>
  <c r="M21" i="5"/>
  <c r="L21" i="5"/>
  <c r="K21" i="5"/>
  <c r="J21" i="5"/>
  <c r="I21" i="5"/>
  <c r="H21" i="5"/>
  <c r="G21" i="5"/>
  <c r="AV20" i="5"/>
  <c r="AT20" i="5"/>
  <c r="AV19" i="5"/>
  <c r="AU19" i="5"/>
  <c r="AS19" i="14" s="1"/>
  <c r="AT19" i="5"/>
  <c r="AW18" i="5"/>
  <c r="AU18" i="14" s="1"/>
  <c r="AV18" i="5"/>
  <c r="AT18" i="14" s="1"/>
  <c r="AT18" i="5"/>
  <c r="AU17" i="5"/>
  <c r="AS17" i="14" s="1"/>
  <c r="AT17" i="5"/>
  <c r="AT16" i="5"/>
  <c r="AU16" i="5" s="1"/>
  <c r="AS16" i="14" s="1"/>
  <c r="AT15" i="5"/>
  <c r="AV15" i="5" s="1"/>
  <c r="AT14" i="5"/>
  <c r="AR14" i="14" s="1"/>
  <c r="AT13" i="5"/>
  <c r="AX12" i="5"/>
  <c r="AV12" i="14" s="1"/>
  <c r="AV12" i="5"/>
  <c r="AT12" i="5"/>
  <c r="AR12" i="14" s="1"/>
  <c r="AT11" i="5"/>
  <c r="AW10" i="5"/>
  <c r="AU10" i="14" s="1"/>
  <c r="AV10" i="5"/>
  <c r="AT10" i="14" s="1"/>
  <c r="AU10" i="5"/>
  <c r="AS10" i="14" s="1"/>
  <c r="AT10" i="5"/>
  <c r="AX9" i="5"/>
  <c r="AV9" i="14" s="1"/>
  <c r="AU9" i="5"/>
  <c r="AS9" i="14" s="1"/>
  <c r="AT9" i="5"/>
  <c r="AV8" i="5"/>
  <c r="AU8" i="5"/>
  <c r="AS8" i="14" s="1"/>
  <c r="AT8" i="5"/>
  <c r="AT7" i="5"/>
  <c r="AT6" i="5"/>
  <c r="AU6" i="5" s="1"/>
  <c r="AS6" i="14" s="1"/>
  <c r="AT5" i="5"/>
  <c r="AX4" i="5"/>
  <c r="AV4" i="14" s="1"/>
  <c r="AV4" i="5"/>
  <c r="AT4" i="5"/>
  <c r="AX3" i="5"/>
  <c r="AV3" i="14" s="1"/>
  <c r="AV3" i="5"/>
  <c r="AT3" i="5"/>
  <c r="AR3" i="14" s="1"/>
  <c r="G1" i="5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AW21" i="4"/>
  <c r="AV21" i="4"/>
  <c r="AU21" i="4"/>
  <c r="AT21" i="4"/>
  <c r="AX21" i="4" s="1"/>
  <c r="AV20" i="4"/>
  <c r="AW20" i="4" s="1"/>
  <c r="AU20" i="4"/>
  <c r="AT20" i="4"/>
  <c r="AX20" i="4" s="1"/>
  <c r="AW19" i="4"/>
  <c r="AV19" i="4"/>
  <c r="D71" i="18" s="1"/>
  <c r="AU19" i="4"/>
  <c r="AT19" i="4"/>
  <c r="AX19" i="4" s="1"/>
  <c r="AV18" i="4"/>
  <c r="AT18" i="4"/>
  <c r="AW17" i="4"/>
  <c r="AV17" i="4"/>
  <c r="D74" i="18" s="1"/>
  <c r="AT17" i="4"/>
  <c r="AX17" i="4" s="1"/>
  <c r="AT16" i="4"/>
  <c r="AU16" i="4" s="1"/>
  <c r="AU15" i="4"/>
  <c r="AT15" i="4"/>
  <c r="AX14" i="4"/>
  <c r="AV14" i="4"/>
  <c r="AU14" i="4"/>
  <c r="AT14" i="4"/>
  <c r="AU13" i="4"/>
  <c r="AT13" i="4"/>
  <c r="AV12" i="4"/>
  <c r="D68" i="18" s="1"/>
  <c r="AU12" i="4"/>
  <c r="AT12" i="4"/>
  <c r="AX12" i="4" s="1"/>
  <c r="AV11" i="4"/>
  <c r="D69" i="18" s="1"/>
  <c r="AU11" i="4"/>
  <c r="AT11" i="4"/>
  <c r="AX11" i="4" s="1"/>
  <c r="AX10" i="4"/>
  <c r="AT10" i="4"/>
  <c r="AX9" i="4"/>
  <c r="AW9" i="4"/>
  <c r="AV9" i="4"/>
  <c r="D65" i="18" s="1"/>
  <c r="AU9" i="4"/>
  <c r="AT9" i="4"/>
  <c r="AV8" i="4"/>
  <c r="D64" i="18" s="1"/>
  <c r="AT8" i="4"/>
  <c r="AV7" i="4"/>
  <c r="D66" i="18" s="1"/>
  <c r="AU7" i="4"/>
  <c r="AT7" i="4"/>
  <c r="AX7" i="4" s="1"/>
  <c r="AV6" i="4"/>
  <c r="AU6" i="4"/>
  <c r="AT6" i="4"/>
  <c r="AX6" i="4" s="1"/>
  <c r="AW5" i="4"/>
  <c r="AV5" i="4"/>
  <c r="AU5" i="4"/>
  <c r="AT5" i="4"/>
  <c r="AX5" i="4" s="1"/>
  <c r="AU4" i="4"/>
  <c r="AT4" i="4"/>
  <c r="AV3" i="4"/>
  <c r="AW3" i="4" s="1"/>
  <c r="AU3" i="4"/>
  <c r="AT3" i="4"/>
  <c r="AX3" i="4" s="1"/>
  <c r="AK1" i="4"/>
  <c r="AJ1" i="4"/>
  <c r="AI1" i="4"/>
  <c r="AH1" i="4"/>
  <c r="AG1" i="4"/>
  <c r="AF1" i="4"/>
  <c r="AE1" i="4"/>
  <c r="AD1" i="4"/>
  <c r="AC1" i="4"/>
  <c r="AB1" i="4"/>
  <c r="AA1" i="4"/>
  <c r="Z1" i="4"/>
  <c r="Y1" i="4"/>
  <c r="X1" i="4"/>
  <c r="W1" i="4"/>
  <c r="V1" i="4"/>
  <c r="U1" i="4"/>
  <c r="T1" i="4"/>
  <c r="S1" i="4"/>
  <c r="R1" i="4"/>
  <c r="Q1" i="4"/>
  <c r="P1" i="4"/>
  <c r="O1" i="4"/>
  <c r="N1" i="4"/>
  <c r="M1" i="4"/>
  <c r="L1" i="4"/>
  <c r="K1" i="4"/>
  <c r="J1" i="4"/>
  <c r="I1" i="4"/>
  <c r="H1" i="4"/>
  <c r="G1" i="4"/>
  <c r="F1" i="4"/>
  <c r="AT20" i="3"/>
  <c r="AS20" i="3"/>
  <c r="AR20" i="3"/>
  <c r="AQ20" i="3"/>
  <c r="AP20" i="3"/>
  <c r="AN20" i="3"/>
  <c r="AM20" i="3"/>
  <c r="AL20" i="3"/>
  <c r="AK20" i="3"/>
  <c r="AJ20" i="3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S20" i="3"/>
  <c r="R20" i="3"/>
  <c r="Q20" i="3"/>
  <c r="P20" i="3"/>
  <c r="N20" i="3"/>
  <c r="K20" i="3"/>
  <c r="J20" i="3"/>
  <c r="I20" i="3"/>
  <c r="F20" i="3"/>
  <c r="AU19" i="3"/>
  <c r="BK18" i="3"/>
  <c r="AU18" i="3"/>
  <c r="AV17" i="3"/>
  <c r="AU17" i="3"/>
  <c r="H17" i="3"/>
  <c r="AW17" i="3" s="1"/>
  <c r="AU16" i="3"/>
  <c r="AU15" i="3"/>
  <c r="AV15" i="3" s="1"/>
  <c r="AW14" i="3"/>
  <c r="AU14" i="3"/>
  <c r="H14" i="3"/>
  <c r="AV13" i="3"/>
  <c r="AU13" i="3"/>
  <c r="AV12" i="3"/>
  <c r="AU12" i="3"/>
  <c r="AV11" i="3"/>
  <c r="AU11" i="3"/>
  <c r="AU10" i="3"/>
  <c r="BK9" i="3"/>
  <c r="AU9" i="3"/>
  <c r="AV9" i="3" s="1"/>
  <c r="AU8" i="3"/>
  <c r="AV7" i="3"/>
  <c r="AU7" i="3"/>
  <c r="L6" i="3"/>
  <c r="L20" i="3" s="1"/>
  <c r="K6" i="3"/>
  <c r="AU6" i="3" s="1"/>
  <c r="H6" i="3"/>
  <c r="BK6" i="3" s="1"/>
  <c r="AV5" i="3"/>
  <c r="AU5" i="3"/>
  <c r="AU4" i="3"/>
  <c r="O4" i="3"/>
  <c r="O20" i="3" s="1"/>
  <c r="AU3" i="3"/>
  <c r="AO3" i="3"/>
  <c r="AV14" i="2" s="1"/>
  <c r="T3" i="3"/>
  <c r="AA3" i="14" s="1"/>
  <c r="M3" i="3"/>
  <c r="M20" i="3" s="1"/>
  <c r="F1" i="3"/>
  <c r="A19" i="2"/>
  <c r="P19" i="1" s="1"/>
  <c r="A18" i="2"/>
  <c r="P18" i="1" s="1"/>
  <c r="A17" i="2"/>
  <c r="P17" i="1" s="1"/>
  <c r="A16" i="2"/>
  <c r="P16" i="1" s="1"/>
  <c r="A15" i="2"/>
  <c r="P15" i="1" s="1"/>
  <c r="A14" i="2"/>
  <c r="P14" i="1" s="1"/>
  <c r="A13" i="2"/>
  <c r="P13" i="1" s="1"/>
  <c r="A12" i="2"/>
  <c r="P12" i="1" s="1"/>
  <c r="A11" i="2"/>
  <c r="P11" i="1" s="1"/>
  <c r="A10" i="2"/>
  <c r="P10" i="1" s="1"/>
  <c r="A9" i="2"/>
  <c r="P9" i="1" s="1"/>
  <c r="A8" i="2"/>
  <c r="P8" i="1" s="1"/>
  <c r="A7" i="2"/>
  <c r="P7" i="1" s="1"/>
  <c r="A6" i="2"/>
  <c r="P6" i="1" s="1"/>
  <c r="A5" i="2"/>
  <c r="P5" i="1" s="1"/>
  <c r="A4" i="2"/>
  <c r="P4" i="1" s="1"/>
  <c r="A3" i="2"/>
  <c r="P3" i="1" s="1"/>
  <c r="AC151" i="1"/>
  <c r="AC150" i="1"/>
  <c r="AC149" i="1"/>
  <c r="AC148" i="1"/>
  <c r="AC147" i="1"/>
  <c r="AC146" i="1"/>
  <c r="AC145" i="1"/>
  <c r="AC144" i="1"/>
  <c r="AC143" i="1"/>
  <c r="AC142" i="1"/>
  <c r="AC141" i="1"/>
  <c r="AC140" i="1"/>
  <c r="AC139" i="1"/>
  <c r="AC138" i="1"/>
  <c r="AC137" i="1"/>
  <c r="AC136" i="1"/>
  <c r="AC135" i="1"/>
  <c r="AC134" i="1"/>
  <c r="AC133" i="1"/>
  <c r="AC132" i="1"/>
  <c r="AC131" i="1"/>
  <c r="AC130" i="1"/>
  <c r="AC129" i="1"/>
  <c r="AC128" i="1"/>
  <c r="AC127" i="1"/>
  <c r="AC126" i="1"/>
  <c r="AC125" i="1"/>
  <c r="AC124" i="1"/>
  <c r="AC123" i="1"/>
  <c r="AC122" i="1"/>
  <c r="AC121" i="1"/>
  <c r="AI104" i="1"/>
  <c r="AH104" i="1"/>
  <c r="AE104" i="1"/>
  <c r="AD104" i="1"/>
  <c r="AC104" i="1"/>
  <c r="AI103" i="1"/>
  <c r="AH103" i="1"/>
  <c r="AE103" i="1"/>
  <c r="AD103" i="1"/>
  <c r="AC103" i="1"/>
  <c r="C103" i="1"/>
  <c r="AI102" i="1"/>
  <c r="AH102" i="1"/>
  <c r="AE102" i="1"/>
  <c r="AD102" i="1"/>
  <c r="AC102" i="1"/>
  <c r="AI101" i="1"/>
  <c r="AH101" i="1"/>
  <c r="AE101" i="1"/>
  <c r="AD101" i="1"/>
  <c r="AC101" i="1"/>
  <c r="AI100" i="1"/>
  <c r="AH100" i="1"/>
  <c r="AE100" i="1"/>
  <c r="AD100" i="1"/>
  <c r="AC100" i="1"/>
  <c r="AH99" i="1"/>
  <c r="AC99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6" i="1"/>
  <c r="Q25" i="1"/>
  <c r="Q24" i="1"/>
  <c r="Q23" i="1"/>
  <c r="Q22" i="1"/>
  <c r="Q21" i="1"/>
  <c r="Q20" i="1"/>
  <c r="Q19" i="1"/>
  <c r="Q18" i="1"/>
  <c r="E18" i="1" a="1"/>
  <c r="E18" i="1"/>
  <c r="C18" i="1" a="1"/>
  <c r="C18" i="1"/>
  <c r="B18" i="1" a="1"/>
  <c r="B18" i="1"/>
  <c r="D18" i="1" s="1"/>
  <c r="Q17" i="1"/>
  <c r="E17" i="1" a="1"/>
  <c r="E17" i="1"/>
  <c r="C17" i="1" a="1"/>
  <c r="C17" i="1" s="1"/>
  <c r="B17" i="1" a="1"/>
  <c r="B17" i="1"/>
  <c r="D17" i="1" s="1"/>
  <c r="Q16" i="1"/>
  <c r="E16" i="1" a="1"/>
  <c r="E16" i="1" s="1"/>
  <c r="C16" i="1" a="1"/>
  <c r="C16" i="1"/>
  <c r="B16" i="1" a="1"/>
  <c r="B16" i="1"/>
  <c r="Q15" i="1"/>
  <c r="E15" i="1" a="1"/>
  <c r="E15" i="1" s="1"/>
  <c r="C15" i="1" a="1"/>
  <c r="C15" i="1" s="1"/>
  <c r="D15" i="1" s="1"/>
  <c r="B15" i="1" a="1"/>
  <c r="B15" i="1"/>
  <c r="Q14" i="1"/>
  <c r="E14" i="1" a="1"/>
  <c r="E14" i="1"/>
  <c r="C14" i="1" a="1"/>
  <c r="C14" i="1" s="1"/>
  <c r="D14" i="1" s="1"/>
  <c r="B14" i="1" a="1"/>
  <c r="B14" i="1"/>
  <c r="Q13" i="1"/>
  <c r="Q12" i="1"/>
  <c r="Q11" i="1"/>
  <c r="Q10" i="1"/>
  <c r="Q9" i="1"/>
  <c r="Q8" i="1"/>
  <c r="Q7" i="1"/>
  <c r="Q6" i="1"/>
  <c r="Q5" i="1"/>
  <c r="Q4" i="1"/>
  <c r="Q3" i="1"/>
  <c r="AZ3" i="12" l="1"/>
  <c r="AX3" i="12"/>
  <c r="AY3" i="12"/>
  <c r="AT1" i="6"/>
  <c r="AT15" i="14"/>
  <c r="AW15" i="5"/>
  <c r="AU15" i="14" s="1"/>
  <c r="AT8" i="14"/>
  <c r="AW8" i="5"/>
  <c r="AU8" i="14" s="1"/>
  <c r="AT10" i="6"/>
  <c r="AT22" i="6" s="1"/>
  <c r="AU10" i="6"/>
  <c r="J61" i="18" s="1"/>
  <c r="AV10" i="6"/>
  <c r="AU10" i="8"/>
  <c r="G61" i="18" s="1"/>
  <c r="AT10" i="8"/>
  <c r="AV10" i="8"/>
  <c r="AW6" i="10"/>
  <c r="AW1" i="10" s="1"/>
  <c r="AZ1" i="10" s="1"/>
  <c r="O6" i="10"/>
  <c r="O8" i="10"/>
  <c r="AW8" i="10"/>
  <c r="AY10" i="11"/>
  <c r="AU14" i="9"/>
  <c r="H73" i="18" s="1"/>
  <c r="AV14" i="9"/>
  <c r="AT14" i="9"/>
  <c r="AV17" i="6"/>
  <c r="AU17" i="6"/>
  <c r="J74" i="18" s="1"/>
  <c r="AT17" i="6"/>
  <c r="AY10" i="3"/>
  <c r="AV16" i="3"/>
  <c r="AR16" i="14"/>
  <c r="AX16" i="5"/>
  <c r="AV16" i="14" s="1"/>
  <c r="AV16" i="5"/>
  <c r="AX19" i="7"/>
  <c r="Y11" i="10"/>
  <c r="AH16" i="2" s="1"/>
  <c r="AW13" i="10"/>
  <c r="O13" i="10"/>
  <c r="Q9" i="11"/>
  <c r="AX8" i="4"/>
  <c r="AU8" i="4"/>
  <c r="AR9" i="14"/>
  <c r="AV9" i="5"/>
  <c r="Q11" i="11"/>
  <c r="AY11" i="11"/>
  <c r="AU8" i="8"/>
  <c r="G64" i="18" s="1"/>
  <c r="AV10" i="3"/>
  <c r="AV3" i="6"/>
  <c r="F13" i="7"/>
  <c r="G13" i="7" s="1"/>
  <c r="E13" i="7"/>
  <c r="B13" i="7"/>
  <c r="AK7" i="2"/>
  <c r="AX4" i="2"/>
  <c r="U4" i="2"/>
  <c r="AS13" i="2"/>
  <c r="AJ7" i="2"/>
  <c r="AW4" i="2"/>
  <c r="T4" i="2"/>
  <c r="AD16" i="2"/>
  <c r="AP13" i="2"/>
  <c r="AH7" i="2"/>
  <c r="AC16" i="2"/>
  <c r="AM13" i="2"/>
  <c r="AE7" i="2"/>
  <c r="AP4" i="2"/>
  <c r="AC7" i="2"/>
  <c r="AO4" i="2"/>
  <c r="X16" i="2"/>
  <c r="AA13" i="2"/>
  <c r="Z7" i="2"/>
  <c r="AM4" i="2"/>
  <c r="Z13" i="2"/>
  <c r="BG7" i="2"/>
  <c r="W7" i="2"/>
  <c r="AL4" i="2"/>
  <c r="Y13" i="2"/>
  <c r="AZ7" i="2"/>
  <c r="V7" i="2"/>
  <c r="AJ4" i="2"/>
  <c r="AW7" i="2"/>
  <c r="S7" i="2"/>
  <c r="AW16" i="2"/>
  <c r="R13" i="2"/>
  <c r="AM7" i="2"/>
  <c r="AG4" i="2"/>
  <c r="AR16" i="2"/>
  <c r="AI16" i="2"/>
  <c r="AG16" i="2"/>
  <c r="Y16" i="2"/>
  <c r="R7" i="2"/>
  <c r="AB4" i="2"/>
  <c r="Q7" i="2"/>
  <c r="Z4" i="2"/>
  <c r="Q4" i="2"/>
  <c r="BG13" i="2"/>
  <c r="R70" i="18" s="1"/>
  <c r="R4" i="2"/>
  <c r="AU7" i="2"/>
  <c r="AT7" i="2"/>
  <c r="AO7" i="2"/>
  <c r="BA16" i="2"/>
  <c r="AN7" i="2"/>
  <c r="AZ16" i="2"/>
  <c r="AZ13" i="2"/>
  <c r="AL7" i="2"/>
  <c r="AY16" i="2"/>
  <c r="AY13" i="2"/>
  <c r="AX16" i="2"/>
  <c r="AW13" i="2"/>
  <c r="AB13" i="2"/>
  <c r="AK6" i="2"/>
  <c r="AZ4" i="2"/>
  <c r="U13" i="2"/>
  <c r="P6" i="2"/>
  <c r="AU4" i="2"/>
  <c r="T13" i="2"/>
  <c r="AN4" i="2"/>
  <c r="AR7" i="2"/>
  <c r="AE4" i="2"/>
  <c r="AQ7" i="2"/>
  <c r="AC4" i="2"/>
  <c r="AF7" i="2"/>
  <c r="AZ5" i="2"/>
  <c r="Y4" i="2"/>
  <c r="AB7" i="2"/>
  <c r="AY5" i="2"/>
  <c r="V4" i="2"/>
  <c r="P7" i="2"/>
  <c r="AT5" i="2"/>
  <c r="AL5" i="2"/>
  <c r="R5" i="2"/>
  <c r="AZ6" i="2"/>
  <c r="AM6" i="2"/>
  <c r="AJ5" i="2"/>
  <c r="AV13" i="2"/>
  <c r="AV3" i="2"/>
  <c r="AV20" i="2" s="1"/>
  <c r="AJ3" i="2"/>
  <c r="X5" i="2"/>
  <c r="BG4" i="2"/>
  <c r="BA4" i="2"/>
  <c r="AR4" i="2"/>
  <c r="AF4" i="2"/>
  <c r="AU13" i="2"/>
  <c r="AE11" i="14"/>
  <c r="AF11" i="14" s="1"/>
  <c r="Z1" i="14"/>
  <c r="Z21" i="14"/>
  <c r="AW8" i="4"/>
  <c r="AX9" i="10"/>
  <c r="AA18" i="11"/>
  <c r="AY18" i="11"/>
  <c r="AU1" i="3"/>
  <c r="AV3" i="3"/>
  <c r="AV14" i="5"/>
  <c r="AX15" i="4"/>
  <c r="AV15" i="4"/>
  <c r="AZ9" i="10"/>
  <c r="BB7" i="11"/>
  <c r="BA7" i="11"/>
  <c r="P22" i="11"/>
  <c r="U4" i="13"/>
  <c r="D75" i="18"/>
  <c r="AW18" i="4"/>
  <c r="AU14" i="5"/>
  <c r="AS14" i="14" s="1"/>
  <c r="AT8" i="8"/>
  <c r="D16" i="1"/>
  <c r="C70" i="18"/>
  <c r="AX14" i="3"/>
  <c r="AX14" i="5"/>
  <c r="AV14" i="14" s="1"/>
  <c r="AR7" i="14"/>
  <c r="AX7" i="5"/>
  <c r="AV7" i="14" s="1"/>
  <c r="AV7" i="5"/>
  <c r="AU7" i="5"/>
  <c r="AS7" i="14" s="1"/>
  <c r="BB9" i="11"/>
  <c r="AZ9" i="11"/>
  <c r="BA9" i="11"/>
  <c r="BG13" i="14"/>
  <c r="BE13" i="14"/>
  <c r="BF13" i="14"/>
  <c r="AU10" i="9"/>
  <c r="H61" i="18" s="1"/>
  <c r="AV10" i="9"/>
  <c r="AI22" i="10"/>
  <c r="AZ7" i="11"/>
  <c r="AY3" i="10"/>
  <c r="AZ3" i="10"/>
  <c r="AX3" i="10"/>
  <c r="AE3" i="14"/>
  <c r="Y21" i="14"/>
  <c r="Y1" i="14"/>
  <c r="AU4" i="10"/>
  <c r="AT22" i="10"/>
  <c r="AW4" i="10"/>
  <c r="AW6" i="3"/>
  <c r="AY6" i="3"/>
  <c r="AV6" i="3"/>
  <c r="AJ4" i="11"/>
  <c r="AJ22" i="11" s="1"/>
  <c r="AK22" i="11"/>
  <c r="AY4" i="11"/>
  <c r="AW14" i="12"/>
  <c r="AU14" i="12"/>
  <c r="Y18" i="12"/>
  <c r="AH5" i="2" s="1"/>
  <c r="AW18" i="12"/>
  <c r="AS1" i="6"/>
  <c r="AV1" i="6" s="1"/>
  <c r="AS22" i="6"/>
  <c r="AV22" i="6" s="1"/>
  <c r="AU3" i="6"/>
  <c r="D73" i="18"/>
  <c r="AW14" i="4"/>
  <c r="AY18" i="3"/>
  <c r="AV18" i="3"/>
  <c r="AW18" i="3"/>
  <c r="AU20" i="3"/>
  <c r="D59" i="18"/>
  <c r="AX16" i="4"/>
  <c r="AV16" i="4"/>
  <c r="AX7" i="7"/>
  <c r="AU7" i="7"/>
  <c r="AX12" i="7"/>
  <c r="AV12" i="7"/>
  <c r="AW12" i="7" s="1"/>
  <c r="AT10" i="9"/>
  <c r="AV19" i="3"/>
  <c r="AX4" i="4"/>
  <c r="AV4" i="4"/>
  <c r="AT1" i="4"/>
  <c r="AR11" i="14"/>
  <c r="AU11" i="5"/>
  <c r="AS11" i="14" s="1"/>
  <c r="AX11" i="5"/>
  <c r="AV11" i="14" s="1"/>
  <c r="AV11" i="5"/>
  <c r="AV20" i="9"/>
  <c r="O3" i="10"/>
  <c r="N22" i="10"/>
  <c r="Y19" i="10"/>
  <c r="AH3" i="2" s="1"/>
  <c r="AW19" i="10"/>
  <c r="W9" i="2"/>
  <c r="AW9" i="12"/>
  <c r="O9" i="12"/>
  <c r="X9" i="2" s="1"/>
  <c r="AY10" i="12"/>
  <c r="I61" i="18" s="1"/>
  <c r="AZ10" i="12"/>
  <c r="AX10" i="12"/>
  <c r="AU3" i="12"/>
  <c r="AU22" i="12" s="1"/>
  <c r="AT22" i="12"/>
  <c r="AJ3" i="12"/>
  <c r="Z3" i="12"/>
  <c r="Z22" i="12" s="1"/>
  <c r="P3" i="12"/>
  <c r="P22" i="12" s="1"/>
  <c r="AV3" i="12"/>
  <c r="AV22" i="12" s="1"/>
  <c r="F22" i="12"/>
  <c r="F1" i="12"/>
  <c r="AU10" i="4"/>
  <c r="AU1" i="4" s="1"/>
  <c r="AV10" i="4"/>
  <c r="P22" i="10"/>
  <c r="W11" i="2"/>
  <c r="O7" i="12"/>
  <c r="AW7" i="12"/>
  <c r="AY9" i="3"/>
  <c r="AW9" i="3"/>
  <c r="AX9" i="3" s="1"/>
  <c r="AT17" i="8"/>
  <c r="AJ21" i="10"/>
  <c r="Z21" i="10"/>
  <c r="AI12" i="2" s="1"/>
  <c r="AV21" i="10"/>
  <c r="C75" i="18"/>
  <c r="AX17" i="3"/>
  <c r="AT20" i="14"/>
  <c r="AW20" i="5"/>
  <c r="AU20" i="14" s="1"/>
  <c r="AU15" i="8"/>
  <c r="G70" i="18" s="1"/>
  <c r="AV15" i="8"/>
  <c r="AW14" i="10"/>
  <c r="AH21" i="10"/>
  <c r="AW21" i="10"/>
  <c r="D60" i="18"/>
  <c r="AW6" i="4"/>
  <c r="AH9" i="2"/>
  <c r="AV16" i="6"/>
  <c r="AU16" i="6"/>
  <c r="J72" i="18" s="1"/>
  <c r="AR6" i="14"/>
  <c r="AR21" i="14" s="1"/>
  <c r="AX6" i="5"/>
  <c r="AV6" i="14" s="1"/>
  <c r="AV21" i="14" s="1"/>
  <c r="AV6" i="5"/>
  <c r="AV21" i="5" s="1"/>
  <c r="AR15" i="14"/>
  <c r="BA15" i="14" s="1"/>
  <c r="BB15" i="14" s="1"/>
  <c r="AX15" i="5"/>
  <c r="AV15" i="14" s="1"/>
  <c r="AU15" i="5"/>
  <c r="AS15" i="14" s="1"/>
  <c r="AV17" i="8"/>
  <c r="AZ11" i="10"/>
  <c r="AX11" i="10"/>
  <c r="AY11" i="10"/>
  <c r="AT4" i="14"/>
  <c r="AW4" i="5"/>
  <c r="AU4" i="14" s="1"/>
  <c r="AV7" i="8"/>
  <c r="AU7" i="8"/>
  <c r="G66" i="18" s="1"/>
  <c r="AT15" i="8"/>
  <c r="F22" i="8"/>
  <c r="Z22" i="10"/>
  <c r="Y14" i="10"/>
  <c r="AH4" i="2" s="1"/>
  <c r="O16" i="10"/>
  <c r="X6" i="2" s="1"/>
  <c r="AW16" i="10"/>
  <c r="AU18" i="4"/>
  <c r="AU22" i="4" s="1"/>
  <c r="AX18" i="4"/>
  <c r="AU13" i="5"/>
  <c r="AX13" i="5"/>
  <c r="AV13" i="5"/>
  <c r="AW13" i="5" s="1"/>
  <c r="AV3" i="7"/>
  <c r="AW3" i="7" s="1"/>
  <c r="AX3" i="7"/>
  <c r="AU3" i="7"/>
  <c r="AT7" i="8"/>
  <c r="AH22" i="10"/>
  <c r="AH3" i="12"/>
  <c r="AI22" i="12"/>
  <c r="AA21" i="14"/>
  <c r="AR17" i="14"/>
  <c r="AX17" i="5"/>
  <c r="AV17" i="14" s="1"/>
  <c r="AT21" i="9"/>
  <c r="AV21" i="9"/>
  <c r="AW18" i="10"/>
  <c r="AY17" i="11"/>
  <c r="Q17" i="11"/>
  <c r="X7" i="2" s="1"/>
  <c r="AY19" i="12"/>
  <c r="I71" i="18" s="1"/>
  <c r="AX19" i="12"/>
  <c r="AZ19" i="12"/>
  <c r="AR10" i="14"/>
  <c r="BA10" i="14" s="1"/>
  <c r="BB10" i="14" s="1"/>
  <c r="AX10" i="5"/>
  <c r="AV10" i="14" s="1"/>
  <c r="AV17" i="5"/>
  <c r="AX5" i="10"/>
  <c r="AZ5" i="10"/>
  <c r="AB22" i="11"/>
  <c r="AR18" i="14"/>
  <c r="AX18" i="5"/>
  <c r="AV18" i="14" s="1"/>
  <c r="AU16" i="7"/>
  <c r="AX16" i="7"/>
  <c r="AV16" i="7"/>
  <c r="AV3" i="8"/>
  <c r="AT3" i="8"/>
  <c r="AS22" i="8"/>
  <c r="AV22" i="8" s="1"/>
  <c r="AJ22" i="10"/>
  <c r="AG19" i="2"/>
  <c r="X22" i="12"/>
  <c r="Y4" i="12"/>
  <c r="AH19" i="2" s="1"/>
  <c r="AA1" i="14"/>
  <c r="AR4" i="14"/>
  <c r="AU4" i="5"/>
  <c r="AS4" i="14" s="1"/>
  <c r="AT21" i="5"/>
  <c r="AX21" i="5" s="1"/>
  <c r="AU18" i="5"/>
  <c r="AS18" i="14" s="1"/>
  <c r="G59" i="18"/>
  <c r="AS1" i="8"/>
  <c r="AV1" i="8" s="1"/>
  <c r="AT12" i="8"/>
  <c r="AT1" i="8" s="1"/>
  <c r="AU22" i="10"/>
  <c r="AW7" i="10"/>
  <c r="O7" i="10"/>
  <c r="AW6" i="11"/>
  <c r="AW22" i="11" s="1"/>
  <c r="AV22" i="11"/>
  <c r="BC19" i="14"/>
  <c r="BL19" i="14"/>
  <c r="AQ19" i="14"/>
  <c r="AG19" i="14"/>
  <c r="AL22" i="11"/>
  <c r="BA19" i="11"/>
  <c r="AZ19" i="11"/>
  <c r="AV13" i="7"/>
  <c r="AW13" i="7" s="1"/>
  <c r="AX13" i="7"/>
  <c r="AU13" i="7"/>
  <c r="AV17" i="7"/>
  <c r="AW17" i="7" s="1"/>
  <c r="AY5" i="11"/>
  <c r="Q5" i="11"/>
  <c r="Q22" i="11" s="1"/>
  <c r="G8" i="3"/>
  <c r="H8" i="3" s="1"/>
  <c r="G8" i="2"/>
  <c r="O8" i="2" s="1"/>
  <c r="V9" i="13"/>
  <c r="T9" i="13"/>
  <c r="U9" i="13" s="1"/>
  <c r="AO21" i="14"/>
  <c r="AO1" i="14"/>
  <c r="AV8" i="3"/>
  <c r="AR5" i="14"/>
  <c r="AX5" i="5"/>
  <c r="AV5" i="14" s="1"/>
  <c r="AV1" i="14" s="1"/>
  <c r="T20" i="3"/>
  <c r="AW12" i="4"/>
  <c r="AU5" i="5"/>
  <c r="AS5" i="14" s="1"/>
  <c r="AU13" i="6"/>
  <c r="AU1" i="9"/>
  <c r="AW17" i="10"/>
  <c r="O17" i="10"/>
  <c r="AX22" i="11"/>
  <c r="AY14" i="11"/>
  <c r="Q14" i="11"/>
  <c r="X4" i="2" s="1"/>
  <c r="AY15" i="11"/>
  <c r="AP21" i="14"/>
  <c r="AP1" i="14"/>
  <c r="AV4" i="3"/>
  <c r="AV5" i="5"/>
  <c r="AT12" i="14"/>
  <c r="AW12" i="5"/>
  <c r="AU12" i="14" s="1"/>
  <c r="AT19" i="14"/>
  <c r="AW19" i="5"/>
  <c r="AU19" i="14" s="1"/>
  <c r="AV13" i="6"/>
  <c r="AT20" i="6"/>
  <c r="AU20" i="6"/>
  <c r="AX9" i="7"/>
  <c r="AS8" i="2"/>
  <c r="V10" i="14"/>
  <c r="BD10" i="14"/>
  <c r="AY8" i="3"/>
  <c r="AW7" i="4"/>
  <c r="AR20" i="14"/>
  <c r="AU20" i="5"/>
  <c r="AS20" i="14" s="1"/>
  <c r="AX20" i="5"/>
  <c r="AV20" i="14" s="1"/>
  <c r="AV20" i="6"/>
  <c r="AV6" i="8"/>
  <c r="AT6" i="8"/>
  <c r="AT14" i="8"/>
  <c r="AU14" i="8"/>
  <c r="G73" i="18" s="1"/>
  <c r="AS22" i="9"/>
  <c r="AX16" i="12"/>
  <c r="AZ16" i="12"/>
  <c r="AY16" i="12"/>
  <c r="I72" i="18" s="1"/>
  <c r="Q16" i="11"/>
  <c r="AY16" i="11"/>
  <c r="AY17" i="3"/>
  <c r="AV22" i="10"/>
  <c r="AW10" i="10"/>
  <c r="AY12" i="11"/>
  <c r="O4" i="12"/>
  <c r="AW4" i="12"/>
  <c r="AR11" i="2"/>
  <c r="AH7" i="12"/>
  <c r="AQ11" i="2" s="1"/>
  <c r="Y12" i="2"/>
  <c r="AZ3" i="11"/>
  <c r="BB3" i="11"/>
  <c r="AA8" i="11"/>
  <c r="AA22" i="11" s="1"/>
  <c r="AY8" i="11"/>
  <c r="AS9" i="2"/>
  <c r="O16" i="12"/>
  <c r="AW13" i="12"/>
  <c r="BL14" i="14"/>
  <c r="AQ14" i="14"/>
  <c r="BC14" i="14"/>
  <c r="AU11" i="6"/>
  <c r="J69" i="18" s="1"/>
  <c r="AT11" i="6"/>
  <c r="AW12" i="10"/>
  <c r="O12" i="10"/>
  <c r="X10" i="2" s="1"/>
  <c r="Z22" i="11"/>
  <c r="AR19" i="2"/>
  <c r="AH4" i="12"/>
  <c r="AY17" i="12"/>
  <c r="I74" i="18" s="1"/>
  <c r="AG20" i="14"/>
  <c r="W20" i="14"/>
  <c r="AH17" i="2"/>
  <c r="G12" i="2"/>
  <c r="G19" i="3"/>
  <c r="H19" i="3" s="1"/>
  <c r="AW19" i="3" s="1"/>
  <c r="AX19" i="3" s="1"/>
  <c r="V8" i="13"/>
  <c r="G4" i="2"/>
  <c r="G13" i="3"/>
  <c r="H13" i="3" s="1"/>
  <c r="V18" i="13"/>
  <c r="T18" i="13"/>
  <c r="U18" i="13" s="1"/>
  <c r="AX10" i="7"/>
  <c r="AU10" i="7"/>
  <c r="X22" i="10"/>
  <c r="Y13" i="12"/>
  <c r="AW11" i="4"/>
  <c r="AU17" i="4"/>
  <c r="AT22" i="4"/>
  <c r="AX22" i="4" s="1"/>
  <c r="AR8" i="14"/>
  <c r="AX8" i="5"/>
  <c r="AV8" i="14" s="1"/>
  <c r="AR19" i="14"/>
  <c r="AX19" i="5"/>
  <c r="AV19" i="14" s="1"/>
  <c r="AV11" i="6"/>
  <c r="AV10" i="7"/>
  <c r="AW10" i="7" s="1"/>
  <c r="AT4" i="8"/>
  <c r="AT11" i="8"/>
  <c r="AU19" i="9"/>
  <c r="H71" i="18" s="1"/>
  <c r="T8" i="13"/>
  <c r="U8" i="13" s="1"/>
  <c r="U21" i="14"/>
  <c r="V4" i="14"/>
  <c r="V14" i="14"/>
  <c r="AY14" i="3"/>
  <c r="AV14" i="3"/>
  <c r="AU11" i="8"/>
  <c r="G69" i="18" s="1"/>
  <c r="AT7" i="9"/>
  <c r="AT1" i="9" s="1"/>
  <c r="AS1" i="9"/>
  <c r="AV19" i="9"/>
  <c r="F12" i="9"/>
  <c r="L10" i="2"/>
  <c r="S13" i="13"/>
  <c r="S2" i="13" s="1"/>
  <c r="BL10" i="14"/>
  <c r="BC10" i="14"/>
  <c r="AQ10" i="14"/>
  <c r="AQ21" i="14" s="1"/>
  <c r="W14" i="14"/>
  <c r="V16" i="14"/>
  <c r="V8" i="14"/>
  <c r="V18" i="14"/>
  <c r="W15" i="2"/>
  <c r="AW5" i="12"/>
  <c r="O5" i="12"/>
  <c r="AI8" i="2"/>
  <c r="AG18" i="2"/>
  <c r="Y10" i="12"/>
  <c r="AH18" i="2" s="1"/>
  <c r="G3" i="3"/>
  <c r="J2" i="13"/>
  <c r="V4" i="13"/>
  <c r="AF6" i="14"/>
  <c r="AX13" i="4"/>
  <c r="AV13" i="4"/>
  <c r="AW13" i="4" s="1"/>
  <c r="AT3" i="14"/>
  <c r="AW3" i="5"/>
  <c r="Y20" i="10"/>
  <c r="AW20" i="10"/>
  <c r="AR8" i="2"/>
  <c r="AH8" i="12"/>
  <c r="AQ8" i="2" s="1"/>
  <c r="AI18" i="2"/>
  <c r="AW12" i="12"/>
  <c r="AG10" i="14"/>
  <c r="AT16" i="9"/>
  <c r="AU16" i="9"/>
  <c r="H72" i="18" s="1"/>
  <c r="AY13" i="11"/>
  <c r="AY21" i="11"/>
  <c r="X17" i="2"/>
  <c r="AR10" i="2"/>
  <c r="AW20" i="12"/>
  <c r="AT6" i="9"/>
  <c r="AT22" i="9" s="1"/>
  <c r="AU6" i="9"/>
  <c r="AU12" i="9"/>
  <c r="H68" i="18" s="1"/>
  <c r="O3" i="12"/>
  <c r="N22" i="12"/>
  <c r="AQ9" i="2"/>
  <c r="AS10" i="2"/>
  <c r="O20" i="12"/>
  <c r="V9" i="14"/>
  <c r="AO20" i="3"/>
  <c r="AU3" i="5"/>
  <c r="AU12" i="5"/>
  <c r="AS12" i="14" s="1"/>
  <c r="BA12" i="14" s="1"/>
  <c r="AV6" i="9"/>
  <c r="AT12" i="9"/>
  <c r="AG14" i="2"/>
  <c r="Y3" i="12"/>
  <c r="AH14" i="2" s="1"/>
  <c r="AI17" i="2"/>
  <c r="AR9" i="2"/>
  <c r="AW11" i="12"/>
  <c r="BL13" i="14"/>
  <c r="BC13" i="14"/>
  <c r="BB13" i="14"/>
  <c r="AG13" i="14"/>
  <c r="W13" i="14"/>
  <c r="AQ18" i="14"/>
  <c r="BC18" i="14"/>
  <c r="W18" i="14"/>
  <c r="AS17" i="2"/>
  <c r="O8" i="12"/>
  <c r="X8" i="2" s="1"/>
  <c r="AW8" i="12"/>
  <c r="G5" i="3"/>
  <c r="H5" i="3" s="1"/>
  <c r="G15" i="2"/>
  <c r="W6" i="14"/>
  <c r="BC6" i="14"/>
  <c r="AG6" i="14"/>
  <c r="AG21" i="14" s="1"/>
  <c r="AY6" i="11"/>
  <c r="Y15" i="2"/>
  <c r="Y8" i="2"/>
  <c r="G15" i="3"/>
  <c r="H15" i="3" s="1"/>
  <c r="AW15" i="3" s="1"/>
  <c r="V17" i="13"/>
  <c r="AI10" i="2"/>
  <c r="G12" i="3"/>
  <c r="H12" i="3" s="1"/>
  <c r="G10" i="2"/>
  <c r="O10" i="2" s="1"/>
  <c r="E11" i="15" s="1"/>
  <c r="H11" i="15" s="1"/>
  <c r="J11" i="15" s="1"/>
  <c r="T13" i="13"/>
  <c r="U13" i="13" s="1"/>
  <c r="D10" i="16"/>
  <c r="L10" i="16"/>
  <c r="M21" i="14"/>
  <c r="W21" i="14" s="1"/>
  <c r="BA3" i="2"/>
  <c r="AG3" i="2"/>
  <c r="AZ3" i="2"/>
  <c r="AE3" i="2"/>
  <c r="J3" i="2"/>
  <c r="AS3" i="2"/>
  <c r="X3" i="2"/>
  <c r="AL3" i="2"/>
  <c r="Q3" i="2"/>
  <c r="AI3" i="2"/>
  <c r="M3" i="2"/>
  <c r="AR3" i="2"/>
  <c r="S3" i="2"/>
  <c r="AT3" i="2"/>
  <c r="R3" i="2"/>
  <c r="AQ3" i="2"/>
  <c r="P3" i="2"/>
  <c r="AN3" i="2"/>
  <c r="K3" i="2"/>
  <c r="AM3" i="2"/>
  <c r="I3" i="2"/>
  <c r="AD3" i="2"/>
  <c r="AC3" i="2"/>
  <c r="AY3" i="2"/>
  <c r="H3" i="2"/>
  <c r="AU3" i="2"/>
  <c r="AP3" i="2"/>
  <c r="AF3" i="2"/>
  <c r="AF20" i="2" s="1"/>
  <c r="AA3" i="2"/>
  <c r="W3" i="2"/>
  <c r="V3" i="2"/>
  <c r="U3" i="2"/>
  <c r="L3" i="2"/>
  <c r="G3" i="2"/>
  <c r="AW3" i="2"/>
  <c r="AK3" i="2"/>
  <c r="AB3" i="2"/>
  <c r="Z3" i="2"/>
  <c r="Y3" i="2"/>
  <c r="BH3" i="2"/>
  <c r="BG3" i="2"/>
  <c r="R71" i="18" s="1"/>
  <c r="AX3" i="2"/>
  <c r="T3" i="2"/>
  <c r="G16" i="2"/>
  <c r="O16" i="2" s="1"/>
  <c r="E12" i="15" s="1"/>
  <c r="H12" i="15" s="1"/>
  <c r="J12" i="15" s="1"/>
  <c r="G11" i="3"/>
  <c r="H11" i="3" s="1"/>
  <c r="V14" i="13"/>
  <c r="W4" i="14"/>
  <c r="W1" i="14" s="1"/>
  <c r="V5" i="13"/>
  <c r="G10" i="3"/>
  <c r="H10" i="3" s="1"/>
  <c r="G18" i="2"/>
  <c r="AG8" i="14"/>
  <c r="BL8" i="14"/>
  <c r="AG9" i="14"/>
  <c r="N3" i="2"/>
  <c r="AU20" i="8"/>
  <c r="AW21" i="12"/>
  <c r="AO3" i="2"/>
  <c r="BC11" i="14"/>
  <c r="AG11" i="14"/>
  <c r="Y17" i="2"/>
  <c r="U1" i="14"/>
  <c r="BC9" i="14"/>
  <c r="AG16" i="14"/>
  <c r="G4" i="3"/>
  <c r="H4" i="3" s="1"/>
  <c r="T7" i="13"/>
  <c r="U7" i="13" s="1"/>
  <c r="AQ17" i="14"/>
  <c r="B6" i="16"/>
  <c r="J6" i="16"/>
  <c r="Y6" i="1"/>
  <c r="L7" i="16"/>
  <c r="D7" i="16"/>
  <c r="AN16" i="2"/>
  <c r="B15" i="16"/>
  <c r="J15" i="16"/>
  <c r="Y15" i="1"/>
  <c r="G7" i="3"/>
  <c r="H7" i="3" s="1"/>
  <c r="G11" i="2"/>
  <c r="AQ6" i="2"/>
  <c r="W6" i="2"/>
  <c r="AX6" i="2"/>
  <c r="AC6" i="2"/>
  <c r="G6" i="2"/>
  <c r="O6" i="2" s="1"/>
  <c r="E15" i="15" s="1"/>
  <c r="H15" i="15" s="1"/>
  <c r="J15" i="15" s="1"/>
  <c r="AP6" i="2"/>
  <c r="U6" i="2"/>
  <c r="AI6" i="2"/>
  <c r="M6" i="2"/>
  <c r="BA6" i="2"/>
  <c r="AF6" i="2"/>
  <c r="J6" i="2"/>
  <c r="AY6" i="2"/>
  <c r="Y6" i="2"/>
  <c r="AG6" i="2"/>
  <c r="AE6" i="2"/>
  <c r="BH6" i="2"/>
  <c r="AA6" i="2"/>
  <c r="BG6" i="2"/>
  <c r="R72" i="18" s="1"/>
  <c r="Z6" i="2"/>
  <c r="AW6" i="2"/>
  <c r="V6" i="2"/>
  <c r="AV6" i="2"/>
  <c r="T6" i="2"/>
  <c r="AU6" i="2"/>
  <c r="S6" i="2"/>
  <c r="AT6" i="2"/>
  <c r="R6" i="2"/>
  <c r="AS6" i="2"/>
  <c r="Q6" i="2"/>
  <c r="AL6" i="2"/>
  <c r="AD6" i="2"/>
  <c r="AB6" i="2"/>
  <c r="L6" i="2"/>
  <c r="I6" i="2"/>
  <c r="AR6" i="2"/>
  <c r="AO6" i="2"/>
  <c r="AN6" i="2"/>
  <c r="AJ6" i="2"/>
  <c r="AH6" i="2"/>
  <c r="G7" i="2"/>
  <c r="G16" i="3"/>
  <c r="H16" i="3" s="1"/>
  <c r="AY16" i="3" s="1"/>
  <c r="B5" i="16"/>
  <c r="J5" i="16"/>
  <c r="BA5" i="2"/>
  <c r="AG5" i="2"/>
  <c r="L5" i="2"/>
  <c r="AK5" i="2"/>
  <c r="P5" i="2"/>
  <c r="AX5" i="2"/>
  <c r="AC5" i="2"/>
  <c r="G5" i="2"/>
  <c r="AQ5" i="2"/>
  <c r="V5" i="2"/>
  <c r="AN5" i="2"/>
  <c r="S5" i="2"/>
  <c r="AV5" i="2"/>
  <c r="W5" i="2"/>
  <c r="BH5" i="2"/>
  <c r="AA5" i="2"/>
  <c r="BG5" i="2"/>
  <c r="R75" i="18" s="1"/>
  <c r="Z5" i="2"/>
  <c r="AW5" i="2"/>
  <c r="U5" i="2"/>
  <c r="AU5" i="2"/>
  <c r="T5" i="2"/>
  <c r="AS5" i="2"/>
  <c r="Q5" i="2"/>
  <c r="AR5" i="2"/>
  <c r="N5" i="2"/>
  <c r="AP5" i="2"/>
  <c r="M5" i="2"/>
  <c r="AO5" i="2"/>
  <c r="K5" i="2"/>
  <c r="AM5" i="2"/>
  <c r="J5" i="2"/>
  <c r="AI5" i="2"/>
  <c r="AD5" i="2"/>
  <c r="AB5" i="2"/>
  <c r="I5" i="2"/>
  <c r="H5" i="2"/>
  <c r="J9" i="16"/>
  <c r="B9" i="16"/>
  <c r="Y9" i="1"/>
  <c r="Y5" i="2"/>
  <c r="AE5" i="2"/>
  <c r="AF5" i="2"/>
  <c r="J4" i="16"/>
  <c r="B4" i="16"/>
  <c r="F18" i="15"/>
  <c r="G18" i="15"/>
  <c r="AQ14" i="2"/>
  <c r="W14" i="2"/>
  <c r="AX14" i="2"/>
  <c r="AC14" i="2"/>
  <c r="G14" i="2"/>
  <c r="AP14" i="2"/>
  <c r="U14" i="2"/>
  <c r="AI14" i="2"/>
  <c r="M14" i="2"/>
  <c r="BA14" i="2"/>
  <c r="AF14" i="2"/>
  <c r="J14" i="2"/>
  <c r="AT14" i="2"/>
  <c r="S14" i="2"/>
  <c r="AR14" i="2"/>
  <c r="Q14" i="2"/>
  <c r="AN14" i="2"/>
  <c r="N14" i="2"/>
  <c r="AM14" i="2"/>
  <c r="L14" i="2"/>
  <c r="AL14" i="2"/>
  <c r="K14" i="2"/>
  <c r="AK14" i="2"/>
  <c r="I14" i="2"/>
  <c r="AJ14" i="2"/>
  <c r="H14" i="2"/>
  <c r="AE14" i="2"/>
  <c r="AD14" i="2"/>
  <c r="AB14" i="2"/>
  <c r="AA14" i="2"/>
  <c r="Z14" i="2"/>
  <c r="Y14" i="2"/>
  <c r="V14" i="2"/>
  <c r="T14" i="2"/>
  <c r="BH14" i="2"/>
  <c r="R14" i="2"/>
  <c r="BG14" i="2"/>
  <c r="R59" i="18" s="1"/>
  <c r="P14" i="2"/>
  <c r="AZ14" i="2"/>
  <c r="L14" i="16"/>
  <c r="D14" i="16"/>
  <c r="AM16" i="2"/>
  <c r="AO14" i="2"/>
  <c r="B18" i="16"/>
  <c r="J18" i="16"/>
  <c r="AW14" i="2"/>
  <c r="B3" i="16"/>
  <c r="J3" i="16"/>
  <c r="BA9" i="2"/>
  <c r="AG9" i="2"/>
  <c r="L9" i="2"/>
  <c r="AU9" i="2"/>
  <c r="Z9" i="2"/>
  <c r="AN9" i="2"/>
  <c r="S9" i="2"/>
  <c r="BG9" i="2"/>
  <c r="R65" i="18" s="1"/>
  <c r="AF9" i="2"/>
  <c r="J9" i="2"/>
  <c r="AX9" i="2"/>
  <c r="AC9" i="2"/>
  <c r="G9" i="2"/>
  <c r="AI9" i="2"/>
  <c r="AB9" i="2"/>
  <c r="AZ9" i="2"/>
  <c r="Y9" i="2"/>
  <c r="AK9" i="2"/>
  <c r="AU10" i="2"/>
  <c r="W13" i="2"/>
  <c r="B13" i="16"/>
  <c r="J13" i="16"/>
  <c r="AC15" i="2"/>
  <c r="BG16" i="2"/>
  <c r="R69" i="18" s="1"/>
  <c r="AL18" i="2"/>
  <c r="AL19" i="2"/>
  <c r="AI4" i="2"/>
  <c r="T7" i="2"/>
  <c r="AX7" i="2"/>
  <c r="AB8" i="2"/>
  <c r="AL9" i="2"/>
  <c r="AV10" i="2"/>
  <c r="Z11" i="2"/>
  <c r="AR12" i="2"/>
  <c r="X13" i="2"/>
  <c r="BA17" i="2"/>
  <c r="AG17" i="2"/>
  <c r="L17" i="2"/>
  <c r="AU17" i="2"/>
  <c r="Z17" i="2"/>
  <c r="AN17" i="2"/>
  <c r="S17" i="2"/>
  <c r="BG17" i="2"/>
  <c r="R60" i="18" s="1"/>
  <c r="AF17" i="2"/>
  <c r="J17" i="2"/>
  <c r="AX17" i="2"/>
  <c r="AC17" i="2"/>
  <c r="G17" i="2"/>
  <c r="AW17" i="2"/>
  <c r="W17" i="2"/>
  <c r="AV17" i="2"/>
  <c r="V17" i="2"/>
  <c r="AT17" i="2"/>
  <c r="U17" i="2"/>
  <c r="AR17" i="2"/>
  <c r="R17" i="2"/>
  <c r="AQ17" i="2"/>
  <c r="Q17" i="2"/>
  <c r="AP17" i="2"/>
  <c r="P17" i="2"/>
  <c r="AO17" i="2"/>
  <c r="N17" i="2"/>
  <c r="AM17" i="2"/>
  <c r="M17" i="2"/>
  <c r="BH17" i="2"/>
  <c r="N60" i="18" s="1"/>
  <c r="AN19" i="2"/>
  <c r="Q16" i="2"/>
  <c r="B16" i="16"/>
  <c r="J16" i="16"/>
  <c r="AR18" i="2"/>
  <c r="W18" i="2"/>
  <c r="AN18" i="2"/>
  <c r="R18" i="2"/>
  <c r="BG18" i="2"/>
  <c r="R61" i="18" s="1"/>
  <c r="AF18" i="2"/>
  <c r="J18" i="2"/>
  <c r="AU18" i="2"/>
  <c r="Y18" i="2"/>
  <c r="AQ18" i="2"/>
  <c r="U18" i="2"/>
  <c r="BA18" i="2"/>
  <c r="AA18" i="2"/>
  <c r="AZ18" i="2"/>
  <c r="Z18" i="2"/>
  <c r="AY18" i="2"/>
  <c r="X18" i="2"/>
  <c r="AW18" i="2"/>
  <c r="T18" i="2"/>
  <c r="AV18" i="2"/>
  <c r="S18" i="2"/>
  <c r="AT18" i="2"/>
  <c r="Q18" i="2"/>
  <c r="AS18" i="2"/>
  <c r="P18" i="2"/>
  <c r="AP18" i="2"/>
  <c r="N18" i="2"/>
  <c r="AX18" i="2"/>
  <c r="AO19" i="2"/>
  <c r="B72" i="18"/>
  <c r="B67" i="18"/>
  <c r="B62" i="18"/>
  <c r="N75" i="18"/>
  <c r="R73" i="18"/>
  <c r="N72" i="18"/>
  <c r="R68" i="18"/>
  <c r="N67" i="18"/>
  <c r="R63" i="18"/>
  <c r="J2" i="16"/>
  <c r="B75" i="18"/>
  <c r="B70" i="18"/>
  <c r="B65" i="18"/>
  <c r="B60" i="18"/>
  <c r="R74" i="18"/>
  <c r="N73" i="18"/>
  <c r="N68" i="18"/>
  <c r="R64" i="18"/>
  <c r="N63" i="18"/>
  <c r="B71" i="18"/>
  <c r="B66" i="18"/>
  <c r="B61" i="18"/>
  <c r="B2" i="16"/>
  <c r="B69" i="18"/>
  <c r="B64" i="18"/>
  <c r="N74" i="18"/>
  <c r="N71" i="18"/>
  <c r="B74" i="18"/>
  <c r="B68" i="18"/>
  <c r="N65" i="18"/>
  <c r="N70" i="18"/>
  <c r="B73" i="18"/>
  <c r="N59" i="18"/>
  <c r="N69" i="18"/>
  <c r="N64" i="18"/>
  <c r="R66" i="18"/>
  <c r="B59" i="18"/>
  <c r="B63" i="18"/>
  <c r="V16" i="2"/>
  <c r="J17" i="16"/>
  <c r="B17" i="16"/>
  <c r="BH18" i="2"/>
  <c r="J14" i="16"/>
  <c r="B14" i="16"/>
  <c r="BG19" i="2"/>
  <c r="R62" i="18" s="1"/>
  <c r="M19" i="2"/>
  <c r="BA19" i="2"/>
  <c r="AF19" i="2"/>
  <c r="J19" i="2"/>
  <c r="AT19" i="2"/>
  <c r="Y19" i="2"/>
  <c r="AM19" i="2"/>
  <c r="R19" i="2"/>
  <c r="AJ19" i="2"/>
  <c r="N19" i="2"/>
  <c r="AC19" i="2"/>
  <c r="BH19" i="2"/>
  <c r="AB19" i="2"/>
  <c r="AZ19" i="2"/>
  <c r="AA19" i="2"/>
  <c r="AX19" i="2"/>
  <c r="X19" i="2"/>
  <c r="AW19" i="2"/>
  <c r="W19" i="2"/>
  <c r="AV19" i="2"/>
  <c r="V19" i="2"/>
  <c r="AU19" i="2"/>
  <c r="U19" i="2"/>
  <c r="AS19" i="2"/>
  <c r="T19" i="2"/>
  <c r="AQ19" i="2"/>
  <c r="J7" i="16"/>
  <c r="B7" i="16"/>
  <c r="AD13" i="2"/>
  <c r="Z16" i="2"/>
  <c r="I18" i="2"/>
  <c r="G19" i="2"/>
  <c r="AY19" i="2"/>
  <c r="F11" i="7"/>
  <c r="G11" i="7" s="1"/>
  <c r="E11" i="7"/>
  <c r="AU11" i="7" s="1"/>
  <c r="B11" i="7"/>
  <c r="L11" i="16"/>
  <c r="D11" i="16"/>
  <c r="AE13" i="2"/>
  <c r="AW15" i="2"/>
  <c r="AB16" i="2"/>
  <c r="K18" i="2"/>
  <c r="H19" i="2"/>
  <c r="F6" i="7"/>
  <c r="E6" i="7"/>
  <c r="AU6" i="7" s="1"/>
  <c r="Q13" i="2"/>
  <c r="AN12" i="2"/>
  <c r="AJ10" i="2"/>
  <c r="AE8" i="2"/>
  <c r="AD7" i="2"/>
  <c r="AR15" i="2"/>
  <c r="AS16" i="2"/>
  <c r="R16" i="2"/>
  <c r="AQ15" i="2"/>
  <c r="Q15" i="2"/>
  <c r="AO13" i="2"/>
  <c r="AO16" i="2"/>
  <c r="AM15" i="2"/>
  <c r="AJ13" i="2"/>
  <c r="AH12" i="2"/>
  <c r="AD10" i="2"/>
  <c r="AI13" i="2"/>
  <c r="AG12" i="2"/>
  <c r="AC10" i="2"/>
  <c r="AX8" i="2"/>
  <c r="AL16" i="2"/>
  <c r="AK15" i="2"/>
  <c r="AH13" i="2"/>
  <c r="AF12" i="2"/>
  <c r="AZ10" i="2"/>
  <c r="I19" i="2"/>
  <c r="B12" i="7"/>
  <c r="L8" i="16"/>
  <c r="D8" i="16"/>
  <c r="K19" i="2"/>
  <c r="AE16" i="2"/>
  <c r="V18" i="2"/>
  <c r="L19" i="2"/>
  <c r="E18" i="7"/>
  <c r="AU18" i="7" s="1"/>
  <c r="U9" i="2"/>
  <c r="AY9" i="2"/>
  <c r="AG10" i="2"/>
  <c r="AT13" i="2"/>
  <c r="BG15" i="2"/>
  <c r="R67" i="18" s="1"/>
  <c r="AF16" i="2"/>
  <c r="AB18" i="2"/>
  <c r="P19" i="2"/>
  <c r="F18" i="7"/>
  <c r="G18" i="7" s="1"/>
  <c r="AB11" i="2"/>
  <c r="BH11" i="2"/>
  <c r="N66" i="18" s="1"/>
  <c r="AE12" i="2"/>
  <c r="BA13" i="2"/>
  <c r="AG13" i="2"/>
  <c r="L13" i="2"/>
  <c r="AK13" i="2"/>
  <c r="P13" i="2"/>
  <c r="AX13" i="2"/>
  <c r="AC13" i="2"/>
  <c r="G13" i="2"/>
  <c r="O13" i="2" s="1"/>
  <c r="E13" i="15" s="1"/>
  <c r="H13" i="15" s="1"/>
  <c r="J13" i="15" s="1"/>
  <c r="AQ13" i="2"/>
  <c r="V13" i="2"/>
  <c r="AN13" i="2"/>
  <c r="S13" i="2"/>
  <c r="AF13" i="2"/>
  <c r="AJ15" i="2"/>
  <c r="AJ16" i="2"/>
  <c r="B14" i="7"/>
  <c r="G4" i="15"/>
  <c r="F4" i="15"/>
  <c r="J12" i="16"/>
  <c r="B12" i="16"/>
  <c r="F73" i="18"/>
  <c r="F63" i="18"/>
  <c r="K63" i="18" s="1"/>
  <c r="F75" i="18"/>
  <c r="F71" i="18"/>
  <c r="F66" i="18"/>
  <c r="F61" i="18"/>
  <c r="F72" i="18"/>
  <c r="F70" i="18"/>
  <c r="F59" i="18"/>
  <c r="F64" i="18"/>
  <c r="J11" i="16"/>
  <c r="B11" i="16"/>
  <c r="AL15" i="2"/>
  <c r="BA11" i="2"/>
  <c r="AG11" i="2"/>
  <c r="L11" i="2"/>
  <c r="AZ11" i="2"/>
  <c r="AE11" i="2"/>
  <c r="I11" i="2"/>
  <c r="AS11" i="2"/>
  <c r="X11" i="2"/>
  <c r="AL11" i="2"/>
  <c r="Q11" i="2"/>
  <c r="AI11" i="2"/>
  <c r="M11" i="2"/>
  <c r="AF11" i="2"/>
  <c r="B4" i="7"/>
  <c r="E4" i="7"/>
  <c r="AU4" i="7" s="1"/>
  <c r="AK16" i="2"/>
  <c r="P16" i="2"/>
  <c r="AS15" i="2"/>
  <c r="X15" i="2"/>
  <c r="AK8" i="2"/>
  <c r="P8" i="2"/>
  <c r="AS7" i="2"/>
  <c r="S4" i="2"/>
  <c r="AT4" i="2"/>
  <c r="Y7" i="2"/>
  <c r="AY7" i="2"/>
  <c r="Z8" i="2"/>
  <c r="AZ8" i="2"/>
  <c r="AQ10" i="2"/>
  <c r="W10" i="2"/>
  <c r="AM10" i="2"/>
  <c r="R10" i="2"/>
  <c r="BA10" i="2"/>
  <c r="AF10" i="2"/>
  <c r="J10" i="2"/>
  <c r="AT10" i="2"/>
  <c r="Y10" i="2"/>
  <c r="AP10" i="2"/>
  <c r="U10" i="2"/>
  <c r="AE10" i="2"/>
  <c r="B10" i="16"/>
  <c r="J10" i="16"/>
  <c r="AH11" i="2"/>
  <c r="J13" i="2"/>
  <c r="AL13" i="2"/>
  <c r="AN15" i="2"/>
  <c r="AP16" i="2"/>
  <c r="F4" i="7"/>
  <c r="G4" i="7" s="1"/>
  <c r="T16" i="2"/>
  <c r="AT16" i="2"/>
  <c r="AN8" i="2"/>
  <c r="B8" i="16"/>
  <c r="J8" i="16"/>
  <c r="K11" i="2"/>
  <c r="AN11" i="2"/>
  <c r="AR13" i="2"/>
  <c r="S15" i="2"/>
  <c r="AT15" i="2"/>
  <c r="U16" i="2"/>
  <c r="AU16" i="2"/>
  <c r="E16" i="7"/>
  <c r="B16" i="7"/>
  <c r="G13" i="15"/>
  <c r="AQ4" i="2"/>
  <c r="W4" i="2"/>
  <c r="AA4" i="2"/>
  <c r="AV4" i="2"/>
  <c r="AQ12" i="2"/>
  <c r="W12" i="2"/>
  <c r="AA12" i="2"/>
  <c r="AV12" i="2"/>
  <c r="H4" i="2"/>
  <c r="AD4" i="2"/>
  <c r="AY4" i="2"/>
  <c r="BA7" i="2"/>
  <c r="AG7" i="2"/>
  <c r="L7" i="2"/>
  <c r="AA7" i="2"/>
  <c r="AV7" i="2"/>
  <c r="S8" i="2"/>
  <c r="H12" i="2"/>
  <c r="AD12" i="2"/>
  <c r="AY12" i="2"/>
  <c r="BA15" i="2"/>
  <c r="AG15" i="2"/>
  <c r="L15" i="2"/>
  <c r="AA15" i="2"/>
  <c r="AV15" i="2"/>
  <c r="S16" i="2"/>
  <c r="G17" i="15"/>
  <c r="P4" i="2"/>
  <c r="AK4" i="2"/>
  <c r="AI7" i="2"/>
  <c r="W8" i="2"/>
  <c r="AA8" i="2"/>
  <c r="AV8" i="2"/>
  <c r="P12" i="2"/>
  <c r="AK12" i="2"/>
  <c r="AI15" i="2"/>
  <c r="AQ16" i="2"/>
  <c r="W16" i="2"/>
  <c r="AA16" i="2"/>
  <c r="AV16" i="2"/>
  <c r="B15" i="7"/>
  <c r="G15" i="15"/>
  <c r="F15" i="15"/>
  <c r="G5" i="15"/>
  <c r="G12" i="15"/>
  <c r="G16" i="15"/>
  <c r="F16" i="15"/>
  <c r="AS4" i="2"/>
  <c r="U7" i="2"/>
  <c r="AP7" i="2"/>
  <c r="L8" i="2"/>
  <c r="AH8" i="2"/>
  <c r="BH8" i="2"/>
  <c r="X12" i="2"/>
  <c r="AS12" i="2"/>
  <c r="U15" i="2"/>
  <c r="AP15" i="2"/>
  <c r="L16" i="2"/>
  <c r="BH16" i="2"/>
  <c r="F12" i="15"/>
  <c r="F7" i="15"/>
  <c r="AH20" i="2" l="1"/>
  <c r="B148" i="1" s="1"/>
  <c r="B155" i="1"/>
  <c r="I20" i="1"/>
  <c r="B133" i="1"/>
  <c r="B140" i="1"/>
  <c r="B150" i="1"/>
  <c r="BD12" i="14"/>
  <c r="BB12" i="14"/>
  <c r="B145" i="1"/>
  <c r="I17" i="1"/>
  <c r="I18" i="1"/>
  <c r="B154" i="1"/>
  <c r="BI18" i="2"/>
  <c r="BB17" i="2"/>
  <c r="AX20" i="2"/>
  <c r="AL20" i="2"/>
  <c r="B152" i="1" s="1"/>
  <c r="BD15" i="14"/>
  <c r="BG10" i="14"/>
  <c r="BF10" i="14"/>
  <c r="BE10" i="14"/>
  <c r="AT22" i="8"/>
  <c r="AZ9" i="12"/>
  <c r="AY9" i="12"/>
  <c r="I65" i="18" s="1"/>
  <c r="K65" i="18" s="1"/>
  <c r="AX9" i="12"/>
  <c r="AW22" i="10"/>
  <c r="L4" i="16"/>
  <c r="D4" i="16"/>
  <c r="L6" i="16"/>
  <c r="D6" i="16"/>
  <c r="D72" i="18"/>
  <c r="AW16" i="4"/>
  <c r="BB12" i="2"/>
  <c r="F68" i="18"/>
  <c r="AX11" i="7"/>
  <c r="AV11" i="7"/>
  <c r="BI5" i="2"/>
  <c r="BI3" i="2"/>
  <c r="X20" i="2"/>
  <c r="B138" i="1" s="1"/>
  <c r="C72" i="18"/>
  <c r="AX15" i="3"/>
  <c r="AX11" i="12"/>
  <c r="AZ11" i="12"/>
  <c r="AY11" i="12"/>
  <c r="I69" i="18" s="1"/>
  <c r="AU3" i="14"/>
  <c r="O4" i="2"/>
  <c r="AZ13" i="12"/>
  <c r="AY13" i="12"/>
  <c r="AX13" i="12"/>
  <c r="AW16" i="7"/>
  <c r="AY7" i="12"/>
  <c r="I66" i="18" s="1"/>
  <c r="AZ7" i="12"/>
  <c r="AX7" i="12"/>
  <c r="BI17" i="2"/>
  <c r="AX13" i="10"/>
  <c r="AZ13" i="10"/>
  <c r="AY13" i="10"/>
  <c r="AY6" i="10"/>
  <c r="AZ6" i="10"/>
  <c r="AX6" i="10"/>
  <c r="BA20" i="14"/>
  <c r="AY20" i="2"/>
  <c r="BB13" i="2"/>
  <c r="O7" i="2"/>
  <c r="AC20" i="2"/>
  <c r="B143" i="1" s="1"/>
  <c r="BA16" i="11"/>
  <c r="AZ16" i="11"/>
  <c r="BB16" i="11"/>
  <c r="BB14" i="11"/>
  <c r="BA14" i="11"/>
  <c r="AZ14" i="11"/>
  <c r="AZ17" i="11"/>
  <c r="BB17" i="11"/>
  <c r="BA17" i="11"/>
  <c r="BB4" i="11"/>
  <c r="AY22" i="11"/>
  <c r="BA4" i="11"/>
  <c r="AZ4" i="11"/>
  <c r="AY1" i="11"/>
  <c r="BB1" i="11" s="1"/>
  <c r="AQ1" i="14"/>
  <c r="BB15" i="2"/>
  <c r="AD20" i="2"/>
  <c r="B144" i="1" s="1"/>
  <c r="H60" i="18"/>
  <c r="AU22" i="9"/>
  <c r="BK13" i="3"/>
  <c r="AY13" i="3"/>
  <c r="AW13" i="3"/>
  <c r="BB5" i="11"/>
  <c r="BA5" i="11"/>
  <c r="AZ5" i="11"/>
  <c r="AY18" i="10"/>
  <c r="AZ18" i="10"/>
  <c r="AX18" i="10"/>
  <c r="T9" i="1" a="1"/>
  <c r="T9" i="1" s="1"/>
  <c r="BB8" i="2"/>
  <c r="D15" i="16"/>
  <c r="L15" i="16"/>
  <c r="O11" i="2"/>
  <c r="Y20" i="2"/>
  <c r="AY17" i="10"/>
  <c r="AX17" i="10"/>
  <c r="AZ17" i="10"/>
  <c r="AX7" i="10"/>
  <c r="AY7" i="10"/>
  <c r="AZ7" i="10"/>
  <c r="AZ19" i="10"/>
  <c r="AX19" i="10"/>
  <c r="AY19" i="10"/>
  <c r="AY19" i="3"/>
  <c r="BB7" i="2"/>
  <c r="AP20" i="2"/>
  <c r="B156" i="1" s="1"/>
  <c r="AT16" i="14"/>
  <c r="BA16" i="14" s="1"/>
  <c r="AW16" i="5"/>
  <c r="AU16" i="14" s="1"/>
  <c r="T20" i="2"/>
  <c r="B134" i="1" s="1"/>
  <c r="AV1" i="4"/>
  <c r="AM20" i="2"/>
  <c r="BA6" i="11"/>
  <c r="AZ6" i="11"/>
  <c r="BB6" i="11"/>
  <c r="AZ20" i="12"/>
  <c r="AX20" i="12"/>
  <c r="AY20" i="12"/>
  <c r="BA8" i="11"/>
  <c r="AZ8" i="11"/>
  <c r="BB8" i="11"/>
  <c r="AV22" i="4"/>
  <c r="U2" i="13"/>
  <c r="BI6" i="2"/>
  <c r="AX21" i="12"/>
  <c r="AZ21" i="12"/>
  <c r="AY21" i="12"/>
  <c r="AK20" i="2"/>
  <c r="B151" i="1" s="1"/>
  <c r="K1" i="2"/>
  <c r="K20" i="2"/>
  <c r="J1" i="2"/>
  <c r="J20" i="2"/>
  <c r="I16" i="1" s="1"/>
  <c r="BA18" i="14"/>
  <c r="AZ21" i="10"/>
  <c r="AX21" i="10"/>
  <c r="AY21" i="10"/>
  <c r="D61" i="18"/>
  <c r="AW10" i="4"/>
  <c r="O22" i="10"/>
  <c r="T2" i="13"/>
  <c r="AZ11" i="11"/>
  <c r="BB11" i="11"/>
  <c r="BA11" i="11"/>
  <c r="B153" i="1"/>
  <c r="BB16" i="2"/>
  <c r="BD16" i="2" s="1"/>
  <c r="L17" i="16"/>
  <c r="D17" i="16"/>
  <c r="O9" i="2"/>
  <c r="AW20" i="2"/>
  <c r="AN20" i="2"/>
  <c r="AE20" i="2"/>
  <c r="BC1" i="14"/>
  <c r="BC21" i="14"/>
  <c r="V2" i="13"/>
  <c r="AG1" i="14"/>
  <c r="AU22" i="8"/>
  <c r="L12" i="16"/>
  <c r="D12" i="16"/>
  <c r="AY12" i="10"/>
  <c r="AX12" i="10"/>
  <c r="AZ12" i="10"/>
  <c r="BA7" i="14"/>
  <c r="BK11" i="3"/>
  <c r="AW11" i="3"/>
  <c r="AY11" i="3"/>
  <c r="AW16" i="3"/>
  <c r="BK16" i="3"/>
  <c r="BK8" i="3"/>
  <c r="AW8" i="3"/>
  <c r="AX16" i="10"/>
  <c r="AZ16" i="10"/>
  <c r="AY16" i="10"/>
  <c r="AY14" i="12"/>
  <c r="I73" i="18" s="1"/>
  <c r="AZ14" i="12"/>
  <c r="AX14" i="12"/>
  <c r="AO20" i="2"/>
  <c r="BA17" i="14"/>
  <c r="BB4" i="2"/>
  <c r="H3" i="3"/>
  <c r="G1" i="3"/>
  <c r="G20" i="3"/>
  <c r="C60" i="18"/>
  <c r="AX6" i="3"/>
  <c r="L1" i="2"/>
  <c r="L20" i="2"/>
  <c r="L2" i="16"/>
  <c r="D2" i="16"/>
  <c r="R20" i="2"/>
  <c r="B132" i="1" s="1"/>
  <c r="AW5" i="3"/>
  <c r="AX5" i="3" s="1"/>
  <c r="BK5" i="3"/>
  <c r="AY5" i="3"/>
  <c r="AS3" i="14"/>
  <c r="AU21" i="5"/>
  <c r="AZ13" i="11"/>
  <c r="BB13" i="11"/>
  <c r="BA13" i="11"/>
  <c r="F1" i="9"/>
  <c r="AV12" i="9"/>
  <c r="F22" i="9"/>
  <c r="BA9" i="14"/>
  <c r="I59" i="18"/>
  <c r="AY1" i="12"/>
  <c r="T30" i="1" a="1"/>
  <c r="T30" i="1" s="1"/>
  <c r="R30" i="1" s="1"/>
  <c r="T43" i="1" a="1"/>
  <c r="T43" i="1" s="1"/>
  <c r="R43" i="1" s="1"/>
  <c r="T33" i="1" a="1"/>
  <c r="T33" i="1" s="1"/>
  <c r="R33" i="1" s="1"/>
  <c r="T26" i="1" a="1"/>
  <c r="T26" i="1" s="1"/>
  <c r="R26" i="1" s="1"/>
  <c r="T58" i="1" a="1"/>
  <c r="T58" i="1" s="1"/>
  <c r="R58" i="1" s="1"/>
  <c r="T37" i="1" a="1"/>
  <c r="T37" i="1" s="1"/>
  <c r="R37" i="1" s="1"/>
  <c r="T64" i="1" a="1"/>
  <c r="T64" i="1" s="1"/>
  <c r="R64" i="1" s="1"/>
  <c r="T53" i="1" a="1"/>
  <c r="T53" i="1" s="1"/>
  <c r="R53" i="1" s="1"/>
  <c r="T45" i="1" a="1"/>
  <c r="T45" i="1" s="1"/>
  <c r="R45" i="1" s="1"/>
  <c r="AT6" i="14"/>
  <c r="BA6" i="14" s="1"/>
  <c r="AW6" i="5"/>
  <c r="AU6" i="14" s="1"/>
  <c r="AE1" i="14"/>
  <c r="AE21" i="14"/>
  <c r="AF3" i="14"/>
  <c r="C12" i="16"/>
  <c r="K12" i="16"/>
  <c r="O13" i="1" a="1"/>
  <c r="O13" i="1" s="1"/>
  <c r="BI13" i="2"/>
  <c r="BD13" i="2"/>
  <c r="AU20" i="2"/>
  <c r="K5" i="16"/>
  <c r="C5" i="16"/>
  <c r="O6" i="1" a="1"/>
  <c r="O6" i="1" s="1"/>
  <c r="H1" i="2"/>
  <c r="H20" i="2"/>
  <c r="I14" i="1" s="1"/>
  <c r="BK12" i="3"/>
  <c r="AY12" i="3"/>
  <c r="AW12" i="3"/>
  <c r="BA15" i="11"/>
  <c r="AZ15" i="11"/>
  <c r="BB15" i="11"/>
  <c r="L16" i="16"/>
  <c r="D16" i="16"/>
  <c r="AZ20" i="2"/>
  <c r="AV22" i="9"/>
  <c r="AH22" i="12"/>
  <c r="Y22" i="10"/>
  <c r="O15" i="2"/>
  <c r="BA19" i="14"/>
  <c r="AT9" i="14"/>
  <c r="AW9" i="5"/>
  <c r="AU9" i="14" s="1"/>
  <c r="L9" i="16"/>
  <c r="D9" i="16"/>
  <c r="BB10" i="2"/>
  <c r="N62" i="18"/>
  <c r="U20" i="2"/>
  <c r="B135" i="1" s="1"/>
  <c r="AT20" i="2"/>
  <c r="B160" i="1" s="1"/>
  <c r="AG20" i="2"/>
  <c r="B147" i="1" s="1"/>
  <c r="AZ8" i="12"/>
  <c r="AX8" i="12"/>
  <c r="AY8" i="12"/>
  <c r="I64" i="18" s="1"/>
  <c r="BA8" i="14"/>
  <c r="BA11" i="14"/>
  <c r="AY4" i="10"/>
  <c r="AY1" i="10" s="1"/>
  <c r="AX4" i="10"/>
  <c r="AX22" i="10" s="1"/>
  <c r="AZ4" i="10"/>
  <c r="D70" i="18"/>
  <c r="K70" i="18" s="1"/>
  <c r="AW15" i="4"/>
  <c r="B146" i="1"/>
  <c r="BB10" i="11"/>
  <c r="AZ10" i="11"/>
  <c r="BA10" i="11"/>
  <c r="AY12" i="12"/>
  <c r="I68" i="18" s="1"/>
  <c r="AX12" i="12"/>
  <c r="AZ12" i="12"/>
  <c r="BA12" i="11"/>
  <c r="AZ12" i="11"/>
  <c r="BB12" i="11"/>
  <c r="AI20" i="2"/>
  <c r="B149" i="1" s="1"/>
  <c r="BB6" i="2"/>
  <c r="K7" i="16"/>
  <c r="C7" i="16"/>
  <c r="O8" i="1" a="1"/>
  <c r="O8" i="1" s="1"/>
  <c r="BD8" i="2"/>
  <c r="Q20" i="2"/>
  <c r="AY20" i="10"/>
  <c r="AZ20" i="10"/>
  <c r="AX20" i="10"/>
  <c r="AW7" i="3"/>
  <c r="BK7" i="3"/>
  <c r="AY7" i="3"/>
  <c r="O12" i="2"/>
  <c r="BI11" i="2"/>
  <c r="L18" i="16"/>
  <c r="D18" i="16"/>
  <c r="N1" i="2"/>
  <c r="N20" i="2"/>
  <c r="O3" i="2"/>
  <c r="G1" i="2"/>
  <c r="G20" i="2"/>
  <c r="I13" i="1" s="1"/>
  <c r="AY14" i="10"/>
  <c r="AZ14" i="10"/>
  <c r="AX14" i="10"/>
  <c r="AT11" i="14"/>
  <c r="AW11" i="5"/>
  <c r="AU11" i="14" s="1"/>
  <c r="C71" i="18"/>
  <c r="K71" i="18" s="1"/>
  <c r="AX18" i="3"/>
  <c r="BB19" i="2"/>
  <c r="AQ20" i="2"/>
  <c r="B157" i="1" s="1"/>
  <c r="G6" i="7"/>
  <c r="F1" i="7"/>
  <c r="O17" i="2"/>
  <c r="BB5" i="2"/>
  <c r="T5" i="1" s="1" a="1"/>
  <c r="T5" i="1" s="1"/>
  <c r="O18" i="2"/>
  <c r="V20" i="2"/>
  <c r="B136" i="1" s="1"/>
  <c r="E7" i="15"/>
  <c r="H7" i="15" s="1"/>
  <c r="J7" i="15" s="1"/>
  <c r="BA20" i="2"/>
  <c r="T10" i="1" a="1"/>
  <c r="T10" i="1" s="1"/>
  <c r="R10" i="1" s="1"/>
  <c r="AV1" i="9"/>
  <c r="AT5" i="14"/>
  <c r="AT21" i="14" s="1"/>
  <c r="AW5" i="5"/>
  <c r="AU5" i="14" s="1"/>
  <c r="BA4" i="14"/>
  <c r="AR1" i="14"/>
  <c r="AT17" i="14"/>
  <c r="AW17" i="5"/>
  <c r="AU17" i="14" s="1"/>
  <c r="T60" i="1" a="1"/>
  <c r="T60" i="1" s="1"/>
  <c r="R60" i="1" s="1"/>
  <c r="T61" i="1" a="1"/>
  <c r="T61" i="1" s="1"/>
  <c r="R61" i="1" s="1"/>
  <c r="T23" i="1" a="1"/>
  <c r="T23" i="1" s="1"/>
  <c r="R23" i="1" s="1"/>
  <c r="T21" i="1" a="1"/>
  <c r="T21" i="1" s="1"/>
  <c r="R21" i="1" s="1"/>
  <c r="T40" i="1" a="1"/>
  <c r="T40" i="1" s="1"/>
  <c r="R40" i="1" s="1"/>
  <c r="T62" i="1" a="1"/>
  <c r="T62" i="1" s="1"/>
  <c r="R62" i="1" s="1"/>
  <c r="T35" i="1" a="1"/>
  <c r="T35" i="1" s="1"/>
  <c r="R35" i="1" s="1"/>
  <c r="T66" i="1" a="1"/>
  <c r="T66" i="1" s="1"/>
  <c r="R66" i="1" s="1"/>
  <c r="T34" i="1" a="1"/>
  <c r="T34" i="1" s="1"/>
  <c r="R34" i="1" s="1"/>
  <c r="T63" i="1" a="1"/>
  <c r="T63" i="1" s="1"/>
  <c r="R63" i="1" s="1"/>
  <c r="AX1" i="4"/>
  <c r="AY15" i="3"/>
  <c r="AZ8" i="10"/>
  <c r="AX8" i="10"/>
  <c r="AY8" i="10"/>
  <c r="AW4" i="3"/>
  <c r="AY4" i="3"/>
  <c r="BK4" i="3"/>
  <c r="M20" i="2"/>
  <c r="I19" i="1" s="1"/>
  <c r="J19" i="1" s="1"/>
  <c r="M1" i="2"/>
  <c r="AZ10" i="10"/>
  <c r="AY10" i="10"/>
  <c r="AX10" i="10"/>
  <c r="K15" i="16"/>
  <c r="C15" i="16"/>
  <c r="O16" i="1" a="1"/>
  <c r="O16" i="1" s="1"/>
  <c r="BA18" i="11"/>
  <c r="AZ18" i="11"/>
  <c r="BB18" i="11"/>
  <c r="X14" i="2"/>
  <c r="BB14" i="2" s="1"/>
  <c r="O22" i="12"/>
  <c r="AB20" i="2"/>
  <c r="B142" i="1" s="1"/>
  <c r="Y22" i="12"/>
  <c r="P20" i="2"/>
  <c r="B130" i="1" s="1"/>
  <c r="BB3" i="2"/>
  <c r="BA21" i="11"/>
  <c r="AZ21" i="11"/>
  <c r="BB21" i="11"/>
  <c r="AZ22" i="11"/>
  <c r="F69" i="18"/>
  <c r="O5" i="2"/>
  <c r="BB9" i="2"/>
  <c r="D13" i="16"/>
  <c r="L13" i="16"/>
  <c r="AW10" i="3"/>
  <c r="BK10" i="3"/>
  <c r="W20" i="2"/>
  <c r="B137" i="1" s="1"/>
  <c r="S20" i="2"/>
  <c r="AX4" i="12"/>
  <c r="AX22" i="12" s="1"/>
  <c r="AY4" i="12"/>
  <c r="I62" i="18" s="1"/>
  <c r="AZ4" i="12"/>
  <c r="AS14" i="2"/>
  <c r="AS20" i="2" s="1"/>
  <c r="B159" i="1" s="1"/>
  <c r="AJ22" i="12"/>
  <c r="D62" i="18"/>
  <c r="AW4" i="4"/>
  <c r="J59" i="18"/>
  <c r="AU22" i="6"/>
  <c r="AU1" i="6"/>
  <c r="AT14" i="14"/>
  <c r="BA14" i="14" s="1"/>
  <c r="AW14" i="5"/>
  <c r="AU14" i="14" s="1"/>
  <c r="B139" i="1"/>
  <c r="AW22" i="12"/>
  <c r="D5" i="16"/>
  <c r="L5" i="16"/>
  <c r="AX18" i="12"/>
  <c r="AZ18" i="12"/>
  <c r="AY18" i="12"/>
  <c r="I75" i="18" s="1"/>
  <c r="K75" i="18" s="1"/>
  <c r="K9" i="16"/>
  <c r="C9" i="16"/>
  <c r="O10" i="1" a="1"/>
  <c r="O10" i="1" s="1"/>
  <c r="BD10" i="2"/>
  <c r="BI10" i="2"/>
  <c r="BI8" i="2"/>
  <c r="V1" i="14"/>
  <c r="O19" i="2"/>
  <c r="O14" i="2"/>
  <c r="Z20" i="2"/>
  <c r="I20" i="2"/>
  <c r="I1" i="2"/>
  <c r="N61" i="18"/>
  <c r="BB18" i="2"/>
  <c r="AV18" i="7"/>
  <c r="AX18" i="7"/>
  <c r="B131" i="1"/>
  <c r="BI16" i="2"/>
  <c r="AX4" i="7"/>
  <c r="AV4" i="7"/>
  <c r="BB11" i="2"/>
  <c r="BI14" i="2"/>
  <c r="AA20" i="2"/>
  <c r="B141" i="1" s="1"/>
  <c r="AR20" i="2"/>
  <c r="B158" i="1" s="1"/>
  <c r="AZ5" i="12"/>
  <c r="AX5" i="12"/>
  <c r="AY5" i="12"/>
  <c r="AY22" i="12" s="1"/>
  <c r="V21" i="14"/>
  <c r="AT7" i="14"/>
  <c r="AW7" i="5"/>
  <c r="AU7" i="14" s="1"/>
  <c r="AV20" i="3"/>
  <c r="AJ20" i="2"/>
  <c r="D3" i="16"/>
  <c r="L3" i="16"/>
  <c r="I15" i="1"/>
  <c r="AW1" i="12"/>
  <c r="AZ1" i="12" s="1"/>
  <c r="J16" i="1" l="1"/>
  <c r="J13" i="1"/>
  <c r="J14" i="1"/>
  <c r="C156" i="1"/>
  <c r="C144" i="1"/>
  <c r="C134" i="1"/>
  <c r="C142" i="1"/>
  <c r="C145" i="1"/>
  <c r="C154" i="1"/>
  <c r="C152" i="1"/>
  <c r="C143" i="1"/>
  <c r="C139" i="1"/>
  <c r="C135" i="1"/>
  <c r="C130" i="1"/>
  <c r="C158" i="1"/>
  <c r="C146" i="1"/>
  <c r="C151" i="1"/>
  <c r="C140" i="1"/>
  <c r="C157" i="1"/>
  <c r="C159" i="1"/>
  <c r="C141" i="1"/>
  <c r="C148" i="1"/>
  <c r="C153" i="1"/>
  <c r="C133" i="1"/>
  <c r="C160" i="1"/>
  <c r="C147" i="1"/>
  <c r="C155" i="1"/>
  <c r="C132" i="1"/>
  <c r="C136" i="1"/>
  <c r="C138" i="1"/>
  <c r="C149" i="1"/>
  <c r="C150" i="1"/>
  <c r="C137" i="1"/>
  <c r="C131" i="1"/>
  <c r="BB16" i="14"/>
  <c r="BD16" i="14"/>
  <c r="E13" i="16"/>
  <c r="M13" i="16"/>
  <c r="BF14" i="2"/>
  <c r="BC14" i="2"/>
  <c r="Q59" i="18"/>
  <c r="T14" i="1" a="1"/>
  <c r="T14" i="1" s="1"/>
  <c r="BB6" i="14"/>
  <c r="BD6" i="14"/>
  <c r="F15" i="16"/>
  <c r="N15" i="16"/>
  <c r="BE16" i="2"/>
  <c r="L69" i="18" s="1"/>
  <c r="BB14" i="14"/>
  <c r="BD14" i="14"/>
  <c r="BB4" i="14"/>
  <c r="BD4" i="14"/>
  <c r="F7" i="16"/>
  <c r="N7" i="16"/>
  <c r="BE8" i="2"/>
  <c r="L64" i="18" s="1"/>
  <c r="AW11" i="7"/>
  <c r="F67" i="18"/>
  <c r="K67" i="18" s="1"/>
  <c r="AX1" i="10"/>
  <c r="BK3" i="3"/>
  <c r="AW3" i="3"/>
  <c r="H20" i="3"/>
  <c r="AY20" i="3" s="1"/>
  <c r="H1" i="3"/>
  <c r="AX1" i="3" s="1"/>
  <c r="AY3" i="3"/>
  <c r="BJ6" i="2"/>
  <c r="BK6" i="2" s="1"/>
  <c r="P72" i="18" s="1"/>
  <c r="O72" i="18"/>
  <c r="BB7" i="14"/>
  <c r="BD7" i="14"/>
  <c r="M11" i="16"/>
  <c r="E11" i="16"/>
  <c r="BF12" i="2"/>
  <c r="BC12" i="2"/>
  <c r="T12" i="1" a="1"/>
  <c r="T12" i="1" s="1"/>
  <c r="Q63" i="18"/>
  <c r="N9" i="16"/>
  <c r="F9" i="16"/>
  <c r="BE10" i="2"/>
  <c r="L68" i="18" s="1"/>
  <c r="AW4" i="7"/>
  <c r="F60" i="18"/>
  <c r="T56" i="1" a="1"/>
  <c r="T56" i="1" s="1"/>
  <c r="R56" i="1" s="1"/>
  <c r="K17" i="16"/>
  <c r="C17" i="16"/>
  <c r="O18" i="1" a="1"/>
  <c r="O18" i="1" s="1"/>
  <c r="BD18" i="2"/>
  <c r="E4" i="15"/>
  <c r="H4" i="15" s="1"/>
  <c r="J4" i="15" s="1"/>
  <c r="T50" i="1" a="1"/>
  <c r="T50" i="1" s="1"/>
  <c r="R50" i="1" s="1"/>
  <c r="BB17" i="14"/>
  <c r="BD17" i="14"/>
  <c r="K14" i="16"/>
  <c r="C14" i="16"/>
  <c r="O15" i="1" a="1"/>
  <c r="O15" i="1" s="1"/>
  <c r="BI15" i="2"/>
  <c r="BD15" i="2"/>
  <c r="E10" i="15"/>
  <c r="H10" i="15" s="1"/>
  <c r="J10" i="15" s="1"/>
  <c r="F12" i="16"/>
  <c r="N12" i="16"/>
  <c r="BE13" i="2"/>
  <c r="L70" i="18" s="1"/>
  <c r="BG15" i="14"/>
  <c r="BF15" i="14"/>
  <c r="BE15" i="14"/>
  <c r="E5" i="16"/>
  <c r="M5" i="16"/>
  <c r="BF6" i="2"/>
  <c r="BC6" i="2"/>
  <c r="Q72" i="18"/>
  <c r="T6" i="1" a="1"/>
  <c r="T6" i="1" s="1"/>
  <c r="R6" i="1" s="1"/>
  <c r="BB11" i="14"/>
  <c r="BD11" i="14"/>
  <c r="C69" i="18"/>
  <c r="K69" i="18" s="1"/>
  <c r="AX11" i="3"/>
  <c r="BJ14" i="2"/>
  <c r="O59" i="18"/>
  <c r="AX1" i="12"/>
  <c r="AS21" i="14"/>
  <c r="AS1" i="14"/>
  <c r="BA3" i="14"/>
  <c r="AY22" i="10"/>
  <c r="K3" i="16"/>
  <c r="C3" i="16"/>
  <c r="O4" i="1" a="1"/>
  <c r="O4" i="1" s="1"/>
  <c r="BI4" i="2"/>
  <c r="BD4" i="2"/>
  <c r="E16" i="15"/>
  <c r="H16" i="15" s="1"/>
  <c r="J16" i="15" s="1"/>
  <c r="J17" i="1"/>
  <c r="BJ3" i="2"/>
  <c r="BK3" i="2" s="1"/>
  <c r="O71" i="18"/>
  <c r="BJ13" i="2"/>
  <c r="BK13" i="2" s="1"/>
  <c r="P70" i="18" s="1"/>
  <c r="O70" i="18"/>
  <c r="BB9" i="14"/>
  <c r="BD9" i="14"/>
  <c r="E16" i="16"/>
  <c r="M16" i="16"/>
  <c r="BC17" i="2"/>
  <c r="BF17" i="2"/>
  <c r="Q60" i="18"/>
  <c r="T17" i="1" a="1"/>
  <c r="T17" i="1" s="1"/>
  <c r="BJ10" i="2"/>
  <c r="BK10" i="2" s="1"/>
  <c r="P68" i="18" s="1"/>
  <c r="O68" i="18"/>
  <c r="C62" i="18"/>
  <c r="AX4" i="3"/>
  <c r="AF1" i="14"/>
  <c r="AF21" i="14"/>
  <c r="T52" i="1" a="1"/>
  <c r="T52" i="1" s="1"/>
  <c r="R52" i="1" s="1"/>
  <c r="T20" i="1" a="1"/>
  <c r="T20" i="1" s="1"/>
  <c r="T24" i="1" a="1"/>
  <c r="T24" i="1" s="1"/>
  <c r="R24" i="1" s="1"/>
  <c r="T48" i="1" a="1"/>
  <c r="T48" i="1" s="1"/>
  <c r="R48" i="1" s="1"/>
  <c r="T55" i="1" a="1"/>
  <c r="T55" i="1" s="1"/>
  <c r="R55" i="1" s="1"/>
  <c r="C6" i="16"/>
  <c r="K6" i="16"/>
  <c r="O7" i="1" a="1"/>
  <c r="O7" i="1" s="1"/>
  <c r="BI7" i="2"/>
  <c r="BD7" i="2"/>
  <c r="E17" i="15"/>
  <c r="H17" i="15" s="1"/>
  <c r="J17" i="15" s="1"/>
  <c r="AW21" i="5"/>
  <c r="M17" i="16"/>
  <c r="E17" i="16"/>
  <c r="BF18" i="2"/>
  <c r="BC18" i="2"/>
  <c r="T18" i="1" a="1"/>
  <c r="T18" i="1" s="1"/>
  <c r="R18" i="1" s="1"/>
  <c r="Q61" i="18"/>
  <c r="C61" i="18"/>
  <c r="K61" i="18" s="1"/>
  <c r="AX10" i="3"/>
  <c r="T46" i="1" a="1"/>
  <c r="T46" i="1" s="1"/>
  <c r="R46" i="1" s="1"/>
  <c r="M18" i="16"/>
  <c r="E18" i="16"/>
  <c r="BF19" i="2"/>
  <c r="BC19" i="2"/>
  <c r="T19" i="1" a="1"/>
  <c r="T19" i="1" s="1"/>
  <c r="Q62" i="18"/>
  <c r="C66" i="18"/>
  <c r="K66" i="18" s="1"/>
  <c r="AX7" i="3"/>
  <c r="E9" i="16"/>
  <c r="M9" i="16"/>
  <c r="BF10" i="2"/>
  <c r="BC10" i="2"/>
  <c r="Q68" i="18"/>
  <c r="T25" i="1" a="1"/>
  <c r="T25" i="1" s="1"/>
  <c r="R25" i="1" s="1"/>
  <c r="M12" i="16"/>
  <c r="E12" i="16"/>
  <c r="BC13" i="2"/>
  <c r="BF13" i="2"/>
  <c r="T13" i="1" a="1"/>
  <c r="T13" i="1" s="1"/>
  <c r="R13" i="1" s="1"/>
  <c r="Q70" i="18"/>
  <c r="AU1" i="14"/>
  <c r="AU21" i="14"/>
  <c r="BJ8" i="2"/>
  <c r="BK8" i="2" s="1"/>
  <c r="P64" i="18" s="1"/>
  <c r="O64" i="18"/>
  <c r="R9" i="1"/>
  <c r="AW1" i="4"/>
  <c r="AW22" i="4"/>
  <c r="M2" i="16"/>
  <c r="E2" i="16"/>
  <c r="BC3" i="2"/>
  <c r="BC20" i="2" s="1"/>
  <c r="BF3" i="2"/>
  <c r="BB20" i="2"/>
  <c r="Q71" i="18"/>
  <c r="T3" i="1" a="1"/>
  <c r="T3" i="1" s="1"/>
  <c r="C2" i="16"/>
  <c r="K2" i="16"/>
  <c r="O3" i="1" a="1"/>
  <c r="O3" i="1" s="1"/>
  <c r="O20" i="2"/>
  <c r="O1" i="2"/>
  <c r="BD3" i="2"/>
  <c r="E14" i="15"/>
  <c r="H14" i="15" s="1"/>
  <c r="J14" i="15" s="1"/>
  <c r="BB8" i="14"/>
  <c r="BD8" i="14"/>
  <c r="BJ18" i="2"/>
  <c r="BK18" i="2" s="1"/>
  <c r="P61" i="18" s="1"/>
  <c r="O61" i="18"/>
  <c r="T68" i="1" a="1"/>
  <c r="T68" i="1" s="1"/>
  <c r="R68" i="1" s="1"/>
  <c r="C73" i="18"/>
  <c r="K73" i="18" s="1"/>
  <c r="AX13" i="3"/>
  <c r="G1" i="7"/>
  <c r="AV6" i="7"/>
  <c r="AX6" i="7"/>
  <c r="T42" i="1" a="1"/>
  <c r="T42" i="1" s="1"/>
  <c r="R42" i="1" s="1"/>
  <c r="AW18" i="7"/>
  <c r="F74" i="18"/>
  <c r="T41" i="1" a="1"/>
  <c r="T41" i="1" s="1"/>
  <c r="R41" i="1" s="1"/>
  <c r="T31" i="1" a="1"/>
  <c r="T31" i="1" s="1"/>
  <c r="R31" i="1" s="1"/>
  <c r="T39" i="1" a="1"/>
  <c r="T39" i="1" s="1"/>
  <c r="R39" i="1" s="1"/>
  <c r="T36" i="1" a="1"/>
  <c r="T36" i="1" s="1"/>
  <c r="R36" i="1" s="1"/>
  <c r="BD6" i="2"/>
  <c r="T22" i="1" a="1"/>
  <c r="T22" i="1" s="1"/>
  <c r="R22" i="1" s="1"/>
  <c r="T49" i="1" a="1"/>
  <c r="T49" i="1" s="1"/>
  <c r="R49" i="1" s="1"/>
  <c r="AT1" i="14"/>
  <c r="BF12" i="14"/>
  <c r="BE12" i="14"/>
  <c r="BG12" i="14"/>
  <c r="C18" i="16"/>
  <c r="K18" i="16"/>
  <c r="O19" i="1" a="1"/>
  <c r="O19" i="1" s="1"/>
  <c r="BD19" i="2"/>
  <c r="E5" i="15"/>
  <c r="H5" i="15" s="1"/>
  <c r="J5" i="15" s="1"/>
  <c r="BA22" i="11"/>
  <c r="BA1" i="11"/>
  <c r="C8" i="16"/>
  <c r="K8" i="16"/>
  <c r="O9" i="1" a="1"/>
  <c r="O9" i="1" s="1"/>
  <c r="BI9" i="2"/>
  <c r="BD9" i="2"/>
  <c r="E8" i="15"/>
  <c r="H8" i="15" s="1"/>
  <c r="J8" i="15" s="1"/>
  <c r="M7" i="16"/>
  <c r="E7" i="16"/>
  <c r="BF8" i="2"/>
  <c r="BC8" i="2"/>
  <c r="T8" i="1" a="1"/>
  <c r="T8" i="1" s="1"/>
  <c r="R8" i="1" s="1"/>
  <c r="Q64" i="18"/>
  <c r="BJ5" i="2"/>
  <c r="BK5" i="2" s="1"/>
  <c r="P75" i="18" s="1"/>
  <c r="O75" i="18"/>
  <c r="BA5" i="14"/>
  <c r="E6" i="16"/>
  <c r="M6" i="16"/>
  <c r="BF7" i="2"/>
  <c r="BC7" i="2"/>
  <c r="Q74" i="18"/>
  <c r="T7" i="1" a="1"/>
  <c r="T7" i="1" s="1"/>
  <c r="BJ17" i="2"/>
  <c r="O60" i="18"/>
  <c r="E3" i="16"/>
  <c r="M3" i="16"/>
  <c r="BF4" i="2"/>
  <c r="BC4" i="2"/>
  <c r="Q73" i="18"/>
  <c r="T4" i="1" a="1"/>
  <c r="T4" i="1" s="1"/>
  <c r="R4" i="1" s="1"/>
  <c r="J18" i="1"/>
  <c r="C16" i="16"/>
  <c r="K16" i="16"/>
  <c r="O17" i="1" a="1"/>
  <c r="O17" i="1" s="1"/>
  <c r="BD17" i="2"/>
  <c r="BK17" i="2"/>
  <c r="P60" i="18" s="1"/>
  <c r="E3" i="15"/>
  <c r="H3" i="15" s="1"/>
  <c r="J3" i="15" s="1"/>
  <c r="K11" i="16"/>
  <c r="C11" i="16"/>
  <c r="O12" i="1" a="1"/>
  <c r="O12" i="1" s="1"/>
  <c r="BI12" i="2"/>
  <c r="BD12" i="2"/>
  <c r="E6" i="15"/>
  <c r="H6" i="15" s="1"/>
  <c r="J6" i="15" s="1"/>
  <c r="T29" i="1" a="1"/>
  <c r="T29" i="1" s="1"/>
  <c r="R29" i="1" s="1"/>
  <c r="M8" i="16"/>
  <c r="E8" i="16"/>
  <c r="BF9" i="2"/>
  <c r="BC9" i="2"/>
  <c r="Q65" i="18"/>
  <c r="T47" i="1" a="1"/>
  <c r="T47" i="1" s="1"/>
  <c r="R47" i="1" s="1"/>
  <c r="T28" i="1" a="1"/>
  <c r="T28" i="1" s="1"/>
  <c r="R28" i="1" s="1"/>
  <c r="T32" i="1" a="1"/>
  <c r="T32" i="1" s="1"/>
  <c r="R32" i="1" s="1"/>
  <c r="BB20" i="14"/>
  <c r="BD20" i="14"/>
  <c r="C74" i="18"/>
  <c r="K74" i="18" s="1"/>
  <c r="AX16" i="3"/>
  <c r="E15" i="16"/>
  <c r="M15" i="16"/>
  <c r="BF16" i="2"/>
  <c r="BC16" i="2"/>
  <c r="T16" i="1" a="1"/>
  <c r="T16" i="1" s="1"/>
  <c r="R16" i="1" s="1"/>
  <c r="Q69" i="18"/>
  <c r="M10" i="16"/>
  <c r="E10" i="16"/>
  <c r="BF11" i="2"/>
  <c r="BC11" i="2"/>
  <c r="Q66" i="18"/>
  <c r="T11" i="1" a="1"/>
  <c r="T11" i="1" s="1"/>
  <c r="R11" i="1" s="1"/>
  <c r="BJ11" i="2"/>
  <c r="BK11" i="2" s="1"/>
  <c r="P66" i="18" s="1"/>
  <c r="O66" i="18"/>
  <c r="BJ16" i="2"/>
  <c r="BK16" i="2" s="1"/>
  <c r="P69" i="18" s="1"/>
  <c r="O69" i="18"/>
  <c r="T67" i="1" a="1"/>
  <c r="T67" i="1" s="1"/>
  <c r="R67" i="1" s="1"/>
  <c r="T69" i="1" a="1"/>
  <c r="T69" i="1" s="1"/>
  <c r="R69" i="1" s="1"/>
  <c r="M14" i="16"/>
  <c r="E14" i="16"/>
  <c r="BF15" i="2"/>
  <c r="BC15" i="2"/>
  <c r="T15" i="1" a="1"/>
  <c r="T15" i="1" s="1"/>
  <c r="Q67" i="18"/>
  <c r="T65" i="1" a="1"/>
  <c r="T65" i="1" s="1"/>
  <c r="R65" i="1" s="1"/>
  <c r="T59" i="1" a="1"/>
  <c r="T59" i="1" s="1"/>
  <c r="R59" i="1" s="1"/>
  <c r="T51" i="1" a="1"/>
  <c r="T51" i="1" s="1"/>
  <c r="R51" i="1" s="1"/>
  <c r="K60" i="18"/>
  <c r="J20" i="1"/>
  <c r="M4" i="16"/>
  <c r="E4" i="16"/>
  <c r="BC5" i="2"/>
  <c r="BF5" i="2"/>
  <c r="Q75" i="18"/>
  <c r="C68" i="18"/>
  <c r="K68" i="18" s="1"/>
  <c r="AX12" i="3"/>
  <c r="T70" i="1" a="1"/>
  <c r="T70" i="1" s="1"/>
  <c r="R70" i="1" s="1"/>
  <c r="J15" i="1"/>
  <c r="T44" i="1" a="1"/>
  <c r="T44" i="1" s="1"/>
  <c r="R44" i="1" s="1"/>
  <c r="BB18" i="14"/>
  <c r="BD18" i="14"/>
  <c r="K4" i="16"/>
  <c r="C4" i="16"/>
  <c r="BD5" i="2"/>
  <c r="O5" i="1" a="1"/>
  <c r="O5" i="1" s="1"/>
  <c r="R5" i="1" s="1"/>
  <c r="E18" i="15"/>
  <c r="H18" i="15" s="1"/>
  <c r="J18" i="15" s="1"/>
  <c r="K13" i="16"/>
  <c r="C13" i="16"/>
  <c r="O14" i="1" a="1"/>
  <c r="O14" i="1" s="1"/>
  <c r="BK14" i="2"/>
  <c r="P59" i="18" s="1"/>
  <c r="BD14" i="2"/>
  <c r="E2" i="15"/>
  <c r="H2" i="15" s="1"/>
  <c r="J2" i="15" s="1"/>
  <c r="T54" i="1" a="1"/>
  <c r="T54" i="1" s="1"/>
  <c r="R54" i="1" s="1"/>
  <c r="BB19" i="14"/>
  <c r="BD19" i="14"/>
  <c r="T38" i="1" a="1"/>
  <c r="T38" i="1" s="1"/>
  <c r="R38" i="1" s="1"/>
  <c r="T57" i="1" a="1"/>
  <c r="T57" i="1" s="1"/>
  <c r="R57" i="1" s="1"/>
  <c r="C64" i="18"/>
  <c r="K64" i="18" s="1"/>
  <c r="AX8" i="3"/>
  <c r="BI19" i="2"/>
  <c r="K10" i="16"/>
  <c r="C10" i="16"/>
  <c r="O11" i="1" a="1"/>
  <c r="O11" i="1" s="1"/>
  <c r="BD11" i="2"/>
  <c r="E9" i="15"/>
  <c r="H9" i="15" s="1"/>
  <c r="J9" i="15" s="1"/>
  <c r="K72" i="18"/>
  <c r="P71" i="18" l="1"/>
  <c r="AD137" i="1"/>
  <c r="BJ7" i="2"/>
  <c r="BK7" i="2" s="1"/>
  <c r="P74" i="18" s="1"/>
  <c r="O74" i="18"/>
  <c r="AD122" i="1"/>
  <c r="AD134" i="1"/>
  <c r="O7" i="16"/>
  <c r="G7" i="16"/>
  <c r="M64" i="18"/>
  <c r="R15" i="1"/>
  <c r="O15" i="16"/>
  <c r="G15" i="16"/>
  <c r="M69" i="18"/>
  <c r="C6" i="1"/>
  <c r="R3" i="1"/>
  <c r="C13" i="1" a="1"/>
  <c r="C13" i="1" s="1"/>
  <c r="O17" i="16"/>
  <c r="G17" i="16"/>
  <c r="M61" i="18"/>
  <c r="C59" i="18"/>
  <c r="AX3" i="3"/>
  <c r="AX20" i="3" s="1"/>
  <c r="AW1" i="3"/>
  <c r="AW20" i="3"/>
  <c r="AD150" i="1"/>
  <c r="G6" i="16"/>
  <c r="O6" i="16"/>
  <c r="M74" i="18"/>
  <c r="O13" i="16"/>
  <c r="G13" i="16"/>
  <c r="M59" i="18"/>
  <c r="AD148" i="1"/>
  <c r="BJ19" i="2"/>
  <c r="BK19" i="2" s="1"/>
  <c r="P62" i="18" s="1"/>
  <c r="O62" i="18"/>
  <c r="BG18" i="14"/>
  <c r="BF18" i="14"/>
  <c r="BE18" i="14"/>
  <c r="O14" i="16"/>
  <c r="G14" i="16"/>
  <c r="M67" i="18"/>
  <c r="BF20" i="2"/>
  <c r="R17" i="1"/>
  <c r="AD131" i="1"/>
  <c r="BG20" i="14"/>
  <c r="BF20" i="14"/>
  <c r="BE20" i="14"/>
  <c r="AD126" i="1"/>
  <c r="BE9" i="14"/>
  <c r="BF9" i="14"/>
  <c r="BG9" i="14"/>
  <c r="BJ15" i="2"/>
  <c r="BK15" i="2" s="1"/>
  <c r="P67" i="18" s="1"/>
  <c r="O67" i="18"/>
  <c r="R12" i="1"/>
  <c r="BE4" i="14"/>
  <c r="BG4" i="14"/>
  <c r="BF4" i="14"/>
  <c r="AD141" i="1"/>
  <c r="AD130" i="1"/>
  <c r="N18" i="16"/>
  <c r="F18" i="16"/>
  <c r="BE19" i="2"/>
  <c r="L62" i="18" s="1"/>
  <c r="O9" i="16"/>
  <c r="G9" i="16"/>
  <c r="M68" i="18"/>
  <c r="N6" i="16"/>
  <c r="F6" i="16"/>
  <c r="BE7" i="2"/>
  <c r="L74" i="18" s="1"/>
  <c r="N14" i="16"/>
  <c r="F14" i="16"/>
  <c r="BE15" i="2"/>
  <c r="L67" i="18" s="1"/>
  <c r="R19" i="1"/>
  <c r="O11" i="16"/>
  <c r="G11" i="16"/>
  <c r="M63" i="18"/>
  <c r="AD129" i="1"/>
  <c r="O18" i="16"/>
  <c r="G18" i="16"/>
  <c r="M62" i="18"/>
  <c r="BF11" i="14"/>
  <c r="BG11" i="14"/>
  <c r="BE11" i="14"/>
  <c r="AD127" i="1"/>
  <c r="BG17" i="14"/>
  <c r="BE17" i="14"/>
  <c r="BF17" i="14"/>
  <c r="AD136" i="1"/>
  <c r="AD133" i="1"/>
  <c r="G10" i="16"/>
  <c r="O10" i="16"/>
  <c r="M66" i="18"/>
  <c r="N8" i="16"/>
  <c r="F8" i="16"/>
  <c r="BE9" i="2"/>
  <c r="L65" i="18" s="1"/>
  <c r="F5" i="16"/>
  <c r="N5" i="16"/>
  <c r="BE6" i="2"/>
  <c r="L72" i="18" s="1"/>
  <c r="AD138" i="1"/>
  <c r="AD151" i="1"/>
  <c r="AD135" i="1"/>
  <c r="AD145" i="1"/>
  <c r="O8" i="16"/>
  <c r="G8" i="16"/>
  <c r="M65" i="18"/>
  <c r="AD123" i="1"/>
  <c r="BE7" i="14"/>
  <c r="BG7" i="14"/>
  <c r="BF7" i="14"/>
  <c r="AD146" i="1"/>
  <c r="A39" i="18" a="1"/>
  <c r="A19" i="18" a="1"/>
  <c r="AD125" i="1"/>
  <c r="BJ9" i="2"/>
  <c r="BK9" i="2" s="1"/>
  <c r="P65" i="18" s="1"/>
  <c r="O65" i="18"/>
  <c r="O20" i="1" a="1"/>
  <c r="O20" i="1" s="1"/>
  <c r="R20" i="1" s="1"/>
  <c r="A1" i="18" a="1"/>
  <c r="G12" i="16"/>
  <c r="O12" i="16"/>
  <c r="M70" i="18"/>
  <c r="N3" i="16"/>
  <c r="F3" i="16"/>
  <c r="BE4" i="2"/>
  <c r="L73" i="18" s="1"/>
  <c r="O5" i="16"/>
  <c r="G5" i="16"/>
  <c r="M72" i="18"/>
  <c r="BG6" i="14"/>
  <c r="BF6" i="14"/>
  <c r="BE6" i="14"/>
  <c r="AD124" i="1"/>
  <c r="AD147" i="1"/>
  <c r="AW6" i="7"/>
  <c r="F62" i="18"/>
  <c r="K62" i="18" s="1"/>
  <c r="BA1" i="14"/>
  <c r="BA21" i="14"/>
  <c r="BB3" i="14"/>
  <c r="BD3" i="14"/>
  <c r="AD121" i="1"/>
  <c r="BF8" i="14"/>
  <c r="BG8" i="14"/>
  <c r="BE8" i="14"/>
  <c r="BG14" i="14"/>
  <c r="BE14" i="14"/>
  <c r="BF14" i="14"/>
  <c r="F2" i="16"/>
  <c r="N2" i="16"/>
  <c r="BE3" i="2"/>
  <c r="BD20" i="2"/>
  <c r="N11" i="16"/>
  <c r="F11" i="16"/>
  <c r="BE12" i="2"/>
  <c r="L63" i="18" s="1"/>
  <c r="B13" i="1" a="1"/>
  <c r="B13" i="1" s="1"/>
  <c r="AD99" i="1" s="1"/>
  <c r="BJ4" i="2"/>
  <c r="BK4" i="2" s="1"/>
  <c r="P73" i="18" s="1"/>
  <c r="O73" i="18"/>
  <c r="F17" i="16"/>
  <c r="N17" i="16"/>
  <c r="BE18" i="2"/>
  <c r="L61" i="18" s="1"/>
  <c r="AD144" i="1"/>
  <c r="BB5" i="14"/>
  <c r="BD5" i="14"/>
  <c r="BF16" i="14"/>
  <c r="BG16" i="14"/>
  <c r="BE16" i="14"/>
  <c r="N16" i="16"/>
  <c r="F16" i="16"/>
  <c r="BE17" i="2"/>
  <c r="L60" i="18" s="1"/>
  <c r="BG19" i="14"/>
  <c r="BF19" i="14"/>
  <c r="BE19" i="14"/>
  <c r="AD140" i="1"/>
  <c r="O4" i="16"/>
  <c r="G4" i="16"/>
  <c r="M75" i="18"/>
  <c r="AD143" i="1"/>
  <c r="N13" i="16"/>
  <c r="F13" i="16"/>
  <c r="BE14" i="2"/>
  <c r="L59" i="18" s="1"/>
  <c r="F10" i="16"/>
  <c r="N10" i="16"/>
  <c r="BE11" i="2"/>
  <c r="L66" i="18" s="1"/>
  <c r="R7" i="1"/>
  <c r="R14" i="1"/>
  <c r="AD139" i="1"/>
  <c r="G2" i="16"/>
  <c r="O2" i="16"/>
  <c r="M71" i="18"/>
  <c r="AD142" i="1"/>
  <c r="G16" i="16"/>
  <c r="O16" i="16"/>
  <c r="M60" i="18"/>
  <c r="AD149" i="1"/>
  <c r="AD128" i="1"/>
  <c r="O3" i="16"/>
  <c r="G3" i="16"/>
  <c r="M73" i="18"/>
  <c r="BJ12" i="2"/>
  <c r="BK12" i="2" s="1"/>
  <c r="P63" i="18" s="1"/>
  <c r="O63" i="18"/>
  <c r="N4" i="16"/>
  <c r="F4" i="16"/>
  <c r="BE5" i="2"/>
  <c r="L75" i="18" s="1"/>
  <c r="AD132" i="1"/>
  <c r="A39" i="18" l="1"/>
  <c r="I39" i="18" s="1"/>
  <c r="E40" i="18"/>
  <c r="M40" i="18" s="1"/>
  <c r="C40" i="18"/>
  <c r="K40" i="18" s="1"/>
  <c r="B40" i="18"/>
  <c r="J40" i="18" s="1"/>
  <c r="A40" i="18"/>
  <c r="I40" i="18" s="1"/>
  <c r="D39" i="18"/>
  <c r="L39" i="18" s="1"/>
  <c r="C39" i="18"/>
  <c r="K39" i="18" s="1"/>
  <c r="E39" i="18"/>
  <c r="M39" i="18" s="1"/>
  <c r="B39" i="18"/>
  <c r="J39" i="18" s="1"/>
  <c r="D40" i="18"/>
  <c r="L40" i="18" s="1"/>
  <c r="D13" i="1"/>
  <c r="AI99" i="1" s="1"/>
  <c r="AE99" i="1"/>
  <c r="A6" i="1"/>
  <c r="E6" i="1" s="1"/>
  <c r="A9" i="1" s="1"/>
  <c r="BE20" i="2"/>
  <c r="L71" i="18"/>
  <c r="A79" i="18" s="1" a="1"/>
  <c r="T2" i="18" a="1"/>
  <c r="F13" i="1" a="1"/>
  <c r="F13" i="1" s="1"/>
  <c r="N69" i="1" a="1"/>
  <c r="N69" i="1" s="1"/>
  <c r="N89" i="1" a="1"/>
  <c r="N89" i="1" s="1"/>
  <c r="N84" i="1" a="1"/>
  <c r="N84" i="1" s="1"/>
  <c r="N72" i="1" a="1"/>
  <c r="N72" i="1" s="1"/>
  <c r="N67" i="1" a="1"/>
  <c r="N67" i="1" s="1"/>
  <c r="N54" i="1" a="1"/>
  <c r="N54" i="1" s="1"/>
  <c r="N76" i="1" a="1"/>
  <c r="N76" i="1" s="1"/>
  <c r="N73" i="1" a="1"/>
  <c r="N73" i="1" s="1"/>
  <c r="N59" i="1" a="1"/>
  <c r="N59" i="1" s="1"/>
  <c r="N34" i="1" a="1"/>
  <c r="N34" i="1" s="1"/>
  <c r="N28" i="1" a="1"/>
  <c r="N28" i="1" s="1"/>
  <c r="N88" i="1" a="1"/>
  <c r="N88" i="1" s="1"/>
  <c r="N77" i="1" a="1"/>
  <c r="N77" i="1" s="1"/>
  <c r="N65" i="1" a="1"/>
  <c r="N65" i="1" s="1"/>
  <c r="N82" i="1" a="1"/>
  <c r="N82" i="1" s="1"/>
  <c r="N92" i="1" a="1"/>
  <c r="N92" i="1" s="1"/>
  <c r="N74" i="1" a="1"/>
  <c r="N74" i="1" s="1"/>
  <c r="N57" i="1" a="1"/>
  <c r="N57" i="1" s="1"/>
  <c r="N51" i="1" a="1"/>
  <c r="N51" i="1" s="1"/>
  <c r="N32" i="1" a="1"/>
  <c r="N32" i="1" s="1"/>
  <c r="N86" i="1" a="1"/>
  <c r="N86" i="1" s="1"/>
  <c r="N63" i="1" a="1"/>
  <c r="N63" i="1" s="1"/>
  <c r="N38" i="1" a="1"/>
  <c r="N38" i="1" s="1"/>
  <c r="N85" i="1" a="1"/>
  <c r="N85" i="1" s="1"/>
  <c r="N50" i="1" a="1"/>
  <c r="N50" i="1" s="1"/>
  <c r="N49" i="1" a="1"/>
  <c r="N49" i="1" s="1"/>
  <c r="N61" i="1" a="1"/>
  <c r="N61" i="1" s="1"/>
  <c r="N43" i="1" a="1"/>
  <c r="N43" i="1" s="1"/>
  <c r="N75" i="1" a="1"/>
  <c r="N75" i="1" s="1"/>
  <c r="N71" i="1" a="1"/>
  <c r="N71" i="1" s="1"/>
  <c r="N93" i="1" a="1"/>
  <c r="N93" i="1" s="1"/>
  <c r="N95" i="1" a="1"/>
  <c r="N95" i="1" s="1"/>
  <c r="N47" i="1" a="1"/>
  <c r="N47" i="1" s="1"/>
  <c r="N31" i="1" a="1"/>
  <c r="N31" i="1" s="1"/>
  <c r="N30" i="1" a="1"/>
  <c r="N30" i="1" s="1"/>
  <c r="N90" i="1" a="1"/>
  <c r="N90" i="1" s="1"/>
  <c r="N66" i="1" a="1"/>
  <c r="N66" i="1" s="1"/>
  <c r="N55" i="1" a="1"/>
  <c r="N55" i="1" s="1"/>
  <c r="N81" i="1" a="1"/>
  <c r="N81" i="1" s="1"/>
  <c r="N39" i="1" a="1"/>
  <c r="N39" i="1" s="1"/>
  <c r="N68" i="1" a="1"/>
  <c r="N68" i="1" s="1"/>
  <c r="N40" i="1" a="1"/>
  <c r="N40" i="1" s="1"/>
  <c r="N91" i="1" a="1"/>
  <c r="N91" i="1" s="1"/>
  <c r="N58" i="1" a="1"/>
  <c r="N58" i="1" s="1"/>
  <c r="N94" i="1" a="1"/>
  <c r="N94" i="1" s="1"/>
  <c r="N79" i="1" a="1"/>
  <c r="N79" i="1" s="1"/>
  <c r="N29" i="1" a="1"/>
  <c r="N29" i="1" s="1"/>
  <c r="N35" i="1" a="1"/>
  <c r="N35" i="1" s="1"/>
  <c r="N44" i="1" a="1"/>
  <c r="N44" i="1" s="1"/>
  <c r="N48" i="1" a="1"/>
  <c r="N48" i="1" s="1"/>
  <c r="N80" i="1" a="1"/>
  <c r="N80" i="1" s="1"/>
  <c r="N70" i="1" a="1"/>
  <c r="N70" i="1" s="1"/>
  <c r="N52" i="1" a="1"/>
  <c r="N52" i="1" s="1"/>
  <c r="N36" i="1" a="1"/>
  <c r="N36" i="1" s="1"/>
  <c r="N60" i="1" a="1"/>
  <c r="N60" i="1" s="1"/>
  <c r="N41" i="1" a="1"/>
  <c r="N41" i="1" s="1"/>
  <c r="N45" i="1" a="1"/>
  <c r="N45" i="1" s="1"/>
  <c r="N83" i="1" a="1"/>
  <c r="N83" i="1" s="1"/>
  <c r="N42" i="1" a="1"/>
  <c r="N42" i="1" s="1"/>
  <c r="G6" i="1" a="1"/>
  <c r="G6" i="1" s="1"/>
  <c r="N56" i="1" a="1"/>
  <c r="N56" i="1" s="1"/>
  <c r="N37" i="1" a="1"/>
  <c r="N37" i="1" s="1"/>
  <c r="N62" i="1" a="1"/>
  <c r="N62" i="1" s="1"/>
  <c r="N87" i="1" a="1"/>
  <c r="N87" i="1" s="1"/>
  <c r="N64" i="1" a="1"/>
  <c r="N64" i="1" s="1"/>
  <c r="N53" i="1" a="1"/>
  <c r="N53" i="1" s="1"/>
  <c r="N78" i="1" a="1"/>
  <c r="N78" i="1" s="1"/>
  <c r="N46" i="1" a="1"/>
  <c r="N46" i="1" s="1"/>
  <c r="N33" i="1" a="1"/>
  <c r="N33" i="1" s="1"/>
  <c r="E13" i="1" a="1"/>
  <c r="E13" i="1" s="1"/>
  <c r="I6" i="1" a="1"/>
  <c r="I6" i="1" s="1"/>
  <c r="K6" i="1" a="1"/>
  <c r="K6" i="1" s="1"/>
  <c r="D20" i="18"/>
  <c r="L19" i="18" s="1"/>
  <c r="B20" i="18"/>
  <c r="J19" i="18" s="1"/>
  <c r="B19" i="18"/>
  <c r="C20" i="18"/>
  <c r="K19" i="18" s="1"/>
  <c r="A20" i="18"/>
  <c r="I19" i="18" s="1"/>
  <c r="D19" i="18"/>
  <c r="C19" i="18"/>
  <c r="A19" i="18"/>
  <c r="BG3" i="14"/>
  <c r="BD1" i="14"/>
  <c r="BG1" i="14" s="1"/>
  <c r="BE3" i="14"/>
  <c r="BD21" i="14"/>
  <c r="BF3" i="14"/>
  <c r="C107" i="1"/>
  <c r="C109" i="1" s="1"/>
  <c r="C105" i="1"/>
  <c r="I22" i="1" a="1"/>
  <c r="I22" i="1" s="1"/>
  <c r="BF5" i="14"/>
  <c r="BE5" i="14"/>
  <c r="BG5" i="14"/>
  <c r="K59" i="18"/>
  <c r="BB21" i="14"/>
  <c r="BB1" i="14"/>
  <c r="I24" i="1" a="1"/>
  <c r="I24" i="1" s="1"/>
  <c r="E6" i="18"/>
  <c r="M6" i="18" s="1"/>
  <c r="F3" i="18"/>
  <c r="N3" i="18" s="1"/>
  <c r="A1" i="18"/>
  <c r="I1" i="18" s="1"/>
  <c r="D6" i="18"/>
  <c r="L6" i="18" s="1"/>
  <c r="E3" i="18"/>
  <c r="M3" i="18" s="1"/>
  <c r="B6" i="18"/>
  <c r="J6" i="18" s="1"/>
  <c r="C3" i="18"/>
  <c r="K3" i="18" s="1"/>
  <c r="E5" i="18"/>
  <c r="M5" i="18" s="1"/>
  <c r="F2" i="18"/>
  <c r="N2" i="18" s="1"/>
  <c r="B5" i="18"/>
  <c r="J5" i="18" s="1"/>
  <c r="C2" i="18"/>
  <c r="K2" i="18" s="1"/>
  <c r="F7" i="18"/>
  <c r="N7" i="18" s="1"/>
  <c r="G4" i="18"/>
  <c r="O4" i="18" s="1"/>
  <c r="A2" i="18"/>
  <c r="I2" i="18" s="1"/>
  <c r="E7" i="18"/>
  <c r="M7" i="18" s="1"/>
  <c r="F4" i="18"/>
  <c r="N4" i="18" s="1"/>
  <c r="G1" i="18"/>
  <c r="O1" i="18" s="1"/>
  <c r="D7" i="18"/>
  <c r="L7" i="18" s="1"/>
  <c r="E4" i="18"/>
  <c r="M4" i="18" s="1"/>
  <c r="F1" i="18"/>
  <c r="N1" i="18" s="1"/>
  <c r="B7" i="18"/>
  <c r="J7" i="18" s="1"/>
  <c r="C4" i="18"/>
  <c r="K4" i="18" s="1"/>
  <c r="D1" i="18"/>
  <c r="L1" i="18" s="1"/>
  <c r="A7" i="18"/>
  <c r="I7" i="18" s="1"/>
  <c r="B4" i="18"/>
  <c r="J4" i="18" s="1"/>
  <c r="C1" i="18"/>
  <c r="K1" i="18" s="1"/>
  <c r="G3" i="18"/>
  <c r="O3" i="18" s="1"/>
  <c r="D3" i="18"/>
  <c r="L3" i="18" s="1"/>
  <c r="B3" i="18"/>
  <c r="J3" i="18" s="1"/>
  <c r="A3" i="18"/>
  <c r="I3" i="18" s="1"/>
  <c r="G2" i="18"/>
  <c r="O2" i="18" s="1"/>
  <c r="E2" i="18"/>
  <c r="M2" i="18" s="1"/>
  <c r="D2" i="18"/>
  <c r="L2" i="18" s="1"/>
  <c r="G7" i="18"/>
  <c r="O7" i="18" s="1"/>
  <c r="B2" i="18"/>
  <c r="J2" i="18" s="1"/>
  <c r="C7" i="18"/>
  <c r="K7" i="18" s="1"/>
  <c r="E1" i="18"/>
  <c r="M1" i="18" s="1"/>
  <c r="G6" i="18"/>
  <c r="O6" i="18" s="1"/>
  <c r="B1" i="18"/>
  <c r="J1" i="18" s="1"/>
  <c r="C6" i="18"/>
  <c r="K6" i="18" s="1"/>
  <c r="A6" i="18"/>
  <c r="I6" i="18" s="1"/>
  <c r="G5" i="18"/>
  <c r="O5" i="18" s="1"/>
  <c r="F5" i="18"/>
  <c r="N5" i="18" s="1"/>
  <c r="D5" i="18"/>
  <c r="L5" i="18" s="1"/>
  <c r="C5" i="18"/>
  <c r="K5" i="18" s="1"/>
  <c r="A5" i="18"/>
  <c r="I5" i="18" s="1"/>
  <c r="D4" i="18"/>
  <c r="L4" i="18" s="1"/>
  <c r="A4" i="18"/>
  <c r="I4" i="18" s="1"/>
  <c r="F6" i="18"/>
  <c r="N6" i="18" s="1"/>
  <c r="I23" i="1" a="1"/>
  <c r="I23" i="1" s="1"/>
  <c r="N95" i="18" l="1"/>
  <c r="L94" i="18"/>
  <c r="J93" i="18"/>
  <c r="H92" i="18"/>
  <c r="F91" i="18"/>
  <c r="D90" i="18"/>
  <c r="B89" i="18"/>
  <c r="R87" i="18"/>
  <c r="P86" i="18"/>
  <c r="N85" i="18"/>
  <c r="L84" i="18"/>
  <c r="J83" i="18"/>
  <c r="H82" i="18"/>
  <c r="F81" i="18"/>
  <c r="D80" i="18"/>
  <c r="B79" i="18"/>
  <c r="J95" i="18"/>
  <c r="G94" i="18"/>
  <c r="D93" i="18"/>
  <c r="A92" i="18"/>
  <c r="P90" i="18"/>
  <c r="M89" i="18"/>
  <c r="J88" i="18"/>
  <c r="G87" i="18"/>
  <c r="D86" i="18"/>
  <c r="A85" i="18"/>
  <c r="P83" i="18"/>
  <c r="M82" i="18"/>
  <c r="J81" i="18"/>
  <c r="G80" i="18"/>
  <c r="D79" i="18"/>
  <c r="E95" i="18"/>
  <c r="B94" i="18"/>
  <c r="Q92" i="18"/>
  <c r="N91" i="18"/>
  <c r="K90" i="18"/>
  <c r="H89" i="18"/>
  <c r="E88" i="18"/>
  <c r="B87" i="18"/>
  <c r="Q85" i="18"/>
  <c r="N84" i="18"/>
  <c r="K83" i="18"/>
  <c r="G82" i="18"/>
  <c r="D81" i="18"/>
  <c r="A80" i="18"/>
  <c r="G95" i="18"/>
  <c r="A94" i="18"/>
  <c r="N92" i="18"/>
  <c r="I91" i="18"/>
  <c r="C90" i="18"/>
  <c r="P88" i="18"/>
  <c r="K87" i="18"/>
  <c r="F86" i="18"/>
  <c r="R84" i="18"/>
  <c r="M83" i="18"/>
  <c r="F82" i="18"/>
  <c r="A81" i="18"/>
  <c r="N79" i="18"/>
  <c r="F95" i="18"/>
  <c r="R93" i="18"/>
  <c r="M92" i="18"/>
  <c r="H91" i="18"/>
  <c r="B90" i="18"/>
  <c r="O88" i="18"/>
  <c r="J87" i="18"/>
  <c r="E86" i="18"/>
  <c r="Q84" i="18"/>
  <c r="L83" i="18"/>
  <c r="E82" i="18"/>
  <c r="R80" i="18"/>
  <c r="M79" i="18"/>
  <c r="R95" i="18"/>
  <c r="J94" i="18"/>
  <c r="B93" i="18"/>
  <c r="L91" i="18"/>
  <c r="E90" i="18"/>
  <c r="M88" i="18"/>
  <c r="E87" i="18"/>
  <c r="O85" i="18"/>
  <c r="G84" i="18"/>
  <c r="R82" i="18"/>
  <c r="K81" i="18"/>
  <c r="B80" i="18"/>
  <c r="M95" i="18"/>
  <c r="E94" i="18"/>
  <c r="O92" i="18"/>
  <c r="E91" i="18"/>
  <c r="P89" i="18"/>
  <c r="H88" i="18"/>
  <c r="R86" i="18"/>
  <c r="J85" i="18"/>
  <c r="C84" i="18"/>
  <c r="N82" i="18"/>
  <c r="E81" i="18"/>
  <c r="O79" i="18"/>
  <c r="R94" i="18"/>
  <c r="K93" i="18"/>
  <c r="C92" i="18"/>
  <c r="M90" i="18"/>
  <c r="E89" i="18"/>
  <c r="O87" i="18"/>
  <c r="H86" i="18"/>
  <c r="P84" i="18"/>
  <c r="G83" i="18"/>
  <c r="R81" i="18"/>
  <c r="K80" i="18"/>
  <c r="C79" i="18"/>
  <c r="Q94" i="18"/>
  <c r="F93" i="18"/>
  <c r="K91" i="18"/>
  <c r="O89" i="18"/>
  <c r="C88" i="18"/>
  <c r="J86" i="18"/>
  <c r="M84" i="18"/>
  <c r="B83" i="18"/>
  <c r="H81" i="18"/>
  <c r="K79" i="18"/>
  <c r="P94" i="18"/>
  <c r="E93" i="18"/>
  <c r="J91" i="18"/>
  <c r="N89" i="18"/>
  <c r="B88" i="18"/>
  <c r="I86" i="18"/>
  <c r="K84" i="18"/>
  <c r="A83" i="18"/>
  <c r="G81" i="18"/>
  <c r="J79" i="18"/>
  <c r="O94" i="18"/>
  <c r="C93" i="18"/>
  <c r="G91" i="18"/>
  <c r="L89" i="18"/>
  <c r="A88" i="18"/>
  <c r="G86" i="18"/>
  <c r="J84" i="18"/>
  <c r="Q82" i="18"/>
  <c r="C81" i="18"/>
  <c r="I79" i="18"/>
  <c r="N94" i="18"/>
  <c r="A93" i="18"/>
  <c r="D91" i="18"/>
  <c r="K89" i="18"/>
  <c r="Q87" i="18"/>
  <c r="C86" i="18"/>
  <c r="I84" i="18"/>
  <c r="P82" i="18"/>
  <c r="B81" i="18"/>
  <c r="H79" i="18"/>
  <c r="K94" i="18"/>
  <c r="P92" i="18"/>
  <c r="B91" i="18"/>
  <c r="I89" i="18"/>
  <c r="N87" i="18"/>
  <c r="A86" i="18"/>
  <c r="F84" i="18"/>
  <c r="L82" i="18"/>
  <c r="P80" i="18"/>
  <c r="F79" i="18"/>
  <c r="I94" i="18"/>
  <c r="L92" i="18"/>
  <c r="A91" i="18"/>
  <c r="G89" i="18"/>
  <c r="M87" i="18"/>
  <c r="R85" i="18"/>
  <c r="E84" i="18"/>
  <c r="K82" i="18"/>
  <c r="O80" i="18"/>
  <c r="E79" i="18"/>
  <c r="H94" i="18"/>
  <c r="K92" i="18"/>
  <c r="R90" i="18"/>
  <c r="F89" i="18"/>
  <c r="L87" i="18"/>
  <c r="P85" i="18"/>
  <c r="D84" i="18"/>
  <c r="J82" i="18"/>
  <c r="N80" i="18"/>
  <c r="F94" i="18"/>
  <c r="J92" i="18"/>
  <c r="Q90" i="18"/>
  <c r="D89" i="18"/>
  <c r="I87" i="18"/>
  <c r="M85" i="18"/>
  <c r="B84" i="18"/>
  <c r="I82" i="18"/>
  <c r="M80" i="18"/>
  <c r="A79" i="18"/>
  <c r="Q95" i="18"/>
  <c r="D94" i="18"/>
  <c r="I92" i="18"/>
  <c r="O90" i="18"/>
  <c r="C89" i="18"/>
  <c r="H87" i="18"/>
  <c r="L85" i="18"/>
  <c r="A84" i="18"/>
  <c r="D82" i="18"/>
  <c r="L80" i="18"/>
  <c r="P95" i="18"/>
  <c r="C94" i="18"/>
  <c r="G92" i="18"/>
  <c r="N90" i="18"/>
  <c r="A89" i="18"/>
  <c r="F87" i="18"/>
  <c r="K85" i="18"/>
  <c r="R83" i="18"/>
  <c r="C82" i="18"/>
  <c r="J80" i="18"/>
  <c r="O95" i="18"/>
  <c r="Q93" i="18"/>
  <c r="F92" i="18"/>
  <c r="L90" i="18"/>
  <c r="R88" i="18"/>
  <c r="D87" i="18"/>
  <c r="I85" i="18"/>
  <c r="Q83" i="18"/>
  <c r="B82" i="18"/>
  <c r="I80" i="18"/>
  <c r="P93" i="18"/>
  <c r="H90" i="18"/>
  <c r="N86" i="18"/>
  <c r="D83" i="18"/>
  <c r="G79" i="18"/>
  <c r="O93" i="18"/>
  <c r="G90" i="18"/>
  <c r="M86" i="18"/>
  <c r="C83" i="18"/>
  <c r="N93" i="18"/>
  <c r="F90" i="18"/>
  <c r="L86" i="18"/>
  <c r="O82" i="18"/>
  <c r="L93" i="18"/>
  <c r="R89" i="18"/>
  <c r="B86" i="18"/>
  <c r="Q81" i="18"/>
  <c r="I93" i="18"/>
  <c r="Q89" i="18"/>
  <c r="H85" i="18"/>
  <c r="P81" i="18"/>
  <c r="H93" i="18"/>
  <c r="J89" i="18"/>
  <c r="G85" i="18"/>
  <c r="O81" i="18"/>
  <c r="R92" i="18"/>
  <c r="N88" i="18"/>
  <c r="E85" i="18"/>
  <c r="M81" i="18"/>
  <c r="D92" i="18"/>
  <c r="K88" i="18"/>
  <c r="C85" i="18"/>
  <c r="I81" i="18"/>
  <c r="H95" i="18"/>
  <c r="L88" i="18"/>
  <c r="F83" i="18"/>
  <c r="D95" i="18"/>
  <c r="I88" i="18"/>
  <c r="E83" i="18"/>
  <c r="C95" i="18"/>
  <c r="G88" i="18"/>
  <c r="A82" i="18"/>
  <c r="A95" i="18"/>
  <c r="D88" i="18"/>
  <c r="L81" i="18"/>
  <c r="M94" i="18"/>
  <c r="P87" i="18"/>
  <c r="Q80" i="18"/>
  <c r="A87" i="18"/>
  <c r="M93" i="18"/>
  <c r="C87" i="18"/>
  <c r="H80" i="18"/>
  <c r="G93" i="18"/>
  <c r="F80" i="18"/>
  <c r="E92" i="18"/>
  <c r="Q86" i="18"/>
  <c r="E80" i="18"/>
  <c r="B92" i="18"/>
  <c r="O86" i="18"/>
  <c r="C80" i="18"/>
  <c r="Q91" i="18"/>
  <c r="F85" i="18"/>
  <c r="Q79" i="18"/>
  <c r="F88" i="18"/>
  <c r="K86" i="18"/>
  <c r="D85" i="18"/>
  <c r="B85" i="18"/>
  <c r="O84" i="18"/>
  <c r="H84" i="18"/>
  <c r="O83" i="18"/>
  <c r="L95" i="18"/>
  <c r="N83" i="18"/>
  <c r="K95" i="18"/>
  <c r="I83" i="18"/>
  <c r="I95" i="18"/>
  <c r="H83" i="18"/>
  <c r="R91" i="18"/>
  <c r="R79" i="18"/>
  <c r="C91" i="18"/>
  <c r="O91" i="18"/>
  <c r="J90" i="18"/>
  <c r="I90" i="18"/>
  <c r="M91" i="18"/>
  <c r="A90" i="18"/>
  <c r="Q88" i="18"/>
  <c r="B95" i="18"/>
  <c r="P91" i="18"/>
  <c r="N81" i="18"/>
  <c r="P79" i="18"/>
  <c r="L79" i="18"/>
  <c r="J62" i="1" a="1"/>
  <c r="J62" i="1" s="1"/>
  <c r="D62" i="1" a="1"/>
  <c r="D62" i="1" s="1"/>
  <c r="L62" i="1" a="1"/>
  <c r="L62" i="1" s="1"/>
  <c r="K62" i="1" a="1"/>
  <c r="K62" i="1" s="1"/>
  <c r="I62" i="1" a="1"/>
  <c r="I62" i="1" s="1"/>
  <c r="C62" i="1" a="1"/>
  <c r="C62" i="1" s="1"/>
  <c r="B62" i="1" a="1"/>
  <c r="B62" i="1" s="1"/>
  <c r="H62" i="1" a="1"/>
  <c r="H62" i="1" s="1"/>
  <c r="F62" i="1" a="1"/>
  <c r="F62" i="1" s="1"/>
  <c r="E62" i="1" a="1"/>
  <c r="E62" i="1" s="1"/>
  <c r="A62" i="1"/>
  <c r="G62" i="1" a="1"/>
  <c r="G62" i="1" s="1"/>
  <c r="D37" i="1" a="1"/>
  <c r="D37" i="1" s="1"/>
  <c r="J37" i="1" a="1"/>
  <c r="J37" i="1" s="1"/>
  <c r="C37" i="1" a="1"/>
  <c r="C37" i="1" s="1"/>
  <c r="L37" i="1" a="1"/>
  <c r="L37" i="1" s="1"/>
  <c r="I37" i="1" a="1"/>
  <c r="I37" i="1" s="1"/>
  <c r="E37" i="1" a="1"/>
  <c r="E37" i="1" s="1"/>
  <c r="K37" i="1" a="1"/>
  <c r="K37" i="1" s="1"/>
  <c r="B37" i="1" a="1"/>
  <c r="B37" i="1" s="1"/>
  <c r="H37" i="1" a="1"/>
  <c r="H37" i="1" s="1"/>
  <c r="G37" i="1" a="1"/>
  <c r="G37" i="1" s="1"/>
  <c r="F37" i="1" a="1"/>
  <c r="F37" i="1" s="1"/>
  <c r="A37" i="1"/>
  <c r="L89" i="1" a="1"/>
  <c r="L89" i="1" s="1"/>
  <c r="C89" i="1" a="1"/>
  <c r="C89" i="1" s="1"/>
  <c r="D89" i="1" a="1"/>
  <c r="D89" i="1" s="1"/>
  <c r="J89" i="1" a="1"/>
  <c r="J89" i="1" s="1"/>
  <c r="I89" i="1" a="1"/>
  <c r="I89" i="1" s="1"/>
  <c r="E89" i="1" a="1"/>
  <c r="E89" i="1" s="1"/>
  <c r="K89" i="1" a="1"/>
  <c r="K89" i="1" s="1"/>
  <c r="B89" i="1" a="1"/>
  <c r="B89" i="1" s="1"/>
  <c r="A89" i="1"/>
  <c r="G89" i="1" a="1"/>
  <c r="G89" i="1" s="1"/>
  <c r="H89" i="1" a="1"/>
  <c r="H89" i="1" s="1"/>
  <c r="F89" i="1" a="1"/>
  <c r="F89" i="1" s="1"/>
  <c r="J69" i="1" a="1"/>
  <c r="J69" i="1" s="1"/>
  <c r="D69" i="1" a="1"/>
  <c r="D69" i="1" s="1"/>
  <c r="I69" i="1" a="1"/>
  <c r="I69" i="1" s="1"/>
  <c r="B69" i="1" a="1"/>
  <c r="B69" i="1" s="1"/>
  <c r="L69" i="1" a="1"/>
  <c r="L69" i="1" s="1"/>
  <c r="C69" i="1" a="1"/>
  <c r="C69" i="1" s="1"/>
  <c r="G69" i="1" a="1"/>
  <c r="G69" i="1" s="1"/>
  <c r="K69" i="1" a="1"/>
  <c r="K69" i="1" s="1"/>
  <c r="E69" i="1" a="1"/>
  <c r="E69" i="1" s="1"/>
  <c r="H69" i="1" a="1"/>
  <c r="H69" i="1" s="1"/>
  <c r="A69" i="1"/>
  <c r="F69" i="1" a="1"/>
  <c r="F69" i="1" s="1"/>
  <c r="B32" i="1" a="1"/>
  <c r="B32" i="1" s="1"/>
  <c r="L32" i="1" a="1"/>
  <c r="L32" i="1" s="1"/>
  <c r="E32" i="1" a="1"/>
  <c r="E32" i="1" s="1"/>
  <c r="K32" i="1" a="1"/>
  <c r="K32" i="1" s="1"/>
  <c r="J32" i="1" a="1"/>
  <c r="J32" i="1" s="1"/>
  <c r="I32" i="1" a="1"/>
  <c r="I32" i="1" s="1"/>
  <c r="D32" i="1" a="1"/>
  <c r="D32" i="1" s="1"/>
  <c r="C32" i="1" a="1"/>
  <c r="C32" i="1" s="1"/>
  <c r="H32" i="1" a="1"/>
  <c r="H32" i="1" s="1"/>
  <c r="A32" i="1"/>
  <c r="F32" i="1" a="1"/>
  <c r="F32" i="1" s="1"/>
  <c r="G32" i="1" a="1"/>
  <c r="G32" i="1" s="1"/>
  <c r="C81" i="1" a="1"/>
  <c r="C81" i="1" s="1"/>
  <c r="K81" i="1" a="1"/>
  <c r="K81" i="1" s="1"/>
  <c r="L81" i="1" a="1"/>
  <c r="L81" i="1" s="1"/>
  <c r="I81" i="1" a="1"/>
  <c r="I81" i="1" s="1"/>
  <c r="B81" i="1" a="1"/>
  <c r="B81" i="1" s="1"/>
  <c r="J81" i="1" a="1"/>
  <c r="J81" i="1" s="1"/>
  <c r="D81" i="1" a="1"/>
  <c r="D81" i="1" s="1"/>
  <c r="A81" i="1"/>
  <c r="H81" i="1" a="1"/>
  <c r="H81" i="1" s="1"/>
  <c r="F81" i="1" a="1"/>
  <c r="F81" i="1" s="1"/>
  <c r="E81" i="1" a="1"/>
  <c r="E81" i="1" s="1"/>
  <c r="G81" i="1" a="1"/>
  <c r="G81" i="1" s="1"/>
  <c r="B55" i="1" a="1"/>
  <c r="B55" i="1" s="1"/>
  <c r="K55" i="1" a="1"/>
  <c r="K55" i="1" s="1"/>
  <c r="L55" i="1" a="1"/>
  <c r="L55" i="1" s="1"/>
  <c r="J55" i="1" a="1"/>
  <c r="J55" i="1" s="1"/>
  <c r="I55" i="1" a="1"/>
  <c r="I55" i="1" s="1"/>
  <c r="H55" i="1" a="1"/>
  <c r="H55" i="1" s="1"/>
  <c r="D55" i="1" a="1"/>
  <c r="D55" i="1" s="1"/>
  <c r="C55" i="1" a="1"/>
  <c r="C55" i="1" s="1"/>
  <c r="A55" i="1"/>
  <c r="E55" i="1" a="1"/>
  <c r="E55" i="1" s="1"/>
  <c r="G55" i="1" a="1"/>
  <c r="G55" i="1" s="1"/>
  <c r="F55" i="1" a="1"/>
  <c r="F55" i="1" s="1"/>
  <c r="B74" i="1" a="1"/>
  <c r="B74" i="1" s="1"/>
  <c r="C74" i="1" a="1"/>
  <c r="C74" i="1" s="1"/>
  <c r="D74" i="1" a="1"/>
  <c r="D74" i="1" s="1"/>
  <c r="K74" i="1" a="1"/>
  <c r="K74" i="1" s="1"/>
  <c r="J74" i="1" a="1"/>
  <c r="J74" i="1" s="1"/>
  <c r="E74" i="1" a="1"/>
  <c r="E74" i="1" s="1"/>
  <c r="L74" i="1" a="1"/>
  <c r="L74" i="1" s="1"/>
  <c r="I74" i="1" a="1"/>
  <c r="I74" i="1" s="1"/>
  <c r="G74" i="1" a="1"/>
  <c r="G74" i="1" s="1"/>
  <c r="F74" i="1" a="1"/>
  <c r="F74" i="1" s="1"/>
  <c r="H74" i="1" a="1"/>
  <c r="H74" i="1" s="1"/>
  <c r="A74" i="1"/>
  <c r="D60" i="1" a="1"/>
  <c r="D60" i="1" s="1"/>
  <c r="L60" i="1" a="1"/>
  <c r="L60" i="1" s="1"/>
  <c r="K60" i="1" a="1"/>
  <c r="K60" i="1" s="1"/>
  <c r="I60" i="1" a="1"/>
  <c r="I60" i="1" s="1"/>
  <c r="B60" i="1" a="1"/>
  <c r="B60" i="1" s="1"/>
  <c r="J60" i="1" a="1"/>
  <c r="J60" i="1" s="1"/>
  <c r="C60" i="1" a="1"/>
  <c r="C60" i="1" s="1"/>
  <c r="H60" i="1" a="1"/>
  <c r="H60" i="1" s="1"/>
  <c r="G60" i="1" a="1"/>
  <c r="G60" i="1" s="1"/>
  <c r="E60" i="1" a="1"/>
  <c r="E60" i="1" s="1"/>
  <c r="A60" i="1"/>
  <c r="F60" i="1" a="1"/>
  <c r="F60" i="1" s="1"/>
  <c r="D31" i="1" a="1"/>
  <c r="D31" i="1" s="1"/>
  <c r="I31" i="1" a="1"/>
  <c r="I31" i="1" s="1"/>
  <c r="L31" i="1" a="1"/>
  <c r="L31" i="1" s="1"/>
  <c r="K31" i="1" a="1"/>
  <c r="K31" i="1" s="1"/>
  <c r="J31" i="1" a="1"/>
  <c r="J31" i="1" s="1"/>
  <c r="A31" i="1"/>
  <c r="C31" i="1" a="1"/>
  <c r="C31" i="1" s="1"/>
  <c r="B31" i="1" a="1"/>
  <c r="B31" i="1" s="1"/>
  <c r="F31" i="1" a="1"/>
  <c r="F31" i="1" s="1"/>
  <c r="G31" i="1" a="1"/>
  <c r="G31" i="1" s="1"/>
  <c r="E31" i="1" a="1"/>
  <c r="E31" i="1" s="1"/>
  <c r="H31" i="1" a="1"/>
  <c r="H31" i="1" s="1"/>
  <c r="K52" i="1" a="1"/>
  <c r="K52" i="1" s="1"/>
  <c r="I52" i="1" a="1"/>
  <c r="I52" i="1" s="1"/>
  <c r="C52" i="1" a="1"/>
  <c r="C52" i="1" s="1"/>
  <c r="L52" i="1" a="1"/>
  <c r="L52" i="1" s="1"/>
  <c r="J52" i="1" a="1"/>
  <c r="J52" i="1" s="1"/>
  <c r="D52" i="1" a="1"/>
  <c r="D52" i="1" s="1"/>
  <c r="B52" i="1" a="1"/>
  <c r="B52" i="1" s="1"/>
  <c r="E52" i="1" a="1"/>
  <c r="E52" i="1" s="1"/>
  <c r="H52" i="1" a="1"/>
  <c r="H52" i="1" s="1"/>
  <c r="A52" i="1"/>
  <c r="G52" i="1" a="1"/>
  <c r="G52" i="1" s="1"/>
  <c r="F52" i="1" a="1"/>
  <c r="F52" i="1" s="1"/>
  <c r="J93" i="1" a="1"/>
  <c r="J93" i="1" s="1"/>
  <c r="K93" i="1" a="1"/>
  <c r="K93" i="1" s="1"/>
  <c r="D93" i="1" a="1"/>
  <c r="D93" i="1" s="1"/>
  <c r="B93" i="1" a="1"/>
  <c r="B93" i="1" s="1"/>
  <c r="L93" i="1" a="1"/>
  <c r="L93" i="1" s="1"/>
  <c r="I93" i="1" a="1"/>
  <c r="I93" i="1" s="1"/>
  <c r="C93" i="1" a="1"/>
  <c r="C93" i="1" s="1"/>
  <c r="F93" i="1" a="1"/>
  <c r="F93" i="1" s="1"/>
  <c r="H93" i="1" a="1"/>
  <c r="H93" i="1" s="1"/>
  <c r="G93" i="1" a="1"/>
  <c r="G93" i="1" s="1"/>
  <c r="E93" i="1" a="1"/>
  <c r="E93" i="1" s="1"/>
  <c r="A93" i="1"/>
  <c r="K33" i="1" a="1"/>
  <c r="K33" i="1" s="1"/>
  <c r="L33" i="1" a="1"/>
  <c r="L33" i="1" s="1"/>
  <c r="I33" i="1" a="1"/>
  <c r="I33" i="1" s="1"/>
  <c r="D33" i="1" a="1"/>
  <c r="D33" i="1" s="1"/>
  <c r="J33" i="1" a="1"/>
  <c r="J33" i="1" s="1"/>
  <c r="C33" i="1" a="1"/>
  <c r="C33" i="1" s="1"/>
  <c r="B33" i="1" a="1"/>
  <c r="B33" i="1" s="1"/>
  <c r="G33" i="1" a="1"/>
  <c r="G33" i="1" s="1"/>
  <c r="E33" i="1" a="1"/>
  <c r="E33" i="1" s="1"/>
  <c r="H33" i="1" a="1"/>
  <c r="H33" i="1" s="1"/>
  <c r="F33" i="1" a="1"/>
  <c r="F33" i="1" s="1"/>
  <c r="A33" i="1"/>
  <c r="L44" i="1" a="1"/>
  <c r="L44" i="1" s="1"/>
  <c r="I44" i="1" a="1"/>
  <c r="I44" i="1" s="1"/>
  <c r="C44" i="1" a="1"/>
  <c r="C44" i="1" s="1"/>
  <c r="J44" i="1" a="1"/>
  <c r="J44" i="1" s="1"/>
  <c r="D44" i="1" a="1"/>
  <c r="D44" i="1" s="1"/>
  <c r="B44" i="1" a="1"/>
  <c r="B44" i="1" s="1"/>
  <c r="K44" i="1" a="1"/>
  <c r="K44" i="1" s="1"/>
  <c r="G44" i="1" a="1"/>
  <c r="G44" i="1" s="1"/>
  <c r="A44" i="1"/>
  <c r="F44" i="1" a="1"/>
  <c r="F44" i="1" s="1"/>
  <c r="E44" i="1" a="1"/>
  <c r="E44" i="1" s="1"/>
  <c r="H44" i="1" a="1"/>
  <c r="H44" i="1" s="1"/>
  <c r="D75" i="1" a="1"/>
  <c r="D75" i="1" s="1"/>
  <c r="K75" i="1" a="1"/>
  <c r="K75" i="1" s="1"/>
  <c r="C75" i="1" a="1"/>
  <c r="C75" i="1" s="1"/>
  <c r="J75" i="1" a="1"/>
  <c r="J75" i="1" s="1"/>
  <c r="I75" i="1" a="1"/>
  <c r="I75" i="1" s="1"/>
  <c r="L75" i="1" a="1"/>
  <c r="L75" i="1" s="1"/>
  <c r="B75" i="1" a="1"/>
  <c r="B75" i="1" s="1"/>
  <c r="H75" i="1" a="1"/>
  <c r="H75" i="1" s="1"/>
  <c r="G75" i="1" a="1"/>
  <c r="G75" i="1" s="1"/>
  <c r="A75" i="1"/>
  <c r="F75" i="1" a="1"/>
  <c r="F75" i="1" s="1"/>
  <c r="E75" i="1" a="1"/>
  <c r="E75" i="1" s="1"/>
  <c r="I59" i="1" a="1"/>
  <c r="I59" i="1" s="1"/>
  <c r="K59" i="1" a="1"/>
  <c r="K59" i="1" s="1"/>
  <c r="D59" i="1" a="1"/>
  <c r="D59" i="1" s="1"/>
  <c r="C59" i="1" a="1"/>
  <c r="C59" i="1" s="1"/>
  <c r="G59" i="1" a="1"/>
  <c r="G59" i="1" s="1"/>
  <c r="A59" i="1"/>
  <c r="J59" i="1" a="1"/>
  <c r="J59" i="1" s="1"/>
  <c r="B59" i="1" a="1"/>
  <c r="B59" i="1" s="1"/>
  <c r="F59" i="1" a="1"/>
  <c r="F59" i="1" s="1"/>
  <c r="E59" i="1" a="1"/>
  <c r="E59" i="1" s="1"/>
  <c r="L59" i="1" a="1"/>
  <c r="L59" i="1" s="1"/>
  <c r="H59" i="1" a="1"/>
  <c r="H59" i="1" s="1"/>
  <c r="K46" i="1" a="1"/>
  <c r="K46" i="1" s="1"/>
  <c r="L46" i="1" a="1"/>
  <c r="L46" i="1" s="1"/>
  <c r="J46" i="1" a="1"/>
  <c r="J46" i="1" s="1"/>
  <c r="D46" i="1" a="1"/>
  <c r="D46" i="1" s="1"/>
  <c r="C46" i="1" a="1"/>
  <c r="C46" i="1" s="1"/>
  <c r="B46" i="1" a="1"/>
  <c r="B46" i="1" s="1"/>
  <c r="A46" i="1"/>
  <c r="I46" i="1" a="1"/>
  <c r="I46" i="1" s="1"/>
  <c r="H46" i="1" a="1"/>
  <c r="H46" i="1" s="1"/>
  <c r="F46" i="1" a="1"/>
  <c r="F46" i="1" s="1"/>
  <c r="G46" i="1" a="1"/>
  <c r="G46" i="1" s="1"/>
  <c r="E46" i="1" a="1"/>
  <c r="E46" i="1" s="1"/>
  <c r="D35" i="1" a="1"/>
  <c r="D35" i="1" s="1"/>
  <c r="L35" i="1" a="1"/>
  <c r="L35" i="1" s="1"/>
  <c r="K35" i="1" a="1"/>
  <c r="K35" i="1" s="1"/>
  <c r="I35" i="1" a="1"/>
  <c r="I35" i="1" s="1"/>
  <c r="B35" i="1" a="1"/>
  <c r="B35" i="1" s="1"/>
  <c r="H35" i="1" a="1"/>
  <c r="H35" i="1" s="1"/>
  <c r="E35" i="1" a="1"/>
  <c r="E35" i="1" s="1"/>
  <c r="J35" i="1" a="1"/>
  <c r="J35" i="1" s="1"/>
  <c r="C35" i="1" a="1"/>
  <c r="C35" i="1" s="1"/>
  <c r="F35" i="1" a="1"/>
  <c r="F35" i="1" s="1"/>
  <c r="A35" i="1"/>
  <c r="G35" i="1" a="1"/>
  <c r="G35" i="1" s="1"/>
  <c r="D43" i="1" a="1"/>
  <c r="D43" i="1" s="1"/>
  <c r="L43" i="1" a="1"/>
  <c r="L43" i="1" s="1"/>
  <c r="I43" i="1" a="1"/>
  <c r="I43" i="1" s="1"/>
  <c r="B43" i="1" a="1"/>
  <c r="B43" i="1" s="1"/>
  <c r="C43" i="1" a="1"/>
  <c r="C43" i="1" s="1"/>
  <c r="F43" i="1" a="1"/>
  <c r="F43" i="1" s="1"/>
  <c r="K43" i="1" a="1"/>
  <c r="K43" i="1" s="1"/>
  <c r="E43" i="1" a="1"/>
  <c r="E43" i="1" s="1"/>
  <c r="G43" i="1" a="1"/>
  <c r="G43" i="1" s="1"/>
  <c r="J43" i="1" a="1"/>
  <c r="J43" i="1" s="1"/>
  <c r="A43" i="1"/>
  <c r="H43" i="1" a="1"/>
  <c r="H43" i="1" s="1"/>
  <c r="J73" i="1" a="1"/>
  <c r="J73" i="1" s="1"/>
  <c r="L73" i="1" a="1"/>
  <c r="L73" i="1" s="1"/>
  <c r="D73" i="1" a="1"/>
  <c r="D73" i="1" s="1"/>
  <c r="I73" i="1" a="1"/>
  <c r="I73" i="1" s="1"/>
  <c r="B73" i="1" a="1"/>
  <c r="B73" i="1" s="1"/>
  <c r="C73" i="1" a="1"/>
  <c r="C73" i="1" s="1"/>
  <c r="K73" i="1" a="1"/>
  <c r="K73" i="1" s="1"/>
  <c r="F73" i="1" a="1"/>
  <c r="F73" i="1" s="1"/>
  <c r="E73" i="1" a="1"/>
  <c r="E73" i="1" s="1"/>
  <c r="G73" i="1" a="1"/>
  <c r="G73" i="1" s="1"/>
  <c r="H73" i="1" a="1"/>
  <c r="H73" i="1" s="1"/>
  <c r="A73" i="1"/>
  <c r="B91" i="1" a="1"/>
  <c r="B91" i="1" s="1"/>
  <c r="D91" i="1" a="1"/>
  <c r="D91" i="1" s="1"/>
  <c r="L91" i="1" a="1"/>
  <c r="L91" i="1" s="1"/>
  <c r="I91" i="1" a="1"/>
  <c r="I91" i="1" s="1"/>
  <c r="K91" i="1" a="1"/>
  <c r="K91" i="1" s="1"/>
  <c r="C91" i="1" a="1"/>
  <c r="C91" i="1" s="1"/>
  <c r="A91" i="1"/>
  <c r="J91" i="1" a="1"/>
  <c r="J91" i="1" s="1"/>
  <c r="H91" i="1" a="1"/>
  <c r="H91" i="1" s="1"/>
  <c r="G91" i="1" a="1"/>
  <c r="G91" i="1" s="1"/>
  <c r="F91" i="1" a="1"/>
  <c r="F91" i="1" s="1"/>
  <c r="E91" i="1" a="1"/>
  <c r="E91" i="1" s="1"/>
  <c r="B38" i="1" a="1"/>
  <c r="B38" i="1" s="1"/>
  <c r="I38" i="1" a="1"/>
  <c r="I38" i="1" s="1"/>
  <c r="D38" i="1" a="1"/>
  <c r="D38" i="1" s="1"/>
  <c r="K38" i="1" a="1"/>
  <c r="K38" i="1" s="1"/>
  <c r="F38" i="1" a="1"/>
  <c r="F38" i="1" s="1"/>
  <c r="L38" i="1" a="1"/>
  <c r="L38" i="1" s="1"/>
  <c r="H38" i="1" a="1"/>
  <c r="H38" i="1" s="1"/>
  <c r="A38" i="1"/>
  <c r="J38" i="1" a="1"/>
  <c r="J38" i="1" s="1"/>
  <c r="C38" i="1" a="1"/>
  <c r="C38" i="1" s="1"/>
  <c r="E38" i="1" a="1"/>
  <c r="E38" i="1" s="1"/>
  <c r="G38" i="1" a="1"/>
  <c r="G38" i="1" s="1"/>
  <c r="J40" i="1" a="1"/>
  <c r="J40" i="1" s="1"/>
  <c r="D40" i="1" a="1"/>
  <c r="D40" i="1" s="1"/>
  <c r="I40" i="1" a="1"/>
  <c r="I40" i="1" s="1"/>
  <c r="B40" i="1" a="1"/>
  <c r="B40" i="1" s="1"/>
  <c r="L40" i="1" a="1"/>
  <c r="L40" i="1" s="1"/>
  <c r="K40" i="1" a="1"/>
  <c r="K40" i="1" s="1"/>
  <c r="C40" i="1" a="1"/>
  <c r="C40" i="1" s="1"/>
  <c r="H40" i="1" a="1"/>
  <c r="H40" i="1" s="1"/>
  <c r="F40" i="1" a="1"/>
  <c r="F40" i="1" s="1"/>
  <c r="G40" i="1" a="1"/>
  <c r="G40" i="1" s="1"/>
  <c r="E40" i="1" a="1"/>
  <c r="E40" i="1" s="1"/>
  <c r="A40" i="1"/>
  <c r="J56" i="1" a="1"/>
  <c r="J56" i="1" s="1"/>
  <c r="D56" i="1" a="1"/>
  <c r="D56" i="1" s="1"/>
  <c r="K56" i="1" a="1"/>
  <c r="K56" i="1" s="1"/>
  <c r="C56" i="1" a="1"/>
  <c r="C56" i="1" s="1"/>
  <c r="B56" i="1" a="1"/>
  <c r="B56" i="1" s="1"/>
  <c r="L56" i="1" a="1"/>
  <c r="L56" i="1" s="1"/>
  <c r="I56" i="1" a="1"/>
  <c r="I56" i="1" s="1"/>
  <c r="G56" i="1" a="1"/>
  <c r="G56" i="1" s="1"/>
  <c r="F56" i="1" a="1"/>
  <c r="F56" i="1" s="1"/>
  <c r="H56" i="1" a="1"/>
  <c r="H56" i="1" s="1"/>
  <c r="E56" i="1" a="1"/>
  <c r="E56" i="1" s="1"/>
  <c r="A56" i="1"/>
  <c r="B86" i="1" a="1"/>
  <c r="B86" i="1" s="1"/>
  <c r="D86" i="1" a="1"/>
  <c r="D86" i="1" s="1"/>
  <c r="L86" i="1" a="1"/>
  <c r="L86" i="1" s="1"/>
  <c r="J86" i="1" a="1"/>
  <c r="J86" i="1" s="1"/>
  <c r="I86" i="1" a="1"/>
  <c r="I86" i="1" s="1"/>
  <c r="C86" i="1" a="1"/>
  <c r="C86" i="1" s="1"/>
  <c r="G86" i="1" a="1"/>
  <c r="G86" i="1" s="1"/>
  <c r="F86" i="1" a="1"/>
  <c r="F86" i="1" s="1"/>
  <c r="K86" i="1" a="1"/>
  <c r="K86" i="1" s="1"/>
  <c r="A86" i="1"/>
  <c r="H86" i="1" a="1"/>
  <c r="H86" i="1" s="1"/>
  <c r="E86" i="1" a="1"/>
  <c r="E86" i="1" s="1"/>
  <c r="L39" i="1" a="1"/>
  <c r="L39" i="1" s="1"/>
  <c r="D39" i="1" a="1"/>
  <c r="D39" i="1" s="1"/>
  <c r="B39" i="1" a="1"/>
  <c r="B39" i="1" s="1"/>
  <c r="K39" i="1" a="1"/>
  <c r="K39" i="1" s="1"/>
  <c r="J39" i="1" a="1"/>
  <c r="J39" i="1" s="1"/>
  <c r="I39" i="1" a="1"/>
  <c r="I39" i="1" s="1"/>
  <c r="C39" i="1" a="1"/>
  <c r="C39" i="1" s="1"/>
  <c r="G39" i="1" a="1"/>
  <c r="G39" i="1" s="1"/>
  <c r="A39" i="1"/>
  <c r="E39" i="1" a="1"/>
  <c r="E39" i="1" s="1"/>
  <c r="H39" i="1" a="1"/>
  <c r="H39" i="1" s="1"/>
  <c r="F39" i="1" a="1"/>
  <c r="F39" i="1" s="1"/>
  <c r="J42" i="1" a="1"/>
  <c r="J42" i="1" s="1"/>
  <c r="C42" i="1" a="1"/>
  <c r="C42" i="1" s="1"/>
  <c r="I42" i="1" a="1"/>
  <c r="I42" i="1" s="1"/>
  <c r="L42" i="1" a="1"/>
  <c r="L42" i="1" s="1"/>
  <c r="K42" i="1" a="1"/>
  <c r="K42" i="1" s="1"/>
  <c r="D42" i="1" a="1"/>
  <c r="D42" i="1" s="1"/>
  <c r="B42" i="1" a="1"/>
  <c r="B42" i="1" s="1"/>
  <c r="F42" i="1" a="1"/>
  <c r="F42" i="1" s="1"/>
  <c r="A42" i="1"/>
  <c r="G42" i="1" a="1"/>
  <c r="G42" i="1" s="1"/>
  <c r="H42" i="1" a="1"/>
  <c r="H42" i="1" s="1"/>
  <c r="E42" i="1" a="1"/>
  <c r="E42" i="1" s="1"/>
  <c r="D57" i="1" a="1"/>
  <c r="D57" i="1" s="1"/>
  <c r="B57" i="1" a="1"/>
  <c r="B57" i="1" s="1"/>
  <c r="J57" i="1" a="1"/>
  <c r="J57" i="1" s="1"/>
  <c r="C57" i="1" a="1"/>
  <c r="C57" i="1" s="1"/>
  <c r="I57" i="1" a="1"/>
  <c r="I57" i="1" s="1"/>
  <c r="K57" i="1" a="1"/>
  <c r="K57" i="1" s="1"/>
  <c r="E57" i="1" a="1"/>
  <c r="E57" i="1" s="1"/>
  <c r="H57" i="1" a="1"/>
  <c r="H57" i="1" s="1"/>
  <c r="F57" i="1" a="1"/>
  <c r="F57" i="1" s="1"/>
  <c r="L57" i="1" a="1"/>
  <c r="L57" i="1" s="1"/>
  <c r="A57" i="1"/>
  <c r="G57" i="1" a="1"/>
  <c r="G57" i="1" s="1"/>
  <c r="L41" i="1" a="1"/>
  <c r="L41" i="1" s="1"/>
  <c r="I41" i="1" a="1"/>
  <c r="I41" i="1" s="1"/>
  <c r="D41" i="1" a="1"/>
  <c r="D41" i="1" s="1"/>
  <c r="K41" i="1" a="1"/>
  <c r="K41" i="1" s="1"/>
  <c r="B41" i="1" a="1"/>
  <c r="B41" i="1" s="1"/>
  <c r="J41" i="1" a="1"/>
  <c r="J41" i="1" s="1"/>
  <c r="G41" i="1" a="1"/>
  <c r="G41" i="1" s="1"/>
  <c r="F41" i="1" a="1"/>
  <c r="F41" i="1" s="1"/>
  <c r="C41" i="1" a="1"/>
  <c r="C41" i="1" s="1"/>
  <c r="E41" i="1" a="1"/>
  <c r="E41" i="1" s="1"/>
  <c r="H41" i="1" a="1"/>
  <c r="H41" i="1" s="1"/>
  <c r="A41" i="1"/>
  <c r="B30" i="1" a="1"/>
  <c r="B30" i="1" s="1"/>
  <c r="J30" i="1" a="1"/>
  <c r="J30" i="1" s="1"/>
  <c r="K30" i="1" a="1"/>
  <c r="K30" i="1" s="1"/>
  <c r="I30" i="1" a="1"/>
  <c r="I30" i="1" s="1"/>
  <c r="C30" i="1" a="1"/>
  <c r="C30" i="1" s="1"/>
  <c r="H30" i="1" a="1"/>
  <c r="H30" i="1" s="1"/>
  <c r="L30" i="1" a="1"/>
  <c r="L30" i="1" s="1"/>
  <c r="D30" i="1" a="1"/>
  <c r="D30" i="1" s="1"/>
  <c r="E30" i="1" a="1"/>
  <c r="E30" i="1" s="1"/>
  <c r="F30" i="1" a="1"/>
  <c r="F30" i="1" s="1"/>
  <c r="G30" i="1" a="1"/>
  <c r="G30" i="1" s="1"/>
  <c r="A30" i="1"/>
  <c r="L47" i="1" a="1"/>
  <c r="L47" i="1" s="1"/>
  <c r="I47" i="1" a="1"/>
  <c r="I47" i="1" s="1"/>
  <c r="K47" i="1" a="1"/>
  <c r="K47" i="1" s="1"/>
  <c r="D47" i="1" a="1"/>
  <c r="D47" i="1" s="1"/>
  <c r="C47" i="1" a="1"/>
  <c r="C47" i="1" s="1"/>
  <c r="J47" i="1" a="1"/>
  <c r="J47" i="1" s="1"/>
  <c r="B47" i="1" a="1"/>
  <c r="B47" i="1" s="1"/>
  <c r="F47" i="1" a="1"/>
  <c r="F47" i="1" s="1"/>
  <c r="E47" i="1" a="1"/>
  <c r="E47" i="1" s="1"/>
  <c r="H47" i="1" a="1"/>
  <c r="H47" i="1" s="1"/>
  <c r="G47" i="1" a="1"/>
  <c r="G47" i="1" s="1"/>
  <c r="A47" i="1"/>
  <c r="J88" i="1" a="1"/>
  <c r="J88" i="1" s="1"/>
  <c r="I88" i="1" a="1"/>
  <c r="I88" i="1" s="1"/>
  <c r="C88" i="1" a="1"/>
  <c r="C88" i="1" s="1"/>
  <c r="L88" i="1" a="1"/>
  <c r="L88" i="1" s="1"/>
  <c r="D88" i="1" a="1"/>
  <c r="D88" i="1" s="1"/>
  <c r="B88" i="1" a="1"/>
  <c r="B88" i="1" s="1"/>
  <c r="K88" i="1" a="1"/>
  <c r="K88" i="1" s="1"/>
  <c r="H88" i="1" a="1"/>
  <c r="H88" i="1" s="1"/>
  <c r="G88" i="1" a="1"/>
  <c r="G88" i="1" s="1"/>
  <c r="F88" i="1" a="1"/>
  <c r="F88" i="1" s="1"/>
  <c r="E88" i="1" a="1"/>
  <c r="E88" i="1" s="1"/>
  <c r="A88" i="1"/>
  <c r="J28" i="1" a="1"/>
  <c r="J28" i="1" s="1"/>
  <c r="K28" i="1" a="1"/>
  <c r="K28" i="1" s="1"/>
  <c r="D28" i="1" a="1"/>
  <c r="D28" i="1" s="1"/>
  <c r="C28" i="1" a="1"/>
  <c r="C28" i="1" s="1"/>
  <c r="B28" i="1" a="1"/>
  <c r="B28" i="1" s="1"/>
  <c r="L28" i="1" a="1"/>
  <c r="L28" i="1" s="1"/>
  <c r="I28" i="1" a="1"/>
  <c r="I28" i="1" s="1"/>
  <c r="G28" i="1" a="1"/>
  <c r="G28" i="1" s="1"/>
  <c r="A28" i="1"/>
  <c r="F28" i="1" a="1"/>
  <c r="F28" i="1" s="1"/>
  <c r="H28" i="1" a="1"/>
  <c r="H28" i="1" s="1"/>
  <c r="E28" i="1" a="1"/>
  <c r="E28" i="1" s="1"/>
  <c r="L34" i="1" a="1"/>
  <c r="L34" i="1" s="1"/>
  <c r="K34" i="1" a="1"/>
  <c r="K34" i="1" s="1"/>
  <c r="J34" i="1" a="1"/>
  <c r="J34" i="1" s="1"/>
  <c r="C34" i="1" a="1"/>
  <c r="C34" i="1" s="1"/>
  <c r="I34" i="1" a="1"/>
  <c r="I34" i="1" s="1"/>
  <c r="B34" i="1" a="1"/>
  <c r="B34" i="1" s="1"/>
  <c r="D34" i="1" a="1"/>
  <c r="D34" i="1" s="1"/>
  <c r="A34" i="1"/>
  <c r="G34" i="1" a="1"/>
  <c r="G34" i="1" s="1"/>
  <c r="F34" i="1" a="1"/>
  <c r="F34" i="1" s="1"/>
  <c r="H34" i="1" a="1"/>
  <c r="H34" i="1" s="1"/>
  <c r="E34" i="1" a="1"/>
  <c r="E34" i="1" s="1"/>
  <c r="L61" i="1" a="1"/>
  <c r="L61" i="1" s="1"/>
  <c r="J61" i="1" a="1"/>
  <c r="J61" i="1" s="1"/>
  <c r="C61" i="1" a="1"/>
  <c r="C61" i="1" s="1"/>
  <c r="B61" i="1" a="1"/>
  <c r="B61" i="1" s="1"/>
  <c r="K61" i="1" a="1"/>
  <c r="K61" i="1" s="1"/>
  <c r="D61" i="1" a="1"/>
  <c r="D61" i="1" s="1"/>
  <c r="I61" i="1" a="1"/>
  <c r="I61" i="1" s="1"/>
  <c r="G61" i="1" a="1"/>
  <c r="G61" i="1" s="1"/>
  <c r="A61" i="1"/>
  <c r="H61" i="1" a="1"/>
  <c r="H61" i="1" s="1"/>
  <c r="E61" i="1" a="1"/>
  <c r="E61" i="1" s="1"/>
  <c r="F61" i="1" a="1"/>
  <c r="F61" i="1" s="1"/>
  <c r="K76" i="1" a="1"/>
  <c r="K76" i="1" s="1"/>
  <c r="C76" i="1" a="1"/>
  <c r="C76" i="1" s="1"/>
  <c r="D76" i="1" a="1"/>
  <c r="D76" i="1" s="1"/>
  <c r="B76" i="1" a="1"/>
  <c r="B76" i="1" s="1"/>
  <c r="L76" i="1" a="1"/>
  <c r="L76" i="1" s="1"/>
  <c r="J76" i="1" a="1"/>
  <c r="J76" i="1" s="1"/>
  <c r="I76" i="1" a="1"/>
  <c r="I76" i="1" s="1"/>
  <c r="A76" i="1"/>
  <c r="E76" i="1" a="1"/>
  <c r="E76" i="1" s="1"/>
  <c r="H76" i="1" a="1"/>
  <c r="H76" i="1" s="1"/>
  <c r="G76" i="1" a="1"/>
  <c r="G76" i="1" s="1"/>
  <c r="F76" i="1" a="1"/>
  <c r="F76" i="1" s="1"/>
  <c r="BE1" i="14"/>
  <c r="BE21" i="14"/>
  <c r="L84" i="1" a="1"/>
  <c r="L84" i="1" s="1"/>
  <c r="D84" i="1" a="1"/>
  <c r="D84" i="1" s="1"/>
  <c r="J84" i="1" a="1"/>
  <c r="J84" i="1" s="1"/>
  <c r="B84" i="1" a="1"/>
  <c r="B84" i="1" s="1"/>
  <c r="K84" i="1" a="1"/>
  <c r="K84" i="1" s="1"/>
  <c r="I84" i="1" a="1"/>
  <c r="I84" i="1" s="1"/>
  <c r="C84" i="1" a="1"/>
  <c r="C84" i="1" s="1"/>
  <c r="F84" i="1" a="1"/>
  <c r="F84" i="1" s="1"/>
  <c r="H84" i="1" a="1"/>
  <c r="H84" i="1" s="1"/>
  <c r="E84" i="1" a="1"/>
  <c r="E84" i="1" s="1"/>
  <c r="A84" i="1"/>
  <c r="G84" i="1" a="1"/>
  <c r="G84" i="1" s="1"/>
  <c r="D63" i="1" a="1"/>
  <c r="D63" i="1" s="1"/>
  <c r="B63" i="1" a="1"/>
  <c r="B63" i="1" s="1"/>
  <c r="K63" i="1" a="1"/>
  <c r="K63" i="1" s="1"/>
  <c r="C63" i="1" a="1"/>
  <c r="C63" i="1" s="1"/>
  <c r="L63" i="1" a="1"/>
  <c r="L63" i="1" s="1"/>
  <c r="J63" i="1" a="1"/>
  <c r="J63" i="1" s="1"/>
  <c r="I63" i="1" a="1"/>
  <c r="I63" i="1" s="1"/>
  <c r="F63" i="1" a="1"/>
  <c r="F63" i="1" s="1"/>
  <c r="G63" i="1" a="1"/>
  <c r="G63" i="1" s="1"/>
  <c r="A63" i="1"/>
  <c r="H63" i="1" a="1"/>
  <c r="H63" i="1" s="1"/>
  <c r="E63" i="1" a="1"/>
  <c r="E63" i="1" s="1"/>
  <c r="K68" i="1" a="1"/>
  <c r="K68" i="1" s="1"/>
  <c r="I68" i="1" a="1"/>
  <c r="I68" i="1" s="1"/>
  <c r="B68" i="1" a="1"/>
  <c r="B68" i="1" s="1"/>
  <c r="D68" i="1" a="1"/>
  <c r="D68" i="1" s="1"/>
  <c r="C68" i="1" a="1"/>
  <c r="C68" i="1" s="1"/>
  <c r="L68" i="1" a="1"/>
  <c r="L68" i="1" s="1"/>
  <c r="H68" i="1" a="1"/>
  <c r="H68" i="1" s="1"/>
  <c r="F68" i="1" a="1"/>
  <c r="F68" i="1" s="1"/>
  <c r="J68" i="1" a="1"/>
  <c r="J68" i="1" s="1"/>
  <c r="E68" i="1" a="1"/>
  <c r="E68" i="1" s="1"/>
  <c r="A68" i="1"/>
  <c r="G68" i="1" a="1"/>
  <c r="G68" i="1" s="1"/>
  <c r="L51" i="1" a="1"/>
  <c r="L51" i="1" s="1"/>
  <c r="J51" i="1" a="1"/>
  <c r="J51" i="1" s="1"/>
  <c r="B51" i="1" a="1"/>
  <c r="B51" i="1" s="1"/>
  <c r="K51" i="1" a="1"/>
  <c r="K51" i="1" s="1"/>
  <c r="D51" i="1" a="1"/>
  <c r="D51" i="1" s="1"/>
  <c r="A51" i="1"/>
  <c r="I51" i="1" a="1"/>
  <c r="I51" i="1" s="1"/>
  <c r="C51" i="1" a="1"/>
  <c r="C51" i="1" s="1"/>
  <c r="F51" i="1" a="1"/>
  <c r="F51" i="1" s="1"/>
  <c r="H51" i="1" a="1"/>
  <c r="H51" i="1" s="1"/>
  <c r="E51" i="1" a="1"/>
  <c r="E51" i="1" s="1"/>
  <c r="G51" i="1" a="1"/>
  <c r="G51" i="1" s="1"/>
  <c r="A23" i="1" s="1"/>
  <c r="J83" i="1" a="1"/>
  <c r="J83" i="1" s="1"/>
  <c r="I83" i="1" a="1"/>
  <c r="I83" i="1" s="1"/>
  <c r="D83" i="1" a="1"/>
  <c r="D83" i="1" s="1"/>
  <c r="B83" i="1" a="1"/>
  <c r="B83" i="1" s="1"/>
  <c r="C83" i="1" a="1"/>
  <c r="C83" i="1" s="1"/>
  <c r="K83" i="1" a="1"/>
  <c r="K83" i="1" s="1"/>
  <c r="H83" i="1" a="1"/>
  <c r="H83" i="1" s="1"/>
  <c r="F83" i="1" a="1"/>
  <c r="F83" i="1" s="1"/>
  <c r="L83" i="1" a="1"/>
  <c r="L83" i="1" s="1"/>
  <c r="A83" i="1"/>
  <c r="G83" i="1" a="1"/>
  <c r="G83" i="1" s="1"/>
  <c r="E83" i="1" a="1"/>
  <c r="E83" i="1" s="1"/>
  <c r="I66" i="1" a="1"/>
  <c r="I66" i="1" s="1"/>
  <c r="L66" i="1" a="1"/>
  <c r="L66" i="1" s="1"/>
  <c r="J66" i="1" a="1"/>
  <c r="J66" i="1" s="1"/>
  <c r="K66" i="1" a="1"/>
  <c r="K66" i="1" s="1"/>
  <c r="D66" i="1" a="1"/>
  <c r="D66" i="1" s="1"/>
  <c r="A66" i="1"/>
  <c r="C66" i="1" a="1"/>
  <c r="C66" i="1" s="1"/>
  <c r="B66" i="1" a="1"/>
  <c r="B66" i="1" s="1"/>
  <c r="F66" i="1" a="1"/>
  <c r="F66" i="1" s="1"/>
  <c r="H66" i="1" a="1"/>
  <c r="H66" i="1" s="1"/>
  <c r="G66" i="1" a="1"/>
  <c r="G66" i="1" s="1"/>
  <c r="E66" i="1" a="1"/>
  <c r="E66" i="1" s="1"/>
  <c r="K90" i="1" a="1"/>
  <c r="K90" i="1" s="1"/>
  <c r="I90" i="1" a="1"/>
  <c r="I90" i="1" s="1"/>
  <c r="C90" i="1" a="1"/>
  <c r="C90" i="1" s="1"/>
  <c r="B90" i="1" a="1"/>
  <c r="B90" i="1" s="1"/>
  <c r="J90" i="1" a="1"/>
  <c r="J90" i="1" s="1"/>
  <c r="D90" i="1" a="1"/>
  <c r="D90" i="1" s="1"/>
  <c r="L90" i="1" a="1"/>
  <c r="L90" i="1" s="1"/>
  <c r="G90" i="1" a="1"/>
  <c r="G90" i="1" s="1"/>
  <c r="F90" i="1" a="1"/>
  <c r="F90" i="1" s="1"/>
  <c r="E90" i="1" a="1"/>
  <c r="E90" i="1" s="1"/>
  <c r="A90" i="1"/>
  <c r="H90" i="1" a="1"/>
  <c r="H90" i="1" s="1"/>
  <c r="C82" i="1" a="1"/>
  <c r="C82" i="1" s="1"/>
  <c r="B82" i="1" a="1"/>
  <c r="B82" i="1" s="1"/>
  <c r="L82" i="1" a="1"/>
  <c r="L82" i="1" s="1"/>
  <c r="J82" i="1" a="1"/>
  <c r="J82" i="1" s="1"/>
  <c r="K82" i="1" a="1"/>
  <c r="K82" i="1" s="1"/>
  <c r="I82" i="1" a="1"/>
  <c r="I82" i="1" s="1"/>
  <c r="D82" i="1" a="1"/>
  <c r="D82" i="1" s="1"/>
  <c r="F82" i="1" a="1"/>
  <c r="F82" i="1" s="1"/>
  <c r="H82" i="1" a="1"/>
  <c r="H82" i="1" s="1"/>
  <c r="E82" i="1" a="1"/>
  <c r="E82" i="1" s="1"/>
  <c r="A82" i="1"/>
  <c r="G82" i="1" a="1"/>
  <c r="G82" i="1" s="1"/>
  <c r="J65" i="1" a="1"/>
  <c r="J65" i="1" s="1"/>
  <c r="L65" i="1" a="1"/>
  <c r="L65" i="1" s="1"/>
  <c r="C65" i="1" a="1"/>
  <c r="C65" i="1" s="1"/>
  <c r="K65" i="1" a="1"/>
  <c r="K65" i="1" s="1"/>
  <c r="B65" i="1" a="1"/>
  <c r="B65" i="1" s="1"/>
  <c r="I65" i="1" a="1"/>
  <c r="I65" i="1" s="1"/>
  <c r="D65" i="1" a="1"/>
  <c r="D65" i="1" s="1"/>
  <c r="G65" i="1" a="1"/>
  <c r="G65" i="1" s="1"/>
  <c r="A65" i="1"/>
  <c r="E65" i="1" a="1"/>
  <c r="E65" i="1" s="1"/>
  <c r="H65" i="1" a="1"/>
  <c r="H65" i="1" s="1"/>
  <c r="F65" i="1" a="1"/>
  <c r="F65" i="1" s="1"/>
  <c r="I70" i="1" a="1"/>
  <c r="I70" i="1" s="1"/>
  <c r="C70" i="1" a="1"/>
  <c r="C70" i="1" s="1"/>
  <c r="K70" i="1" a="1"/>
  <c r="K70" i="1" s="1"/>
  <c r="J70" i="1" a="1"/>
  <c r="J70" i="1" s="1"/>
  <c r="D70" i="1" a="1"/>
  <c r="D70" i="1" s="1"/>
  <c r="L70" i="1" a="1"/>
  <c r="L70" i="1" s="1"/>
  <c r="B70" i="1" a="1"/>
  <c r="B70" i="1" s="1"/>
  <c r="H70" i="1" a="1"/>
  <c r="H70" i="1" s="1"/>
  <c r="F70" i="1" a="1"/>
  <c r="F70" i="1" s="1"/>
  <c r="G70" i="1" a="1"/>
  <c r="G70" i="1" s="1"/>
  <c r="E70" i="1" a="1"/>
  <c r="E70" i="1" s="1"/>
  <c r="A70" i="1"/>
  <c r="I80" i="1" a="1"/>
  <c r="I80" i="1" s="1"/>
  <c r="L80" i="1" a="1"/>
  <c r="L80" i="1" s="1"/>
  <c r="J80" i="1" a="1"/>
  <c r="J80" i="1" s="1"/>
  <c r="B80" i="1" a="1"/>
  <c r="B80" i="1" s="1"/>
  <c r="K80" i="1" a="1"/>
  <c r="K80" i="1" s="1"/>
  <c r="D80" i="1" a="1"/>
  <c r="D80" i="1" s="1"/>
  <c r="C80" i="1" a="1"/>
  <c r="C80" i="1" s="1"/>
  <c r="F80" i="1" a="1"/>
  <c r="F80" i="1" s="1"/>
  <c r="G80" i="1" a="1"/>
  <c r="G80" i="1" s="1"/>
  <c r="H80" i="1" a="1"/>
  <c r="H80" i="1" s="1"/>
  <c r="E80" i="1" a="1"/>
  <c r="E80" i="1" s="1"/>
  <c r="A80" i="1"/>
  <c r="J71" i="1" a="1"/>
  <c r="J71" i="1" s="1"/>
  <c r="I71" i="1" a="1"/>
  <c r="I71" i="1" s="1"/>
  <c r="C71" i="1" a="1"/>
  <c r="C71" i="1" s="1"/>
  <c r="D71" i="1" a="1"/>
  <c r="D71" i="1" s="1"/>
  <c r="B71" i="1" a="1"/>
  <c r="B71" i="1" s="1"/>
  <c r="A71" i="1"/>
  <c r="K71" i="1" a="1"/>
  <c r="K71" i="1" s="1"/>
  <c r="G71" i="1" a="1"/>
  <c r="G71" i="1" s="1"/>
  <c r="L71" i="1" a="1"/>
  <c r="L71" i="1" s="1"/>
  <c r="F71" i="1" a="1"/>
  <c r="F71" i="1" s="1"/>
  <c r="H71" i="1" a="1"/>
  <c r="H71" i="1" s="1"/>
  <c r="E71" i="1" a="1"/>
  <c r="E71" i="1" s="1"/>
  <c r="K29" i="1" a="1"/>
  <c r="K29" i="1" s="1"/>
  <c r="D29" i="1" a="1"/>
  <c r="D29" i="1" s="1"/>
  <c r="J29" i="1" a="1"/>
  <c r="J29" i="1" s="1"/>
  <c r="I29" i="1" a="1"/>
  <c r="I29" i="1" s="1"/>
  <c r="G29" i="1" a="1"/>
  <c r="G29" i="1" s="1"/>
  <c r="L29" i="1" a="1"/>
  <c r="L29" i="1" s="1"/>
  <c r="C29" i="1" a="1"/>
  <c r="C29" i="1" s="1"/>
  <c r="B29" i="1" a="1"/>
  <c r="B29" i="1" s="1"/>
  <c r="H29" i="1" a="1"/>
  <c r="H29" i="1" s="1"/>
  <c r="F29" i="1" a="1"/>
  <c r="F29" i="1" s="1"/>
  <c r="A29" i="1"/>
  <c r="E29" i="1" a="1"/>
  <c r="E29" i="1" s="1"/>
  <c r="L53" i="1" a="1"/>
  <c r="L53" i="1" s="1"/>
  <c r="I53" i="1" a="1"/>
  <c r="I53" i="1" s="1"/>
  <c r="D53" i="1" a="1"/>
  <c r="D53" i="1" s="1"/>
  <c r="J53" i="1" a="1"/>
  <c r="J53" i="1" s="1"/>
  <c r="B53" i="1" a="1"/>
  <c r="B53" i="1" s="1"/>
  <c r="K53" i="1" a="1"/>
  <c r="K53" i="1" s="1"/>
  <c r="H53" i="1" a="1"/>
  <c r="H53" i="1" s="1"/>
  <c r="E53" i="1" a="1"/>
  <c r="E53" i="1" s="1"/>
  <c r="C53" i="1" a="1"/>
  <c r="C53" i="1" s="1"/>
  <c r="A53" i="1"/>
  <c r="G53" i="1" a="1"/>
  <c r="G53" i="1" s="1"/>
  <c r="F53" i="1" a="1"/>
  <c r="F53" i="1" s="1"/>
  <c r="K49" i="1" a="1"/>
  <c r="K49" i="1" s="1"/>
  <c r="J49" i="1" a="1"/>
  <c r="J49" i="1" s="1"/>
  <c r="D49" i="1" a="1"/>
  <c r="D49" i="1" s="1"/>
  <c r="C49" i="1" a="1"/>
  <c r="C49" i="1" s="1"/>
  <c r="G49" i="1" a="1"/>
  <c r="G49" i="1" s="1"/>
  <c r="L49" i="1" a="1"/>
  <c r="L49" i="1" s="1"/>
  <c r="E49" i="1" a="1"/>
  <c r="E49" i="1" s="1"/>
  <c r="I49" i="1" a="1"/>
  <c r="I49" i="1" s="1"/>
  <c r="B49" i="1" a="1"/>
  <c r="B49" i="1" s="1"/>
  <c r="F49" i="1" a="1"/>
  <c r="F49" i="1" s="1"/>
  <c r="A49" i="1"/>
  <c r="H49" i="1" a="1"/>
  <c r="H49" i="1" s="1"/>
  <c r="BF21" i="14"/>
  <c r="BF1" i="14"/>
  <c r="L64" i="1" a="1"/>
  <c r="L64" i="1" s="1"/>
  <c r="K64" i="1" a="1"/>
  <c r="K64" i="1" s="1"/>
  <c r="I64" i="1" a="1"/>
  <c r="I64" i="1" s="1"/>
  <c r="D64" i="1" a="1"/>
  <c r="D64" i="1" s="1"/>
  <c r="B64" i="1" a="1"/>
  <c r="B64" i="1" s="1"/>
  <c r="J64" i="1" a="1"/>
  <c r="J64" i="1" s="1"/>
  <c r="G64" i="1" a="1"/>
  <c r="G64" i="1" s="1"/>
  <c r="C64" i="1" a="1"/>
  <c r="C64" i="1" s="1"/>
  <c r="F64" i="1" a="1"/>
  <c r="F64" i="1" s="1"/>
  <c r="A64" i="1"/>
  <c r="E64" i="1" a="1"/>
  <c r="E64" i="1" s="1"/>
  <c r="H64" i="1" a="1"/>
  <c r="H64" i="1" s="1"/>
  <c r="L94" i="1" a="1"/>
  <c r="L94" i="1" s="1"/>
  <c r="B94" i="1" a="1"/>
  <c r="B94" i="1" s="1"/>
  <c r="D94" i="1" a="1"/>
  <c r="D94" i="1" s="1"/>
  <c r="I94" i="1" a="1"/>
  <c r="I94" i="1" s="1"/>
  <c r="K94" i="1" a="1"/>
  <c r="K94" i="1" s="1"/>
  <c r="C94" i="1" a="1"/>
  <c r="C94" i="1" s="1"/>
  <c r="E94" i="1" a="1"/>
  <c r="E94" i="1" s="1"/>
  <c r="J94" i="1" a="1"/>
  <c r="J94" i="1" s="1"/>
  <c r="H94" i="1" a="1"/>
  <c r="H94" i="1" s="1"/>
  <c r="F94" i="1" a="1"/>
  <c r="F94" i="1" s="1"/>
  <c r="A94" i="1"/>
  <c r="G94" i="1" a="1"/>
  <c r="G94" i="1" s="1"/>
  <c r="C50" i="1" a="1"/>
  <c r="C50" i="1" s="1"/>
  <c r="K50" i="1" a="1"/>
  <c r="K50" i="1" s="1"/>
  <c r="L50" i="1" a="1"/>
  <c r="L50" i="1" s="1"/>
  <c r="D50" i="1" a="1"/>
  <c r="D50" i="1" s="1"/>
  <c r="J50" i="1" a="1"/>
  <c r="J50" i="1" s="1"/>
  <c r="I50" i="1" a="1"/>
  <c r="I50" i="1" s="1"/>
  <c r="H50" i="1" a="1"/>
  <c r="H50" i="1" s="1"/>
  <c r="B50" i="1" a="1"/>
  <c r="B50" i="1" s="1"/>
  <c r="G50" i="1" a="1"/>
  <c r="G50" i="1" s="1"/>
  <c r="A50" i="1"/>
  <c r="F50" i="1" a="1"/>
  <c r="F50" i="1" s="1"/>
  <c r="E50" i="1" a="1"/>
  <c r="E50" i="1" s="1"/>
  <c r="C67" i="1" a="1"/>
  <c r="C67" i="1" s="1"/>
  <c r="K67" i="1" a="1"/>
  <c r="K67" i="1" s="1"/>
  <c r="D67" i="1" a="1"/>
  <c r="D67" i="1" s="1"/>
  <c r="B67" i="1" a="1"/>
  <c r="B67" i="1" s="1"/>
  <c r="L67" i="1" a="1"/>
  <c r="L67" i="1" s="1"/>
  <c r="J67" i="1" a="1"/>
  <c r="J67" i="1" s="1"/>
  <c r="I67" i="1" a="1"/>
  <c r="I67" i="1" s="1"/>
  <c r="F67" i="1" a="1"/>
  <c r="F67" i="1" s="1"/>
  <c r="A67" i="1"/>
  <c r="E67" i="1" a="1"/>
  <c r="E67" i="1" s="1"/>
  <c r="H67" i="1" a="1"/>
  <c r="H67" i="1" s="1"/>
  <c r="G67" i="1" a="1"/>
  <c r="G67" i="1" s="1"/>
  <c r="Y15" i="18"/>
  <c r="AI15" i="18" s="1"/>
  <c r="U13" i="18"/>
  <c r="AE13" i="18" s="1"/>
  <c r="Y10" i="18"/>
  <c r="AI10" i="18" s="1"/>
  <c r="U8" i="18"/>
  <c r="AE8" i="18" s="1"/>
  <c r="Y5" i="18"/>
  <c r="AI5" i="18" s="1"/>
  <c r="U3" i="18"/>
  <c r="AE3" i="18" s="1"/>
  <c r="X15" i="18"/>
  <c r="AH15" i="18" s="1"/>
  <c r="T13" i="18"/>
  <c r="AD13" i="18" s="1"/>
  <c r="X10" i="18"/>
  <c r="AH10" i="18" s="1"/>
  <c r="T8" i="18"/>
  <c r="AD8" i="18" s="1"/>
  <c r="X5" i="18"/>
  <c r="AH5" i="18" s="1"/>
  <c r="T3" i="18"/>
  <c r="AD3" i="18" s="1"/>
  <c r="V15" i="18"/>
  <c r="AF15" i="18" s="1"/>
  <c r="Z12" i="18"/>
  <c r="AJ12" i="18" s="1"/>
  <c r="V10" i="18"/>
  <c r="AF10" i="18" s="1"/>
  <c r="Z7" i="18"/>
  <c r="AJ7" i="18" s="1"/>
  <c r="V5" i="18"/>
  <c r="AF5" i="18" s="1"/>
  <c r="Z2" i="18"/>
  <c r="AJ2" i="18" s="1"/>
  <c r="Z14" i="18"/>
  <c r="AJ14" i="18" s="1"/>
  <c r="V12" i="18"/>
  <c r="AF12" i="18" s="1"/>
  <c r="Z9" i="18"/>
  <c r="AJ9" i="18" s="1"/>
  <c r="V7" i="18"/>
  <c r="AF7" i="18" s="1"/>
  <c r="Z4" i="18"/>
  <c r="AJ4" i="18" s="1"/>
  <c r="V2" i="18"/>
  <c r="AF2" i="18" s="1"/>
  <c r="AA16" i="18"/>
  <c r="AK16" i="18" s="1"/>
  <c r="W14" i="18"/>
  <c r="AG14" i="18" s="1"/>
  <c r="AA11" i="18"/>
  <c r="AK11" i="18" s="1"/>
  <c r="W9" i="18"/>
  <c r="AG9" i="18" s="1"/>
  <c r="AA6" i="18"/>
  <c r="AK6" i="18" s="1"/>
  <c r="W4" i="18"/>
  <c r="AG4" i="18" s="1"/>
  <c r="T2" i="18"/>
  <c r="AD2" i="18" s="1"/>
  <c r="Y16" i="18"/>
  <c r="AI16" i="18" s="1"/>
  <c r="U14" i="18"/>
  <c r="AE14" i="18" s="1"/>
  <c r="Y11" i="18"/>
  <c r="AI11" i="18" s="1"/>
  <c r="U9" i="18"/>
  <c r="AE9" i="18" s="1"/>
  <c r="Y6" i="18"/>
  <c r="AI6" i="18" s="1"/>
  <c r="U4" i="18"/>
  <c r="AE4" i="18" s="1"/>
  <c r="X16" i="18"/>
  <c r="AH16" i="18" s="1"/>
  <c r="T14" i="18"/>
  <c r="AD14" i="18" s="1"/>
  <c r="X11" i="18"/>
  <c r="AH11" i="18" s="1"/>
  <c r="T9" i="18"/>
  <c r="AD9" i="18" s="1"/>
  <c r="X6" i="18"/>
  <c r="AH6" i="18" s="1"/>
  <c r="T4" i="18"/>
  <c r="AD4" i="18" s="1"/>
  <c r="W16" i="18"/>
  <c r="AG16" i="18" s="1"/>
  <c r="AA13" i="18"/>
  <c r="AK13" i="18" s="1"/>
  <c r="W11" i="18"/>
  <c r="AG11" i="18" s="1"/>
  <c r="AA8" i="18"/>
  <c r="AK8" i="18" s="1"/>
  <c r="W6" i="18"/>
  <c r="AG6" i="18" s="1"/>
  <c r="AA3" i="18"/>
  <c r="AK3" i="18" s="1"/>
  <c r="U16" i="18"/>
  <c r="AE16" i="18" s="1"/>
  <c r="Y13" i="18"/>
  <c r="AI13" i="18" s="1"/>
  <c r="U11" i="18"/>
  <c r="AE11" i="18" s="1"/>
  <c r="Y8" i="18"/>
  <c r="AI8" i="18" s="1"/>
  <c r="U6" i="18"/>
  <c r="AE6" i="18" s="1"/>
  <c r="Y3" i="18"/>
  <c r="AI3" i="18" s="1"/>
  <c r="T16" i="18"/>
  <c r="AD16" i="18" s="1"/>
  <c r="X13" i="18"/>
  <c r="AH13" i="18" s="1"/>
  <c r="T11" i="18"/>
  <c r="AD11" i="18" s="1"/>
  <c r="X8" i="18"/>
  <c r="AH8" i="18" s="1"/>
  <c r="T6" i="18"/>
  <c r="AD6" i="18" s="1"/>
  <c r="X3" i="18"/>
  <c r="AH3" i="18" s="1"/>
  <c r="V13" i="18"/>
  <c r="AF13" i="18" s="1"/>
  <c r="V8" i="18"/>
  <c r="AF8" i="18" s="1"/>
  <c r="V3" i="18"/>
  <c r="AF3" i="18" s="1"/>
  <c r="AA12" i="18"/>
  <c r="AK12" i="18" s="1"/>
  <c r="AA7" i="18"/>
  <c r="AK7" i="18" s="1"/>
  <c r="AA2" i="18"/>
  <c r="AK2" i="18" s="1"/>
  <c r="Y12" i="18"/>
  <c r="AI12" i="18" s="1"/>
  <c r="Y7" i="18"/>
  <c r="AI7" i="18" s="1"/>
  <c r="Y2" i="18"/>
  <c r="AI2" i="18" s="1"/>
  <c r="X12" i="18"/>
  <c r="AH12" i="18" s="1"/>
  <c r="X7" i="18"/>
  <c r="AH7" i="18" s="1"/>
  <c r="X2" i="18"/>
  <c r="AH2" i="18" s="1"/>
  <c r="W12" i="18"/>
  <c r="AG12" i="18" s="1"/>
  <c r="W7" i="18"/>
  <c r="AG7" i="18" s="1"/>
  <c r="W2" i="18"/>
  <c r="AG2" i="18" s="1"/>
  <c r="U12" i="18"/>
  <c r="AE12" i="18" s="1"/>
  <c r="U7" i="18"/>
  <c r="AE7" i="18" s="1"/>
  <c r="U2" i="18"/>
  <c r="AE2" i="18" s="1"/>
  <c r="T12" i="18"/>
  <c r="AD12" i="18" s="1"/>
  <c r="T7" i="18"/>
  <c r="AD7" i="18" s="1"/>
  <c r="Z16" i="18"/>
  <c r="AJ16" i="18" s="1"/>
  <c r="Z11" i="18"/>
  <c r="AJ11" i="18" s="1"/>
  <c r="Z6" i="18"/>
  <c r="AJ6" i="18" s="1"/>
  <c r="V16" i="18"/>
  <c r="AF16" i="18" s="1"/>
  <c r="V11" i="18"/>
  <c r="AF11" i="18" s="1"/>
  <c r="V6" i="18"/>
  <c r="AF6" i="18" s="1"/>
  <c r="AA15" i="18"/>
  <c r="AK15" i="18" s="1"/>
  <c r="AA10" i="18"/>
  <c r="AK10" i="18" s="1"/>
  <c r="AA5" i="18"/>
  <c r="AK5" i="18" s="1"/>
  <c r="W15" i="18"/>
  <c r="AG15" i="18" s="1"/>
  <c r="W10" i="18"/>
  <c r="AG10" i="18" s="1"/>
  <c r="W5" i="18"/>
  <c r="AG5" i="18" s="1"/>
  <c r="U15" i="18"/>
  <c r="AE15" i="18" s="1"/>
  <c r="U10" i="18"/>
  <c r="AE10" i="18" s="1"/>
  <c r="U5" i="18"/>
  <c r="AE5" i="18" s="1"/>
  <c r="T15" i="18"/>
  <c r="AD15" i="18" s="1"/>
  <c r="T10" i="18"/>
  <c r="AD10" i="18" s="1"/>
  <c r="T5" i="18"/>
  <c r="AD5" i="18" s="1"/>
  <c r="AA14" i="18"/>
  <c r="AK14" i="18" s="1"/>
  <c r="AA9" i="18"/>
  <c r="AK9" i="18" s="1"/>
  <c r="AA4" i="18"/>
  <c r="AK4" i="18" s="1"/>
  <c r="Y14" i="18"/>
  <c r="AI14" i="18" s="1"/>
  <c r="Y9" i="18"/>
  <c r="AI9" i="18" s="1"/>
  <c r="Y4" i="18"/>
  <c r="AI4" i="18" s="1"/>
  <c r="X14" i="18"/>
  <c r="AH14" i="18" s="1"/>
  <c r="X9" i="18"/>
  <c r="AH9" i="18" s="1"/>
  <c r="X4" i="18"/>
  <c r="AH4" i="18" s="1"/>
  <c r="V14" i="18"/>
  <c r="AF14" i="18" s="1"/>
  <c r="V9" i="18"/>
  <c r="AF9" i="18" s="1"/>
  <c r="V4" i="18"/>
  <c r="AF4" i="18" s="1"/>
  <c r="Z13" i="18"/>
  <c r="AJ13" i="18" s="1"/>
  <c r="Z8" i="18"/>
  <c r="AJ8" i="18" s="1"/>
  <c r="Z3" i="18"/>
  <c r="AJ3" i="18" s="1"/>
  <c r="W13" i="18"/>
  <c r="AG13" i="18" s="1"/>
  <c r="W8" i="18"/>
  <c r="AG8" i="18" s="1"/>
  <c r="W3" i="18"/>
  <c r="AG3" i="18" s="1"/>
  <c r="Z15" i="18"/>
  <c r="AJ15" i="18" s="1"/>
  <c r="Z10" i="18"/>
  <c r="AJ10" i="18" s="1"/>
  <c r="Z5" i="18"/>
  <c r="AJ5" i="18" s="1"/>
  <c r="L45" i="1" a="1"/>
  <c r="L45" i="1" s="1"/>
  <c r="K45" i="1" a="1"/>
  <c r="K45" i="1" s="1"/>
  <c r="I45" i="1" a="1"/>
  <c r="I45" i="1" s="1"/>
  <c r="J45" i="1" a="1"/>
  <c r="J45" i="1" s="1"/>
  <c r="D45" i="1" a="1"/>
  <c r="D45" i="1" s="1"/>
  <c r="C45" i="1" a="1"/>
  <c r="C45" i="1" s="1"/>
  <c r="G45" i="1" a="1"/>
  <c r="G45" i="1" s="1"/>
  <c r="F45" i="1" a="1"/>
  <c r="F45" i="1" s="1"/>
  <c r="H45" i="1" a="1"/>
  <c r="H45" i="1" s="1"/>
  <c r="A45" i="1"/>
  <c r="B45" i="1" a="1"/>
  <c r="B45" i="1" s="1"/>
  <c r="E45" i="1" a="1"/>
  <c r="E45" i="1" s="1"/>
  <c r="D92" i="1" a="1"/>
  <c r="D92" i="1" s="1"/>
  <c r="K92" i="1" a="1"/>
  <c r="K92" i="1" s="1"/>
  <c r="C92" i="1" a="1"/>
  <c r="C92" i="1" s="1"/>
  <c r="B92" i="1" a="1"/>
  <c r="B92" i="1" s="1"/>
  <c r="J92" i="1" a="1"/>
  <c r="J92" i="1" s="1"/>
  <c r="I92" i="1" a="1"/>
  <c r="I92" i="1" s="1"/>
  <c r="L92" i="1" a="1"/>
  <c r="L92" i="1" s="1"/>
  <c r="F92" i="1" a="1"/>
  <c r="F92" i="1" s="1"/>
  <c r="H92" i="1" a="1"/>
  <c r="H92" i="1" s="1"/>
  <c r="G92" i="1" a="1"/>
  <c r="G92" i="1" s="1"/>
  <c r="A92" i="1"/>
  <c r="E92" i="1" a="1"/>
  <c r="E92" i="1" s="1"/>
  <c r="C104" i="1"/>
  <c r="A21" i="1"/>
  <c r="A24" i="1" a="1"/>
  <c r="A24" i="1" s="1"/>
  <c r="C106" i="1"/>
  <c r="C108" i="1" s="1"/>
  <c r="C111" i="1" s="1"/>
  <c r="J36" i="1" a="1"/>
  <c r="J36" i="1" s="1"/>
  <c r="C36" i="1" a="1"/>
  <c r="C36" i="1" s="1"/>
  <c r="K36" i="1" a="1"/>
  <c r="K36" i="1" s="1"/>
  <c r="B36" i="1" a="1"/>
  <c r="B36" i="1" s="1"/>
  <c r="I36" i="1" a="1"/>
  <c r="I36" i="1" s="1"/>
  <c r="D36" i="1" a="1"/>
  <c r="D36" i="1" s="1"/>
  <c r="L36" i="1" a="1"/>
  <c r="L36" i="1" s="1"/>
  <c r="E36" i="1" a="1"/>
  <c r="E36" i="1" s="1"/>
  <c r="H36" i="1" a="1"/>
  <c r="H36" i="1" s="1"/>
  <c r="G36" i="1" a="1"/>
  <c r="G36" i="1" s="1"/>
  <c r="A36" i="1"/>
  <c r="F36" i="1" a="1"/>
  <c r="F36" i="1" s="1"/>
  <c r="K77" i="1" a="1"/>
  <c r="K77" i="1" s="1"/>
  <c r="J77" i="1" a="1"/>
  <c r="J77" i="1" s="1"/>
  <c r="I77" i="1" a="1"/>
  <c r="I77" i="1" s="1"/>
  <c r="L77" i="1" a="1"/>
  <c r="L77" i="1" s="1"/>
  <c r="D77" i="1" a="1"/>
  <c r="D77" i="1" s="1"/>
  <c r="C77" i="1" a="1"/>
  <c r="C77" i="1" s="1"/>
  <c r="B77" i="1" a="1"/>
  <c r="B77" i="1" s="1"/>
  <c r="F77" i="1" a="1"/>
  <c r="F77" i="1" s="1"/>
  <c r="H77" i="1" a="1"/>
  <c r="H77" i="1" s="1"/>
  <c r="E77" i="1" a="1"/>
  <c r="E77" i="1" s="1"/>
  <c r="A77" i="1"/>
  <c r="G77" i="1" a="1"/>
  <c r="G77" i="1" s="1"/>
  <c r="I95" i="1" a="1"/>
  <c r="I95" i="1" s="1"/>
  <c r="B95" i="1" a="1"/>
  <c r="B95" i="1" s="1"/>
  <c r="L95" i="1" a="1"/>
  <c r="L95" i="1" s="1"/>
  <c r="K95" i="1" a="1"/>
  <c r="K95" i="1" s="1"/>
  <c r="J95" i="1" a="1"/>
  <c r="J95" i="1" s="1"/>
  <c r="D95" i="1" a="1"/>
  <c r="D95" i="1" s="1"/>
  <c r="C95" i="1" a="1"/>
  <c r="C95" i="1" s="1"/>
  <c r="F95" i="1" a="1"/>
  <c r="F95" i="1" s="1"/>
  <c r="E95" i="1" a="1"/>
  <c r="E95" i="1" s="1"/>
  <c r="G95" i="1" a="1"/>
  <c r="G95" i="1" s="1"/>
  <c r="A95" i="1"/>
  <c r="H95" i="1" a="1"/>
  <c r="H95" i="1" s="1"/>
  <c r="A22" i="1"/>
  <c r="J48" i="1" a="1"/>
  <c r="J48" i="1" s="1"/>
  <c r="C48" i="1" a="1"/>
  <c r="C48" i="1" s="1"/>
  <c r="K48" i="1" a="1"/>
  <c r="K48" i="1" s="1"/>
  <c r="L48" i="1" a="1"/>
  <c r="L48" i="1" s="1"/>
  <c r="D48" i="1" a="1"/>
  <c r="D48" i="1" s="1"/>
  <c r="B48" i="1" a="1"/>
  <c r="B48" i="1" s="1"/>
  <c r="I48" i="1" a="1"/>
  <c r="I48" i="1" s="1"/>
  <c r="F48" i="1" a="1"/>
  <c r="F48" i="1" s="1"/>
  <c r="H48" i="1" a="1"/>
  <c r="H48" i="1" s="1"/>
  <c r="E48" i="1" a="1"/>
  <c r="E48" i="1" s="1"/>
  <c r="G48" i="1" a="1"/>
  <c r="G48" i="1" s="1"/>
  <c r="A48" i="1"/>
  <c r="C78" i="1" a="1"/>
  <c r="C78" i="1" s="1"/>
  <c r="L78" i="1" a="1"/>
  <c r="L78" i="1" s="1"/>
  <c r="K78" i="1" a="1"/>
  <c r="K78" i="1" s="1"/>
  <c r="B78" i="1" a="1"/>
  <c r="B78" i="1" s="1"/>
  <c r="J78" i="1" a="1"/>
  <c r="J78" i="1" s="1"/>
  <c r="I78" i="1" a="1"/>
  <c r="I78" i="1" s="1"/>
  <c r="D78" i="1" a="1"/>
  <c r="D78" i="1" s="1"/>
  <c r="F78" i="1" a="1"/>
  <c r="F78" i="1" s="1"/>
  <c r="A78" i="1"/>
  <c r="H78" i="1" a="1"/>
  <c r="H78" i="1" s="1"/>
  <c r="E78" i="1" a="1"/>
  <c r="E78" i="1" s="1"/>
  <c r="G78" i="1" a="1"/>
  <c r="G78" i="1" s="1"/>
  <c r="C110" i="1"/>
  <c r="C79" i="1" a="1"/>
  <c r="C79" i="1" s="1"/>
  <c r="I79" i="1" a="1"/>
  <c r="I79" i="1" s="1"/>
  <c r="L79" i="1" a="1"/>
  <c r="L79" i="1" s="1"/>
  <c r="J79" i="1" a="1"/>
  <c r="J79" i="1" s="1"/>
  <c r="K79" i="1" a="1"/>
  <c r="K79" i="1" s="1"/>
  <c r="D79" i="1" a="1"/>
  <c r="D79" i="1" s="1"/>
  <c r="B79" i="1" a="1"/>
  <c r="B79" i="1" s="1"/>
  <c r="H79" i="1" a="1"/>
  <c r="H79" i="1" s="1"/>
  <c r="A79" i="1"/>
  <c r="F79" i="1" a="1"/>
  <c r="F79" i="1" s="1"/>
  <c r="G79" i="1" a="1"/>
  <c r="G79" i="1" s="1"/>
  <c r="E79" i="1" a="1"/>
  <c r="E79" i="1" s="1"/>
  <c r="K54" i="1" a="1"/>
  <c r="K54" i="1" s="1"/>
  <c r="C54" i="1" a="1"/>
  <c r="C54" i="1" s="1"/>
  <c r="I54" i="1" a="1"/>
  <c r="I54" i="1" s="1"/>
  <c r="L54" i="1" a="1"/>
  <c r="L54" i="1" s="1"/>
  <c r="D54" i="1" a="1"/>
  <c r="D54" i="1" s="1"/>
  <c r="J54" i="1" a="1"/>
  <c r="J54" i="1" s="1"/>
  <c r="B54" i="1" a="1"/>
  <c r="B54" i="1" s="1"/>
  <c r="E54" i="1" a="1"/>
  <c r="E54" i="1" s="1"/>
  <c r="A54" i="1"/>
  <c r="G54" i="1" a="1"/>
  <c r="G54" i="1" s="1"/>
  <c r="F54" i="1" a="1"/>
  <c r="F54" i="1" s="1"/>
  <c r="H54" i="1" a="1"/>
  <c r="H54" i="1" s="1"/>
  <c r="D87" i="1" a="1"/>
  <c r="D87" i="1" s="1"/>
  <c r="B87" i="1" a="1"/>
  <c r="B87" i="1" s="1"/>
  <c r="L87" i="1" a="1"/>
  <c r="L87" i="1" s="1"/>
  <c r="J87" i="1" a="1"/>
  <c r="J87" i="1" s="1"/>
  <c r="K87" i="1" a="1"/>
  <c r="K87" i="1" s="1"/>
  <c r="I87" i="1" a="1"/>
  <c r="I87" i="1" s="1"/>
  <c r="F87" i="1" a="1"/>
  <c r="F87" i="1" s="1"/>
  <c r="C87" i="1" a="1"/>
  <c r="C87" i="1" s="1"/>
  <c r="A87" i="1"/>
  <c r="H87" i="1" a="1"/>
  <c r="H87" i="1" s="1"/>
  <c r="E87" i="1" a="1"/>
  <c r="E87" i="1" s="1"/>
  <c r="G87" i="1" a="1"/>
  <c r="G87" i="1" s="1"/>
  <c r="B58" i="1" a="1"/>
  <c r="B58" i="1" s="1"/>
  <c r="K58" i="1" a="1"/>
  <c r="K58" i="1" s="1"/>
  <c r="J58" i="1" a="1"/>
  <c r="J58" i="1" s="1"/>
  <c r="C58" i="1" a="1"/>
  <c r="C58" i="1" s="1"/>
  <c r="I58" i="1" a="1"/>
  <c r="I58" i="1" s="1"/>
  <c r="D58" i="1" a="1"/>
  <c r="D58" i="1" s="1"/>
  <c r="L58" i="1" a="1"/>
  <c r="L58" i="1" s="1"/>
  <c r="F58" i="1" a="1"/>
  <c r="F58" i="1" s="1"/>
  <c r="G58" i="1" a="1"/>
  <c r="G58" i="1" s="1"/>
  <c r="E58" i="1" a="1"/>
  <c r="E58" i="1" s="1"/>
  <c r="A58" i="1"/>
  <c r="H58" i="1" a="1"/>
  <c r="H58" i="1" s="1"/>
  <c r="K85" i="1" a="1"/>
  <c r="K85" i="1" s="1"/>
  <c r="J85" i="1" a="1"/>
  <c r="J85" i="1" s="1"/>
  <c r="D85" i="1" a="1"/>
  <c r="D85" i="1" s="1"/>
  <c r="I85" i="1" a="1"/>
  <c r="I85" i="1" s="1"/>
  <c r="B85" i="1" a="1"/>
  <c r="B85" i="1" s="1"/>
  <c r="L85" i="1" a="1"/>
  <c r="L85" i="1" s="1"/>
  <c r="C85" i="1" a="1"/>
  <c r="C85" i="1" s="1"/>
  <c r="G85" i="1" a="1"/>
  <c r="G85" i="1" s="1"/>
  <c r="F85" i="1" a="1"/>
  <c r="F85" i="1" s="1"/>
  <c r="E85" i="1" a="1"/>
  <c r="E85" i="1" s="1"/>
  <c r="A85" i="1"/>
  <c r="H85" i="1" a="1"/>
  <c r="H85" i="1" s="1"/>
  <c r="L72" i="1" a="1"/>
  <c r="L72" i="1" s="1"/>
  <c r="J72" i="1" a="1"/>
  <c r="J72" i="1" s="1"/>
  <c r="C72" i="1" a="1"/>
  <c r="C72" i="1" s="1"/>
  <c r="K72" i="1" a="1"/>
  <c r="K72" i="1" s="1"/>
  <c r="B72" i="1" a="1"/>
  <c r="B72" i="1" s="1"/>
  <c r="F72" i="1" a="1"/>
  <c r="F72" i="1" s="1"/>
  <c r="I72" i="1" a="1"/>
  <c r="I72" i="1" s="1"/>
  <c r="E72" i="1" a="1"/>
  <c r="E72" i="1" s="1"/>
  <c r="G72" i="1" a="1"/>
  <c r="G72" i="1" s="1"/>
  <c r="D72" i="1" a="1"/>
  <c r="D72" i="1" s="1"/>
  <c r="A72" i="1"/>
  <c r="H72" i="1" a="1"/>
  <c r="H72" i="1" s="1"/>
  <c r="AA71" i="1" l="1"/>
  <c r="Z71" i="1"/>
  <c r="AA89" i="1"/>
  <c r="Z89" i="1"/>
  <c r="Z90" i="1"/>
  <c r="AA90" i="1"/>
  <c r="AA74" i="1"/>
  <c r="Z74" i="1"/>
  <c r="Z70" i="1"/>
  <c r="AA70" i="1"/>
  <c r="Z28" i="1"/>
  <c r="AA28" i="1"/>
  <c r="AA33" i="1"/>
  <c r="Z33" i="1"/>
  <c r="AA81" i="1"/>
  <c r="Z81" i="1"/>
  <c r="AA62" i="1"/>
  <c r="Z62" i="1"/>
  <c r="Z87" i="1"/>
  <c r="AA87" i="1"/>
  <c r="Z45" i="1"/>
  <c r="AA45" i="1"/>
  <c r="Z52" i="1"/>
  <c r="AA52" i="1"/>
  <c r="AA82" i="1"/>
  <c r="Z82" i="1"/>
  <c r="AA68" i="1"/>
  <c r="Z68" i="1"/>
  <c r="AA91" i="1"/>
  <c r="Z91" i="1"/>
  <c r="D148" i="1"/>
  <c r="D138" i="1"/>
  <c r="D131" i="1"/>
  <c r="D152" i="1"/>
  <c r="D158" i="1"/>
  <c r="D144" i="1"/>
  <c r="D133" i="1"/>
  <c r="D157" i="1"/>
  <c r="D151" i="1"/>
  <c r="D140" i="1"/>
  <c r="D143" i="1"/>
  <c r="D139" i="1"/>
  <c r="D135" i="1"/>
  <c r="D130" i="1"/>
  <c r="D160" i="1"/>
  <c r="D147" i="1"/>
  <c r="D146" i="1"/>
  <c r="D134" i="1"/>
  <c r="D156" i="1"/>
  <c r="D149" i="1"/>
  <c r="D132" i="1"/>
  <c r="D159" i="1"/>
  <c r="D141" i="1"/>
  <c r="D136" i="1"/>
  <c r="D150" i="1"/>
  <c r="D142" i="1"/>
  <c r="D145" i="1"/>
  <c r="D155" i="1"/>
  <c r="D137" i="1"/>
  <c r="D154" i="1"/>
  <c r="D153" i="1"/>
  <c r="Z50" i="1"/>
  <c r="AA50" i="1"/>
  <c r="Z95" i="1"/>
  <c r="AA95" i="1"/>
  <c r="Z39" i="1"/>
  <c r="AA39" i="1"/>
  <c r="Z43" i="1"/>
  <c r="AA43" i="1"/>
  <c r="Z59" i="1"/>
  <c r="AA59" i="1"/>
  <c r="AA60" i="1"/>
  <c r="Z60" i="1"/>
  <c r="Z64" i="1"/>
  <c r="AA64" i="1"/>
  <c r="AA80" i="1"/>
  <c r="Z80" i="1"/>
  <c r="AA46" i="1"/>
  <c r="Z46" i="1"/>
  <c r="Z69" i="1"/>
  <c r="AA69" i="1"/>
  <c r="Z51" i="1"/>
  <c r="AA51" i="1"/>
  <c r="AA42" i="1"/>
  <c r="Z42" i="1"/>
  <c r="Z53" i="1"/>
  <c r="AA53" i="1"/>
  <c r="AA76" i="1"/>
  <c r="Z76" i="1"/>
  <c r="AA49" i="1"/>
  <c r="Z49" i="1"/>
  <c r="Z92" i="1"/>
  <c r="AA92" i="1"/>
  <c r="AA84" i="1"/>
  <c r="Z84" i="1"/>
  <c r="Z72" i="1"/>
  <c r="AA72" i="1"/>
  <c r="AA66" i="1"/>
  <c r="Z66" i="1"/>
  <c r="AA36" i="1"/>
  <c r="Z36" i="1"/>
  <c r="AA67" i="1"/>
  <c r="Z67" i="1"/>
  <c r="AA56" i="1"/>
  <c r="Z56" i="1"/>
  <c r="Z44" i="1"/>
  <c r="AA44" i="1"/>
  <c r="AA41" i="1"/>
  <c r="Z41" i="1"/>
  <c r="AA94" i="1"/>
  <c r="Z94" i="1"/>
  <c r="Z30" i="1"/>
  <c r="AA30" i="1"/>
  <c r="Z77" i="1"/>
  <c r="AA77" i="1"/>
  <c r="AA75" i="1"/>
  <c r="Z75" i="1"/>
  <c r="Z40" i="1"/>
  <c r="AA40" i="1"/>
  <c r="AA83" i="1"/>
  <c r="Z83" i="1"/>
  <c r="Z85" i="1"/>
  <c r="AA85" i="1"/>
  <c r="AA47" i="1"/>
  <c r="Z47" i="1"/>
  <c r="AA79" i="1"/>
  <c r="Z79" i="1"/>
  <c r="AA34" i="1"/>
  <c r="Z34" i="1"/>
  <c r="AA38" i="1"/>
  <c r="Z38" i="1"/>
  <c r="AA29" i="1"/>
  <c r="Z29" i="1"/>
  <c r="AA55" i="1"/>
  <c r="Z55" i="1"/>
  <c r="AA48" i="1"/>
  <c r="Z48" i="1"/>
  <c r="Z93" i="1"/>
  <c r="AA93" i="1"/>
  <c r="AA37" i="1"/>
  <c r="Z37" i="1"/>
  <c r="AA58" i="1"/>
  <c r="Z58" i="1"/>
  <c r="Z88" i="1"/>
  <c r="AA88" i="1"/>
  <c r="AA32" i="1"/>
  <c r="Z32" i="1"/>
  <c r="AA54" i="1"/>
  <c r="Z54" i="1"/>
  <c r="AA65" i="1"/>
  <c r="Z65" i="1"/>
  <c r="Z73" i="1"/>
  <c r="AA73" i="1"/>
  <c r="Z31" i="1"/>
  <c r="AA31" i="1"/>
  <c r="Z61" i="1"/>
  <c r="AA61" i="1"/>
  <c r="AA57" i="1"/>
  <c r="Z57" i="1"/>
  <c r="Z35" i="1"/>
  <c r="AA35" i="1"/>
  <c r="AA78" i="1"/>
  <c r="Z78" i="1"/>
  <c r="AA63" i="1"/>
  <c r="Z63" i="1"/>
  <c r="AA86" i="1"/>
  <c r="Z86" i="1"/>
  <c r="AE139" i="1" l="1"/>
  <c r="E148" i="1"/>
  <c r="AE121" i="1"/>
  <c r="E130" i="1"/>
  <c r="AE126" i="1"/>
  <c r="E135" i="1"/>
  <c r="AE145" i="1"/>
  <c r="E154" i="1"/>
  <c r="AE131" i="1"/>
  <c r="E140" i="1"/>
  <c r="AE128" i="1"/>
  <c r="E137" i="1"/>
  <c r="AE142" i="1"/>
  <c r="E151" i="1"/>
  <c r="AE146" i="1"/>
  <c r="E155" i="1"/>
  <c r="AE148" i="1"/>
  <c r="E157" i="1"/>
  <c r="A118" i="1"/>
  <c r="D125" i="1"/>
  <c r="A122" i="1"/>
  <c r="A117" i="1"/>
  <c r="C116" i="1"/>
  <c r="A121" i="1"/>
  <c r="A124" i="1"/>
  <c r="D119" i="1"/>
  <c r="A119" i="1"/>
  <c r="A125" i="1"/>
  <c r="A120" i="1"/>
  <c r="C124" i="1"/>
  <c r="D117" i="1"/>
  <c r="A116" i="1"/>
  <c r="D122" i="1"/>
  <c r="C122" i="1"/>
  <c r="C119" i="1"/>
  <c r="C125" i="1"/>
  <c r="C118" i="1"/>
  <c r="D116" i="1"/>
  <c r="D120" i="1"/>
  <c r="D118" i="1"/>
  <c r="D124" i="1"/>
  <c r="D123" i="1"/>
  <c r="C123" i="1"/>
  <c r="C120" i="1"/>
  <c r="A123" i="1"/>
  <c r="C117" i="1"/>
  <c r="C121" i="1"/>
  <c r="D121" i="1"/>
  <c r="AE125" i="1"/>
  <c r="E134" i="1"/>
  <c r="AE138" i="1"/>
  <c r="E147" i="1"/>
  <c r="AE136" i="1"/>
  <c r="E145" i="1"/>
  <c r="AE124" i="1"/>
  <c r="E133" i="1"/>
  <c r="AE133" i="1"/>
  <c r="E142" i="1"/>
  <c r="AE135" i="1"/>
  <c r="E144" i="1"/>
  <c r="AE141" i="1"/>
  <c r="E150" i="1"/>
  <c r="AE149" i="1"/>
  <c r="E158" i="1"/>
  <c r="AE127" i="1"/>
  <c r="E136" i="1"/>
  <c r="AE143" i="1"/>
  <c r="E152" i="1"/>
  <c r="AE132" i="1"/>
  <c r="E141" i="1"/>
  <c r="AE122" i="1"/>
  <c r="E131" i="1"/>
  <c r="AE150" i="1"/>
  <c r="E159" i="1"/>
  <c r="AE129" i="1"/>
  <c r="E138" i="1"/>
  <c r="AC111" i="1"/>
  <c r="AD109" i="1"/>
  <c r="AD114" i="1"/>
  <c r="AD112" i="1"/>
  <c r="AD111" i="1"/>
  <c r="AC110" i="1"/>
  <c r="AD117" i="1"/>
  <c r="AD108" i="1"/>
  <c r="AC117" i="1"/>
  <c r="AC108" i="1"/>
  <c r="AC112" i="1"/>
  <c r="AD110" i="1"/>
  <c r="AD115" i="1"/>
  <c r="AC115" i="1"/>
  <c r="AC114" i="1"/>
  <c r="AD113" i="1"/>
  <c r="AC109" i="1"/>
  <c r="AC113" i="1"/>
  <c r="AD116" i="1"/>
  <c r="AC116" i="1"/>
  <c r="AE140" i="1"/>
  <c r="E149" i="1"/>
  <c r="AE123" i="1"/>
  <c r="E132" i="1"/>
  <c r="AE147" i="1"/>
  <c r="E156" i="1"/>
  <c r="AE137" i="1"/>
  <c r="E146" i="1"/>
  <c r="AE151" i="1"/>
  <c r="E160" i="1"/>
  <c r="AE130" i="1"/>
  <c r="E139" i="1"/>
  <c r="AE144" i="1"/>
  <c r="E153" i="1"/>
  <c r="AE134" i="1"/>
  <c r="E14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Sudhanshu  Kumar</author>
  </authors>
  <commentList>
    <comment ref="C102" authorId="0" shapeId="0" xr:uid="{B61B729A-9D20-432A-A47E-DBAB273D82A2}">
      <text>
        <r>
          <rPr>
            <b/>
            <sz val="9"/>
            <color rgb="FF000000"/>
            <rFont val="Tahoma"/>
            <family val="2"/>
          </rPr>
          <t>Sudhanshu  Kumar:</t>
        </r>
        <r>
          <rPr>
            <sz val="9"/>
            <color rgb="FF000000"/>
            <rFont val="Tahoma"/>
            <family val="2"/>
          </rPr>
          <t xml:space="preserve">
Working days elapsed = Sundays-excluded days from cycle start (Summary!P2) through today, capped at C101.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V19" authorId="0" shapeId="0" xr:uid="{05766BDC-4312-4C42-B184-896E496211FF}">
      <text>
        <r>
          <rPr>
            <sz val="10"/>
            <color rgb="FF000000"/>
            <rFont val="Arial"/>
            <family val="2"/>
          </rPr>
          <t xml:space="preserve">Comment:
    Amazon USA AUG order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Milk Ganesh</author>
  </authors>
  <commentList>
    <comment ref="AO3" authorId="0" shapeId="0" xr:uid="{68FE4742-8CD8-4124-9973-DDC6EA40E37C}">
      <text>
        <r>
          <rPr>
            <sz val="10"/>
            <color rgb="FF000000"/>
            <rFont val="Arial"/>
            <family val="2"/>
          </rPr>
          <t xml:space="preserve">Comment:
    270
 Nos Amazon usa </t>
        </r>
      </text>
    </comment>
    <comment ref="AO4" authorId="0" shapeId="0" xr:uid="{1B3DF048-5C8C-48C2-8814-3C65032471A4}">
      <text>
        <r>
          <rPr>
            <sz val="10"/>
            <color rgb="FF000000"/>
            <rFont val="Arial"/>
            <family val="2"/>
          </rPr>
          <t>Comment:
    Amazon sea aug order</t>
        </r>
      </text>
    </comment>
    <comment ref="U7" authorId="1" shapeId="0" xr:uid="{7BFA196F-F5F3-4595-83AE-130A7B1027C1}">
      <text>
        <r>
          <rPr>
            <sz val="10"/>
            <color rgb="FF000000"/>
            <rFont val="Arial"/>
            <family val="2"/>
          </rPr>
          <t>USA AIR -80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10" authorId="0" shapeId="0" xr:uid="{C3AC3981-9E1B-48C5-914D-4759B0A70E7D}">
      <text>
        <r>
          <rPr>
            <sz val="10"/>
            <color rgb="FF000000"/>
            <rFont val="Arial"/>
            <family val="2"/>
          </rPr>
          <t>Comment:
    226N 24th July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Milk Ganesh</author>
  </authors>
  <commentList>
    <comment ref="G12" authorId="0" shapeId="0" xr:uid="{6853132B-5939-4310-9340-1D3ED483F6EE}">
      <text>
        <r>
          <rPr>
            <sz val="10"/>
            <color rgb="FF000000"/>
            <rFont val="Arial"/>
            <family val="2"/>
          </rPr>
          <t xml:space="preserve">25.06.2026 =92
06.07.2026 =90
20.07.2026 =80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3" authorId="0" shapeId="0" xr:uid="{C369EBE4-DC9B-4771-AA0D-A91FAA90B5E8}">
      <text>
        <r>
          <rPr>
            <sz val="10"/>
            <color rgb="FF000000"/>
            <rFont val="Arial"/>
            <family val="2"/>
          </rPr>
          <t xml:space="preserve">Comment:
    MBHD/INT/03344 </t>
        </r>
      </text>
    </comment>
    <comment ref="L3" authorId="0" shapeId="0" xr:uid="{FCBE2E98-2DEC-49A7-BA10-E9D8CE44D668}">
      <text>
        <r>
          <rPr>
            <sz val="10"/>
            <color rgb="FF000000"/>
            <rFont val="Arial"/>
            <family val="2"/>
          </rPr>
          <t xml:space="preserve">Comment:
    MBHD/INT/03599 </t>
        </r>
      </text>
    </comment>
    <comment ref="P3" authorId="0" shapeId="0" xr:uid="{5BE40C23-32E6-4F83-ADF9-1130FAB58C4D}">
      <text>
        <r>
          <rPr>
            <sz val="10"/>
            <color rgb="FF000000"/>
            <rFont val="Arial"/>
            <family val="2"/>
          </rPr>
          <t xml:space="preserve">Comment:
    PO Number- MBHD/INT/03345 </t>
        </r>
      </text>
    </comment>
    <comment ref="E6" authorId="0" shapeId="0" xr:uid="{0C470ED5-D3A3-49AA-95B6-D27683F9B6E0}">
      <text>
        <r>
          <rPr>
            <sz val="10"/>
            <color rgb="FF000000"/>
            <rFont val="Arial"/>
            <family val="2"/>
          </rPr>
          <t>Comment:
    B2B Sampler Order</t>
        </r>
      </text>
    </comment>
    <comment ref="F6" authorId="0" shapeId="0" xr:uid="{2029B0BC-3C27-46E7-9C08-D83B18005A31}">
      <text>
        <r>
          <rPr>
            <sz val="10"/>
            <color rgb="FF000000"/>
            <rFont val="Arial"/>
            <family val="2"/>
          </rPr>
          <t>Comment:
    B2B Sampler Order</t>
        </r>
      </text>
    </comment>
    <comment ref="G6" authorId="0" shapeId="0" xr:uid="{B36D17B8-A9BE-482A-81E3-725EDDB033F2}">
      <text>
        <r>
          <rPr>
            <sz val="10"/>
            <color rgb="FF000000"/>
            <rFont val="Arial"/>
            <family val="2"/>
          </rPr>
          <t>Comment:
    B2B Sampler Order</t>
        </r>
      </text>
    </comment>
    <comment ref="H6" authorId="0" shapeId="0" xr:uid="{E0FCE7BC-47DF-4025-9736-FCCF6DB53413}">
      <text>
        <r>
          <rPr>
            <sz val="10"/>
            <color rgb="FF000000"/>
            <rFont val="Arial"/>
            <family val="2"/>
          </rPr>
          <t>Comment:
    B2B Sampler Order</t>
        </r>
      </text>
    </comment>
    <comment ref="N6" authorId="0" shapeId="0" xr:uid="{C962A02E-9F0E-4F3C-BCB6-1E72BAC26FB8}">
      <text>
        <r>
          <rPr>
            <sz val="10"/>
            <color rgb="FF000000"/>
            <rFont val="Arial"/>
            <family val="2"/>
          </rPr>
          <t>Comment:
    Last month pending order</t>
        </r>
      </text>
    </comment>
    <comment ref="Q13" authorId="0" shapeId="0" xr:uid="{C1FF29E2-8A44-46FA-AF0C-875D155C91D0}">
      <text>
        <r>
          <rPr>
            <sz val="10"/>
            <color rgb="FF000000"/>
            <rFont val="Arial"/>
            <family val="2"/>
          </rPr>
          <t xml:space="preserve">Comment:
    MBHD/INT/03601 </t>
        </r>
      </text>
    </comment>
  </commentList>
</comments>
</file>

<file path=xl/sharedStrings.xml><?xml version="1.0" encoding="utf-8"?>
<sst xmlns="http://schemas.openxmlformats.org/spreadsheetml/2006/main" count="8049" uniqueCount="1968">
  <si>
    <t>Ghee Production Dashboard</t>
  </si>
  <si>
    <t>All</t>
  </si>
  <si>
    <t>Selected Plan</t>
  </si>
  <si>
    <t>Row Flag</t>
  </si>
  <si>
    <t>Channel Flag</t>
  </si>
  <si>
    <t>Selected Pending</t>
  </si>
  <si>
    <t>Section</t>
  </si>
  <si>
    <t>Selected Produced</t>
  </si>
  <si>
    <t>Product Flag</t>
  </si>
  <si>
    <t>Butter/Makhan - 200 gm</t>
  </si>
  <si>
    <t>Product Selector</t>
  </si>
  <si>
    <t>Channel Selector</t>
  </si>
  <si>
    <t>Ghee</t>
  </si>
  <si>
    <t>Brahmi Ghee - 250 gm</t>
  </si>
  <si>
    <t>Tulsi Ghee - 250gm</t>
  </si>
  <si>
    <t>Total Plan</t>
  </si>
  <si>
    <t>Produced PKT</t>
  </si>
  <si>
    <t>Fulfillment %</t>
  </si>
  <si>
    <t>Pending PKT</t>
  </si>
  <si>
    <t>Pending SKUs</t>
  </si>
  <si>
    <t>Critical SKUs</t>
  </si>
  <si>
    <t>Shatavari Ghee - 250 gm</t>
  </si>
  <si>
    <t>Turmeric Ghee 250gm</t>
  </si>
  <si>
    <t>Buffalo Ghee - A2 Cultured 500ml</t>
  </si>
  <si>
    <t>A2 Desi Cow Ghee - 500ml</t>
  </si>
  <si>
    <t>Colostrum Powder, Desi Gir Cow - 100 gm</t>
  </si>
  <si>
    <t>Full Moon Cultured Ghee - 500 ml</t>
  </si>
  <si>
    <t>SECTION PERFORMANCE</t>
  </si>
  <si>
    <t>CHANNEL PLAN MIX</t>
  </si>
  <si>
    <t>Non cultured ghee 1l</t>
  </si>
  <si>
    <t>Plan</t>
  </si>
  <si>
    <t>Produced</t>
  </si>
  <si>
    <t>Fulfillment</t>
  </si>
  <si>
    <t>Channel</t>
  </si>
  <si>
    <t>Share</t>
  </si>
  <si>
    <t>Ashwagandha Ghee - 250 gm</t>
  </si>
  <si>
    <t>MRP (Domestic)</t>
  </si>
  <si>
    <t>A2 Cultured Ghee - 500 ml</t>
  </si>
  <si>
    <t/>
  </si>
  <si>
    <t>ROW Manjari</t>
  </si>
  <si>
    <t xml:space="preserve">A2 Cultured Ghee - 5 Ltr </t>
  </si>
  <si>
    <t>USA Sea</t>
  </si>
  <si>
    <t>Steel Can Ghee 1 Ltr</t>
  </si>
  <si>
    <t>Amazon USA Sea</t>
  </si>
  <si>
    <t>A2 Cultured Ghee - 250 ml</t>
  </si>
  <si>
    <t>USA Air</t>
  </si>
  <si>
    <t>A2 Cultured Ghee - 100 ml</t>
  </si>
  <si>
    <t>USA Amazon</t>
  </si>
  <si>
    <t>A2 Cultured Ghee - 1000 ml</t>
  </si>
  <si>
    <t>UK</t>
  </si>
  <si>
    <t>KEY INSIGHTS</t>
  </si>
  <si>
    <t>MENA</t>
  </si>
  <si>
    <t>Priority</t>
  </si>
  <si>
    <t>SKU Count</t>
  </si>
  <si>
    <t>P1 – Critical</t>
  </si>
  <si>
    <t>P2 – High</t>
  </si>
  <si>
    <t>P3 – Normal</t>
  </si>
  <si>
    <t>PENDING SKU DETAILS WITH REMARKS</t>
  </si>
  <si>
    <t>Rank</t>
  </si>
  <si>
    <t>FG Code</t>
  </si>
  <si>
    <t>Product</t>
  </si>
  <si>
    <t>DOH</t>
  </si>
  <si>
    <t>Risk</t>
  </si>
  <si>
    <t>Remark</t>
  </si>
  <si>
    <t>Row idx</t>
  </si>
  <si>
    <t>P1 abs pend</t>
  </si>
  <si>
    <t>abs pend</t>
  </si>
  <si>
    <t>FG00005</t>
  </si>
  <si>
    <t>FG00039</t>
  </si>
  <si>
    <t>WIP</t>
  </si>
  <si>
    <t>FG00596</t>
  </si>
  <si>
    <t>FG00227</t>
  </si>
  <si>
    <t>FG00265</t>
  </si>
  <si>
    <t>FG00043</t>
  </si>
  <si>
    <t>FG00904</t>
  </si>
  <si>
    <t>FG00052</t>
  </si>
  <si>
    <t>FG00097</t>
  </si>
  <si>
    <t>FG01068</t>
  </si>
  <si>
    <t>FG00024</t>
  </si>
  <si>
    <t>FG00002</t>
  </si>
  <si>
    <t>FG00566</t>
  </si>
  <si>
    <t>GHEE1000_STEEL_CAN</t>
  </si>
  <si>
    <t>FG00562</t>
  </si>
  <si>
    <t>FG00563</t>
  </si>
  <si>
    <t>PRODUCTION TRACKING &amp; VISUALS</t>
  </si>
  <si>
    <t>PACE TO PLAN</t>
  </si>
  <si>
    <t>Days in period</t>
  </si>
  <si>
    <t>Days elapsed (to today)</t>
  </si>
  <si>
    <t>Days remaining</t>
  </si>
  <si>
    <t>Plan (packets)</t>
  </si>
  <si>
    <t>Produced to date</t>
  </si>
  <si>
    <t>Remaining to produce</t>
  </si>
  <si>
    <t>Current run-rate /day</t>
  </si>
  <si>
    <t>Required run-rate /day</t>
  </si>
  <si>
    <t>Projected month-end (packets)</t>
  </si>
  <si>
    <t>Projected fulfillment %</t>
  </si>
  <si>
    <t>Status</t>
  </si>
  <si>
    <t>FOCUS TODAY — TOP CRITICAL PENDING</t>
  </si>
  <si>
    <t>Day</t>
  </si>
  <si>
    <t>Actual</t>
  </si>
  <si>
    <t>Target</t>
  </si>
  <si>
    <t>DAILY PRODUCTION LOG</t>
  </si>
  <si>
    <t>Daily Produced</t>
  </si>
  <si>
    <t>Cumulative Actual</t>
  </si>
  <si>
    <t>Target (even pace)</t>
  </si>
  <si>
    <t>Variance</t>
  </si>
  <si>
    <t>Sr. No.</t>
  </si>
  <si>
    <t>Plant</t>
  </si>
  <si>
    <t>Product Names</t>
  </si>
  <si>
    <t>UOM</t>
  </si>
  <si>
    <t>Production Plan</t>
  </si>
  <si>
    <t>Production Done (PKT)</t>
  </si>
  <si>
    <t>Total Monthly Production (KG)</t>
  </si>
  <si>
    <t xml:space="preserve"> Pending (PKT)</t>
  </si>
  <si>
    <t>Pending (KG)</t>
  </si>
  <si>
    <t>Total Fulfillment Rate %</t>
  </si>
  <si>
    <t>SOH – Central WH</t>
  </si>
  <si>
    <t>Risk Score</t>
  </si>
  <si>
    <t xml:space="preserve">Lid Label Issues </t>
  </si>
  <si>
    <t xml:space="preserve">QC on Hold </t>
  </si>
  <si>
    <t>RFD</t>
  </si>
  <si>
    <t xml:space="preserve">Intrasit </t>
  </si>
  <si>
    <t xml:space="preserve">On hold by QC need to check with Amit </t>
  </si>
  <si>
    <t xml:space="preserve">RM Shortage </t>
  </si>
  <si>
    <t>Roll form NA</t>
  </si>
  <si>
    <t>FG00703</t>
  </si>
  <si>
    <t>outer box NA</t>
  </si>
  <si>
    <t>TOTAL</t>
  </si>
  <si>
    <t>Adhoc</t>
  </si>
  <si>
    <t>March Total</t>
  </si>
  <si>
    <t>Detail</t>
  </si>
  <si>
    <t>Revised Box No.</t>
  </si>
  <si>
    <t>Case Configuration</t>
  </si>
  <si>
    <t>Actual Box Required</t>
  </si>
  <si>
    <t>10A</t>
  </si>
  <si>
    <t>10C</t>
  </si>
  <si>
    <t>A2 Cultured Ghee - 5 Ltr</t>
  </si>
  <si>
    <t>A2 Desi Cow Ghee - 500ml (Non - Cultured)</t>
  </si>
  <si>
    <t>10B</t>
  </si>
  <si>
    <t>NA</t>
  </si>
  <si>
    <t>A2 Desi Cow Ghee - 1 Ltr</t>
  </si>
  <si>
    <t>TBOF Label (without MRP)</t>
  </si>
  <si>
    <t>INT</t>
  </si>
  <si>
    <t>24th July</t>
  </si>
  <si>
    <t>FG00302</t>
  </si>
  <si>
    <t>Buffalo Ghee - A2 Cultured 1000ml</t>
  </si>
  <si>
    <t>FG00004</t>
  </si>
  <si>
    <t>A2 Desi Gir Cow Cultured Ghee IN Sampler - 50ml</t>
  </si>
  <si>
    <t>TBIF Label, Same batch code, same expiry</t>
  </si>
  <si>
    <t>USA sea Shipment</t>
  </si>
  <si>
    <t>Total Monthly Production (NOS)</t>
  </si>
  <si>
    <t>Total Monthly Pending(NOS)</t>
  </si>
  <si>
    <t>PM Available</t>
  </si>
  <si>
    <t>PM Not available</t>
  </si>
  <si>
    <t>TBIF Label (Same Batch code) - Amazon Sea Shipment</t>
  </si>
  <si>
    <t>Total Monthly Production Plan</t>
  </si>
  <si>
    <t>Total Monthly Production (PKT)</t>
  </si>
  <si>
    <t>Total Monthly Pending (PKT)</t>
  </si>
  <si>
    <t>Total Monthly Pending (KG)</t>
  </si>
  <si>
    <t>ghee</t>
  </si>
  <si>
    <t>breakfast and snacks</t>
  </si>
  <si>
    <t>Others</t>
  </si>
  <si>
    <t xml:space="preserve">USA Air Shipment </t>
  </si>
  <si>
    <t xml:space="preserve">Amazon USA Air Shipment </t>
  </si>
  <si>
    <t>BMM Order</t>
  </si>
  <si>
    <t>25th June</t>
  </si>
  <si>
    <t>W 1 Total 
(PKT)</t>
  </si>
  <si>
    <t>W 1 Total 
(KG)</t>
  </si>
  <si>
    <t xml:space="preserve">W 1 Projection
</t>
  </si>
  <si>
    <t>W 2 Total 
(PKT)</t>
  </si>
  <si>
    <t>W 2 Total 
(KG)</t>
  </si>
  <si>
    <t xml:space="preserve">W 2 Projection
</t>
  </si>
  <si>
    <t>W 3 Total 
(KG)</t>
  </si>
  <si>
    <t>W 3 Total 
(PKT)</t>
  </si>
  <si>
    <t xml:space="preserve">W 3 Projection
</t>
  </si>
  <si>
    <t>W 4 Total 
(PKT)</t>
  </si>
  <si>
    <t>W 4 Total 
(KG)</t>
  </si>
  <si>
    <t xml:space="preserve">W 4 Projection
</t>
  </si>
  <si>
    <t>A2 Desi Cow Ghee - 50ml</t>
  </si>
  <si>
    <t>Done</t>
  </si>
  <si>
    <t>Weight</t>
  </si>
  <si>
    <t>Total PP</t>
  </si>
  <si>
    <t xml:space="preserve">25th March </t>
  </si>
  <si>
    <t>Production plan</t>
  </si>
  <si>
    <t>SKU</t>
  </si>
  <si>
    <t>Product Name</t>
  </si>
  <si>
    <t>Vendor</t>
  </si>
  <si>
    <t>D2C</t>
  </si>
  <si>
    <t>B2B</t>
  </si>
  <si>
    <t>Qcom</t>
  </si>
  <si>
    <t>Marketplace</t>
  </si>
  <si>
    <t>Adhoc-Backlog</t>
  </si>
  <si>
    <t xml:space="preserve">Domestic Total </t>
  </si>
  <si>
    <t>Manjiri International</t>
  </si>
  <si>
    <t xml:space="preserve">Air Shipment </t>
  </si>
  <si>
    <t xml:space="preserve">Amazon air Shipment </t>
  </si>
  <si>
    <t xml:space="preserve">Int Total </t>
  </si>
  <si>
    <t>Total</t>
  </si>
  <si>
    <t xml:space="preserve">Goprapti </t>
  </si>
  <si>
    <t>Amoya</t>
  </si>
  <si>
    <t>Inhouse</t>
  </si>
  <si>
    <t>Ais</t>
  </si>
  <si>
    <t>Amazon USA</t>
  </si>
  <si>
    <t>Int Manjiri</t>
  </si>
  <si>
    <t xml:space="preserve">USA Sea Shipment </t>
  </si>
  <si>
    <t xml:space="preserve">USA AIR Shipment </t>
  </si>
  <si>
    <t xml:space="preserve">March Total </t>
  </si>
  <si>
    <t>PM Issues</t>
  </si>
  <si>
    <t>A2 Desi Cow Ghee - 500ml (Non - Cultured )</t>
  </si>
  <si>
    <t>Box No.</t>
  </si>
  <si>
    <t>CASE CONFIGURATION</t>
  </si>
  <si>
    <t>REQUIRED BOXES</t>
  </si>
  <si>
    <t>UP %</t>
  </si>
  <si>
    <t>UP</t>
  </si>
  <si>
    <t>MF SOH</t>
  </si>
  <si>
    <t xml:space="preserve">SKU </t>
  </si>
  <si>
    <t xml:space="preserve">Qty </t>
  </si>
  <si>
    <t>FG00912</t>
  </si>
  <si>
    <t>FG01049</t>
  </si>
  <si>
    <t>RM000001</t>
  </si>
  <si>
    <t>RM000002</t>
  </si>
  <si>
    <t>RM000003</t>
  </si>
  <si>
    <t>RM000025</t>
  </si>
  <si>
    <t>RM000030</t>
  </si>
  <si>
    <t>RM000031</t>
  </si>
  <si>
    <t>RM000044</t>
  </si>
  <si>
    <t>RM000056</t>
  </si>
  <si>
    <t>RM000057</t>
  </si>
  <si>
    <t>RM000062</t>
  </si>
  <si>
    <t>RM000071</t>
  </si>
  <si>
    <t>RM000078</t>
  </si>
  <si>
    <t>RM000080</t>
  </si>
  <si>
    <t>RM000094</t>
  </si>
  <si>
    <t>RM000139</t>
  </si>
  <si>
    <t>RM000142</t>
  </si>
  <si>
    <t>RM000144</t>
  </si>
  <si>
    <t>RM000151</t>
  </si>
  <si>
    <t>RM000164</t>
  </si>
  <si>
    <t>RM000166</t>
  </si>
  <si>
    <t>RM000175</t>
  </si>
  <si>
    <t>RM000179</t>
  </si>
  <si>
    <t>RM000197</t>
  </si>
  <si>
    <t>RM000216</t>
  </si>
  <si>
    <t>RM000219</t>
  </si>
  <si>
    <t>RM000220</t>
  </si>
  <si>
    <t>RM000221</t>
  </si>
  <si>
    <t>RM000224</t>
  </si>
  <si>
    <t>RM000227</t>
  </si>
  <si>
    <t>RM000251</t>
  </si>
  <si>
    <t>AML_PRSH_2KG</t>
  </si>
  <si>
    <t>BREAKFAST_COMBO_1</t>
  </si>
  <si>
    <t>BREAKFAST_COMBO_2</t>
  </si>
  <si>
    <t>BYP0005</t>
  </si>
  <si>
    <t>BYP0007</t>
  </si>
  <si>
    <t>BYP0009</t>
  </si>
  <si>
    <t>BYP0010</t>
  </si>
  <si>
    <t>BYP0011</t>
  </si>
  <si>
    <t>BYP0033</t>
  </si>
  <si>
    <t>BYP0038</t>
  </si>
  <si>
    <t>BYP0039</t>
  </si>
  <si>
    <t>BYP0041</t>
  </si>
  <si>
    <t>CCB_100</t>
  </si>
  <si>
    <t>CHU_PACK2</t>
  </si>
  <si>
    <t>CHU_PACK3</t>
  </si>
  <si>
    <t>COMBO_AML_IBP</t>
  </si>
  <si>
    <t>COMBO_BUTTER_GHEE</t>
  </si>
  <si>
    <t>COMBO_GHEE_IBP</t>
  </si>
  <si>
    <t>COMBO_GONDH_GHEE</t>
  </si>
  <si>
    <t>COMBO_LADDOO_GHEE</t>
  </si>
  <si>
    <t>COM_SATTU_GONDH</t>
  </si>
  <si>
    <t>FG00001</t>
  </si>
  <si>
    <t>FG00003</t>
  </si>
  <si>
    <t>FG00007</t>
  </si>
  <si>
    <t>FG00008</t>
  </si>
  <si>
    <t>FG00009</t>
  </si>
  <si>
    <t>FG00010</t>
  </si>
  <si>
    <t>FG00012</t>
  </si>
  <si>
    <t>FG00013</t>
  </si>
  <si>
    <t>FG00014</t>
  </si>
  <si>
    <t>FG00015</t>
  </si>
  <si>
    <t>FG00016</t>
  </si>
  <si>
    <t>FG00017</t>
  </si>
  <si>
    <t>FG00018</t>
  </si>
  <si>
    <t>FG00019</t>
  </si>
  <si>
    <t>FG00020</t>
  </si>
  <si>
    <t>FG00021</t>
  </si>
  <si>
    <t>FG00023</t>
  </si>
  <si>
    <t>FG00026</t>
  </si>
  <si>
    <t>FG00027</t>
  </si>
  <si>
    <t>FG00028</t>
  </si>
  <si>
    <t>FG00029</t>
  </si>
  <si>
    <t>FG00031</t>
  </si>
  <si>
    <t>FG00032</t>
  </si>
  <si>
    <t>FG00035</t>
  </si>
  <si>
    <t>FG00036</t>
  </si>
  <si>
    <t>FG00037</t>
  </si>
  <si>
    <t>FG00040_Updated</t>
  </si>
  <si>
    <t>FG00041</t>
  </si>
  <si>
    <t>FG00042</t>
  </si>
  <si>
    <t>FG00045</t>
  </si>
  <si>
    <t>FG00046</t>
  </si>
  <si>
    <t>FG00048</t>
  </si>
  <si>
    <t>FG00049</t>
  </si>
  <si>
    <t>FG00050</t>
  </si>
  <si>
    <t>FG00053</t>
  </si>
  <si>
    <t>FG00054</t>
  </si>
  <si>
    <t>FG00055</t>
  </si>
  <si>
    <t>FG00057</t>
  </si>
  <si>
    <t>FG00059</t>
  </si>
  <si>
    <t>FG00063</t>
  </si>
  <si>
    <t>FG00065</t>
  </si>
  <si>
    <t>FG00066</t>
  </si>
  <si>
    <t>FG00067</t>
  </si>
  <si>
    <t>FG00068</t>
  </si>
  <si>
    <t>FG00069</t>
  </si>
  <si>
    <t>FG00070</t>
  </si>
  <si>
    <t>FG00071</t>
  </si>
  <si>
    <t>FG00072</t>
  </si>
  <si>
    <t>FG00079</t>
  </si>
  <si>
    <t>FG00080</t>
  </si>
  <si>
    <t>FG00081</t>
  </si>
  <si>
    <t>FG00084</t>
  </si>
  <si>
    <t>FG00085_Updated</t>
  </si>
  <si>
    <t>FG00086</t>
  </si>
  <si>
    <t>FG00087</t>
  </si>
  <si>
    <t>FG00088</t>
  </si>
  <si>
    <t>FG00089</t>
  </si>
  <si>
    <t>FG00090</t>
  </si>
  <si>
    <t>FG00098</t>
  </si>
  <si>
    <t>FG00101</t>
  </si>
  <si>
    <t>FG00102</t>
  </si>
  <si>
    <t>FG00103</t>
  </si>
  <si>
    <t>FG00104</t>
  </si>
  <si>
    <t>FG00105</t>
  </si>
  <si>
    <t>FG00106</t>
  </si>
  <si>
    <t>FG00109</t>
  </si>
  <si>
    <t>FG00110</t>
  </si>
  <si>
    <t>FG00112</t>
  </si>
  <si>
    <t>FG00113</t>
  </si>
  <si>
    <t>FG00118</t>
  </si>
  <si>
    <t>FG00119</t>
  </si>
  <si>
    <t>FG00120</t>
  </si>
  <si>
    <t>FG00121</t>
  </si>
  <si>
    <t>FG00122</t>
  </si>
  <si>
    <t>FG00123</t>
  </si>
  <si>
    <t>FG00124</t>
  </si>
  <si>
    <t>FG00126</t>
  </si>
  <si>
    <t>FG00128</t>
  </si>
  <si>
    <t>FG00128_Updated</t>
  </si>
  <si>
    <t>FG00129</t>
  </si>
  <si>
    <t>FG00130</t>
  </si>
  <si>
    <t>FG00132</t>
  </si>
  <si>
    <t>FG00133</t>
  </si>
  <si>
    <t>FG00135</t>
  </si>
  <si>
    <t>FG00139</t>
  </si>
  <si>
    <t>FG00140</t>
  </si>
  <si>
    <t>FG00141</t>
  </si>
  <si>
    <t>FG00142</t>
  </si>
  <si>
    <t>FG00143</t>
  </si>
  <si>
    <t>FG00145</t>
  </si>
  <si>
    <t>FG00147</t>
  </si>
  <si>
    <t>FG00148</t>
  </si>
  <si>
    <t>FG00149</t>
  </si>
  <si>
    <t>FG00150</t>
  </si>
  <si>
    <t>FG00151</t>
  </si>
  <si>
    <t>FG00155</t>
  </si>
  <si>
    <t>FG00158</t>
  </si>
  <si>
    <t>FG00159</t>
  </si>
  <si>
    <t>FG00165</t>
  </si>
  <si>
    <t>FG00167</t>
  </si>
  <si>
    <t>FG00169</t>
  </si>
  <si>
    <t>FG00170</t>
  </si>
  <si>
    <t>FG00171</t>
  </si>
  <si>
    <t>FG00174</t>
  </si>
  <si>
    <t>FG00176</t>
  </si>
  <si>
    <t>FG00177</t>
  </si>
  <si>
    <t>FG00178</t>
  </si>
  <si>
    <t>FG00183</t>
  </si>
  <si>
    <t>FG00185</t>
  </si>
  <si>
    <t>FG00186</t>
  </si>
  <si>
    <t>FG00187</t>
  </si>
  <si>
    <t>FG00191</t>
  </si>
  <si>
    <t>FG00192</t>
  </si>
  <si>
    <t>FG00194</t>
  </si>
  <si>
    <t>FG00195</t>
  </si>
  <si>
    <t>FG00196_Updated</t>
  </si>
  <si>
    <t>FG00197</t>
  </si>
  <si>
    <t>FG00198</t>
  </si>
  <si>
    <t>FG00200</t>
  </si>
  <si>
    <t>FG00202</t>
  </si>
  <si>
    <t>FG00204</t>
  </si>
  <si>
    <t>FG00205</t>
  </si>
  <si>
    <t>FG00206</t>
  </si>
  <si>
    <t>FG00208</t>
  </si>
  <si>
    <t>FG00210</t>
  </si>
  <si>
    <t>FG00211</t>
  </si>
  <si>
    <t>FG00212</t>
  </si>
  <si>
    <t>FG00213</t>
  </si>
  <si>
    <t>FG00216</t>
  </si>
  <si>
    <t>FG00218</t>
  </si>
  <si>
    <t>FG00219</t>
  </si>
  <si>
    <t>FG00220</t>
  </si>
  <si>
    <t>FG00223</t>
  </si>
  <si>
    <t>FG00224</t>
  </si>
  <si>
    <t>FG00226</t>
  </si>
  <si>
    <t>FG00229</t>
  </si>
  <si>
    <t>FG00230</t>
  </si>
  <si>
    <t>FG00231</t>
  </si>
  <si>
    <t>FG00232</t>
  </si>
  <si>
    <t>FG00233</t>
  </si>
  <si>
    <t>FG00235</t>
  </si>
  <si>
    <t>FG00236</t>
  </si>
  <si>
    <t>FG00237</t>
  </si>
  <si>
    <t>FG00238</t>
  </si>
  <si>
    <t>FG00239</t>
  </si>
  <si>
    <t>FG00240</t>
  </si>
  <si>
    <t>FG00241</t>
  </si>
  <si>
    <t>FG00242</t>
  </si>
  <si>
    <t>FG00243</t>
  </si>
  <si>
    <t>FG00245</t>
  </si>
  <si>
    <t>FG00246</t>
  </si>
  <si>
    <t>FG00248</t>
  </si>
  <si>
    <t>FG00251</t>
  </si>
  <si>
    <t>FG00252</t>
  </si>
  <si>
    <t>FG00253</t>
  </si>
  <si>
    <t>FG00257</t>
  </si>
  <si>
    <t>FG00258</t>
  </si>
  <si>
    <t>FG00263</t>
  </si>
  <si>
    <t>FG00270</t>
  </si>
  <si>
    <t>FG00272</t>
  </si>
  <si>
    <t>FG00273</t>
  </si>
  <si>
    <t>FG00274</t>
  </si>
  <si>
    <t>FG00275</t>
  </si>
  <si>
    <t>FG00276</t>
  </si>
  <si>
    <t>FG00277</t>
  </si>
  <si>
    <t>FG00278</t>
  </si>
  <si>
    <t>FG00279</t>
  </si>
  <si>
    <t>FG00280</t>
  </si>
  <si>
    <t>FG00281</t>
  </si>
  <si>
    <t>FG00283</t>
  </si>
  <si>
    <t>FG00284</t>
  </si>
  <si>
    <t>FG00286</t>
  </si>
  <si>
    <t>FG00287</t>
  </si>
  <si>
    <t>FG00288</t>
  </si>
  <si>
    <t>FG00289</t>
  </si>
  <si>
    <t>FG00290</t>
  </si>
  <si>
    <t>FG00291</t>
  </si>
  <si>
    <t>FG00292_Updated</t>
  </si>
  <si>
    <t>FG00293</t>
  </si>
  <si>
    <t>FG00294</t>
  </si>
  <si>
    <t>FG00295</t>
  </si>
  <si>
    <t>FG00296</t>
  </si>
  <si>
    <t>FG00297</t>
  </si>
  <si>
    <t>FG00298</t>
  </si>
  <si>
    <t>FG00299</t>
  </si>
  <si>
    <t>FG00300</t>
  </si>
  <si>
    <t>FG00301</t>
  </si>
  <si>
    <t>FG00303</t>
  </si>
  <si>
    <t>FG00403</t>
  </si>
  <si>
    <t>FG00404</t>
  </si>
  <si>
    <t>FG00407</t>
  </si>
  <si>
    <t>FG00408</t>
  </si>
  <si>
    <t>FG00509</t>
  </si>
  <si>
    <t>FG00511</t>
  </si>
  <si>
    <t>FG00512</t>
  </si>
  <si>
    <t>FG00513</t>
  </si>
  <si>
    <t>FG00514</t>
  </si>
  <si>
    <t>FG00515</t>
  </si>
  <si>
    <t>FG00516</t>
  </si>
  <si>
    <t>FG00517</t>
  </si>
  <si>
    <t>FG00518</t>
  </si>
  <si>
    <t>FG00519</t>
  </si>
  <si>
    <t>FG00520</t>
  </si>
  <si>
    <t>FG00521</t>
  </si>
  <si>
    <t>FG00522</t>
  </si>
  <si>
    <t>FG00524</t>
  </si>
  <si>
    <t>FG00525</t>
  </si>
  <si>
    <t>FG00526</t>
  </si>
  <si>
    <t>FG00527</t>
  </si>
  <si>
    <t>FG00528</t>
  </si>
  <si>
    <t>FG00529</t>
  </si>
  <si>
    <t>FG00530</t>
  </si>
  <si>
    <t>FG00531</t>
  </si>
  <si>
    <t>FG00532</t>
  </si>
  <si>
    <t>FG00533</t>
  </si>
  <si>
    <t>FG00534</t>
  </si>
  <si>
    <t>FG00535</t>
  </si>
  <si>
    <t>FG00536</t>
  </si>
  <si>
    <t>FG00537</t>
  </si>
  <si>
    <t>FG00540</t>
  </si>
  <si>
    <t>FG00541</t>
  </si>
  <si>
    <t>FG00542</t>
  </si>
  <si>
    <t>FG00543</t>
  </si>
  <si>
    <t>FG00544</t>
  </si>
  <si>
    <t>FG00545</t>
  </si>
  <si>
    <t>FG00546</t>
  </si>
  <si>
    <t>FG00547</t>
  </si>
  <si>
    <t>FG00548</t>
  </si>
  <si>
    <t>FG00549</t>
  </si>
  <si>
    <t>FG00550</t>
  </si>
  <si>
    <t>FG00551</t>
  </si>
  <si>
    <t>FG00552</t>
  </si>
  <si>
    <t>FG00553</t>
  </si>
  <si>
    <t>FG00554</t>
  </si>
  <si>
    <t>FG00555</t>
  </si>
  <si>
    <t>FG00556</t>
  </si>
  <si>
    <t>FG00557</t>
  </si>
  <si>
    <t>FG00558</t>
  </si>
  <si>
    <t>FG00559</t>
  </si>
  <si>
    <t>FG00560</t>
  </si>
  <si>
    <t>FG00561</t>
  </si>
  <si>
    <t>FG00565</t>
  </si>
  <si>
    <t>FG00568</t>
  </si>
  <si>
    <t>FG00569</t>
  </si>
  <si>
    <t>FG00570</t>
  </si>
  <si>
    <t>FG00572</t>
  </si>
  <si>
    <t>FG00573</t>
  </si>
  <si>
    <t>FG00574</t>
  </si>
  <si>
    <t>FG00575</t>
  </si>
  <si>
    <t>FG00576</t>
  </si>
  <si>
    <t>FG00578</t>
  </si>
  <si>
    <t>FG00579</t>
  </si>
  <si>
    <t>FG00580</t>
  </si>
  <si>
    <t>FG00581</t>
  </si>
  <si>
    <t>FG00582</t>
  </si>
  <si>
    <t>FG00583</t>
  </si>
  <si>
    <t>FG00585</t>
  </si>
  <si>
    <t>FG00586</t>
  </si>
  <si>
    <t>FG00589</t>
  </si>
  <si>
    <t>FG00591</t>
  </si>
  <si>
    <t>FG00592</t>
  </si>
  <si>
    <t>FG00593</t>
  </si>
  <si>
    <t>FG00597</t>
  </si>
  <si>
    <t>FG00603</t>
  </si>
  <si>
    <t>FG00604</t>
  </si>
  <si>
    <t>FG00605</t>
  </si>
  <si>
    <t>FG00606</t>
  </si>
  <si>
    <t>FG00607</t>
  </si>
  <si>
    <t>FG00608</t>
  </si>
  <si>
    <t>FG00610</t>
  </si>
  <si>
    <t>FG00612</t>
  </si>
  <si>
    <t>FG00613</t>
  </si>
  <si>
    <t>FG00614</t>
  </si>
  <si>
    <t>FG00615</t>
  </si>
  <si>
    <t>FG00615_10kg</t>
  </si>
  <si>
    <t>FG00615_updated</t>
  </si>
  <si>
    <t>FG00616</t>
  </si>
  <si>
    <t>FG00617</t>
  </si>
  <si>
    <t>FG00618</t>
  </si>
  <si>
    <t>FG00620</t>
  </si>
  <si>
    <t>FG00621</t>
  </si>
  <si>
    <t>FG00622</t>
  </si>
  <si>
    <t>FG00623</t>
  </si>
  <si>
    <t>FG00624</t>
  </si>
  <si>
    <t>FG00625</t>
  </si>
  <si>
    <t>FG00626</t>
  </si>
  <si>
    <t>FG00628</t>
  </si>
  <si>
    <t>FG00629</t>
  </si>
  <si>
    <t>FG00630</t>
  </si>
  <si>
    <t>FG00633</t>
  </si>
  <si>
    <t>FG00634</t>
  </si>
  <si>
    <t>FG00635</t>
  </si>
  <si>
    <t>FG00636</t>
  </si>
  <si>
    <t>FG00637</t>
  </si>
  <si>
    <t>FG00638</t>
  </si>
  <si>
    <t>FG00639</t>
  </si>
  <si>
    <t>FG00640</t>
  </si>
  <si>
    <t>FG00641</t>
  </si>
  <si>
    <t>FG00642</t>
  </si>
  <si>
    <t>FG00643</t>
  </si>
  <si>
    <t>FG00644</t>
  </si>
  <si>
    <t>FG00645</t>
  </si>
  <si>
    <t>FG00646</t>
  </si>
  <si>
    <t>FG00647</t>
  </si>
  <si>
    <t>FG00648</t>
  </si>
  <si>
    <t>FG00649</t>
  </si>
  <si>
    <t>FG00650</t>
  </si>
  <si>
    <t>FG00654</t>
  </si>
  <si>
    <t>FG00655</t>
  </si>
  <si>
    <t>FG00656</t>
  </si>
  <si>
    <t>FG00657</t>
  </si>
  <si>
    <t>FG00659</t>
  </si>
  <si>
    <t>FG00660</t>
  </si>
  <si>
    <t>FG00664</t>
  </si>
  <si>
    <t>FG00670</t>
  </si>
  <si>
    <t>FG00671</t>
  </si>
  <si>
    <t>FG00672</t>
  </si>
  <si>
    <t>FG00673</t>
  </si>
  <si>
    <t>FG00674</t>
  </si>
  <si>
    <t>FG00675</t>
  </si>
  <si>
    <t>FG00676</t>
  </si>
  <si>
    <t>FG00677</t>
  </si>
  <si>
    <t>FG00678</t>
  </si>
  <si>
    <t>FG00679</t>
  </si>
  <si>
    <t>FG00680</t>
  </si>
  <si>
    <t>FG00681</t>
  </si>
  <si>
    <t>FG00682</t>
  </si>
  <si>
    <t>FG00683</t>
  </si>
  <si>
    <t>FG00684</t>
  </si>
  <si>
    <t>FG00685</t>
  </si>
  <si>
    <t>FG00686_Updated</t>
  </si>
  <si>
    <t>FG00687</t>
  </si>
  <si>
    <t>FG00688</t>
  </si>
  <si>
    <t>FG00689</t>
  </si>
  <si>
    <t>FG00690</t>
  </si>
  <si>
    <t>FG00691</t>
  </si>
  <si>
    <t>FG00692</t>
  </si>
  <si>
    <t>FG00693_Updated</t>
  </si>
  <si>
    <t>FG00694_Updated</t>
  </si>
  <si>
    <t>FG00695_Updated</t>
  </si>
  <si>
    <t>FG00696_Updated</t>
  </si>
  <si>
    <t>FG00697</t>
  </si>
  <si>
    <t>FG00697_Updated</t>
  </si>
  <si>
    <t>FG00698</t>
  </si>
  <si>
    <t>FG00698_Updated</t>
  </si>
  <si>
    <t>FG00699</t>
  </si>
  <si>
    <t>FG00700</t>
  </si>
  <si>
    <t>FG00701</t>
  </si>
  <si>
    <t>FG00702</t>
  </si>
  <si>
    <t>FG00704_Updated</t>
  </si>
  <si>
    <t>FG00705_Updated</t>
  </si>
  <si>
    <t>FG00706_Updated</t>
  </si>
  <si>
    <t>FG00707_Updated</t>
  </si>
  <si>
    <t>FG00708_Updated</t>
  </si>
  <si>
    <t>FG00709_Updated</t>
  </si>
  <si>
    <t>FG00711</t>
  </si>
  <si>
    <t>FG00712</t>
  </si>
  <si>
    <t>FG00713</t>
  </si>
  <si>
    <t>FG00714_Updated</t>
  </si>
  <si>
    <t>FG00715_Updated</t>
  </si>
  <si>
    <t>FG00716_Updated</t>
  </si>
  <si>
    <t>FG00717</t>
  </si>
  <si>
    <t>FG00718</t>
  </si>
  <si>
    <t>FG00721</t>
  </si>
  <si>
    <t>FG00722_Updated</t>
  </si>
  <si>
    <t>FG00723</t>
  </si>
  <si>
    <t>FG00724</t>
  </si>
  <si>
    <t>FG00725</t>
  </si>
  <si>
    <t>FG00726</t>
  </si>
  <si>
    <t>FG00727</t>
  </si>
  <si>
    <t>FG00728</t>
  </si>
  <si>
    <t>FG00729</t>
  </si>
  <si>
    <t>FG00730</t>
  </si>
  <si>
    <t>FG00731</t>
  </si>
  <si>
    <t>FG00732</t>
  </si>
  <si>
    <t>FG00733</t>
  </si>
  <si>
    <t>FG00734</t>
  </si>
  <si>
    <t>FG00735</t>
  </si>
  <si>
    <t>FG00736</t>
  </si>
  <si>
    <t>FG00737</t>
  </si>
  <si>
    <t>FG00738</t>
  </si>
  <si>
    <t>FG00739</t>
  </si>
  <si>
    <t>FG00740</t>
  </si>
  <si>
    <t>FG00741</t>
  </si>
  <si>
    <t>FG00743</t>
  </si>
  <si>
    <t>FG00744</t>
  </si>
  <si>
    <t>FG00745</t>
  </si>
  <si>
    <t>FG00746</t>
  </si>
  <si>
    <t>FG00747</t>
  </si>
  <si>
    <t>FG00748</t>
  </si>
  <si>
    <t>FG00749</t>
  </si>
  <si>
    <t>FG00750</t>
  </si>
  <si>
    <t>FG00751</t>
  </si>
  <si>
    <t>FG00757</t>
  </si>
  <si>
    <t>FG00797</t>
  </si>
  <si>
    <t>FG00798</t>
  </si>
  <si>
    <t>FG00799</t>
  </si>
  <si>
    <t>FG00800</t>
  </si>
  <si>
    <t>FG00801</t>
  </si>
  <si>
    <t>FG00802</t>
  </si>
  <si>
    <t>FG00803</t>
  </si>
  <si>
    <t>FG00804</t>
  </si>
  <si>
    <t>FG00805</t>
  </si>
  <si>
    <t>FG00806</t>
  </si>
  <si>
    <t>FG00807</t>
  </si>
  <si>
    <t>FG00808</t>
  </si>
  <si>
    <t>FG00809</t>
  </si>
  <si>
    <t>FG00810</t>
  </si>
  <si>
    <t>FG00811</t>
  </si>
  <si>
    <t>FG00812</t>
  </si>
  <si>
    <t>FG00813</t>
  </si>
  <si>
    <t>FG00814</t>
  </si>
  <si>
    <t>FG00815</t>
  </si>
  <si>
    <t>FG00816</t>
  </si>
  <si>
    <t>FG00817</t>
  </si>
  <si>
    <t>FG00818</t>
  </si>
  <si>
    <t>FG00819</t>
  </si>
  <si>
    <t>FG00820</t>
  </si>
  <si>
    <t>FG00821</t>
  </si>
  <si>
    <t>FG00823</t>
  </si>
  <si>
    <t>FG00824</t>
  </si>
  <si>
    <t>FG00829</t>
  </si>
  <si>
    <t>FG00830</t>
  </si>
  <si>
    <t>FG00831</t>
  </si>
  <si>
    <t>FG00832</t>
  </si>
  <si>
    <t>FG00833</t>
  </si>
  <si>
    <t>FG00834</t>
  </si>
  <si>
    <t>FG00835</t>
  </si>
  <si>
    <t>FG00836</t>
  </si>
  <si>
    <t>FG00837</t>
  </si>
  <si>
    <t>FG00838</t>
  </si>
  <si>
    <t>FG00839</t>
  </si>
  <si>
    <t>FG00840</t>
  </si>
  <si>
    <t>FG00841</t>
  </si>
  <si>
    <t>FG00842</t>
  </si>
  <si>
    <t>FG00843</t>
  </si>
  <si>
    <t>FG00844</t>
  </si>
  <si>
    <t>FG00845</t>
  </si>
  <si>
    <t>FG00846</t>
  </si>
  <si>
    <t>FG00847</t>
  </si>
  <si>
    <t>FG00848</t>
  </si>
  <si>
    <t>FG00849</t>
  </si>
  <si>
    <t>FG00850</t>
  </si>
  <si>
    <t>FG00851</t>
  </si>
  <si>
    <t>FG00852</t>
  </si>
  <si>
    <t>FG00853</t>
  </si>
  <si>
    <t>FG00854</t>
  </si>
  <si>
    <t>FG00855</t>
  </si>
  <si>
    <t>FG00856</t>
  </si>
  <si>
    <t>FG00857</t>
  </si>
  <si>
    <t>FG00858</t>
  </si>
  <si>
    <t>FG00859</t>
  </si>
  <si>
    <t>FG00860</t>
  </si>
  <si>
    <t>FG00861</t>
  </si>
  <si>
    <t>FG00862</t>
  </si>
  <si>
    <t>FG00863</t>
  </si>
  <si>
    <t>FG00864</t>
  </si>
  <si>
    <t>FG00866</t>
  </si>
  <si>
    <t>FG00867</t>
  </si>
  <si>
    <t>FG00868</t>
  </si>
  <si>
    <t>FG00869</t>
  </si>
  <si>
    <t>FG00870</t>
  </si>
  <si>
    <t>FG00871</t>
  </si>
  <si>
    <t>FG00872</t>
  </si>
  <si>
    <t>FG00873</t>
  </si>
  <si>
    <t>FG00874</t>
  </si>
  <si>
    <t>FG00876</t>
  </si>
  <si>
    <t>FG00877</t>
  </si>
  <si>
    <t>FG00878</t>
  </si>
  <si>
    <t>FG00879</t>
  </si>
  <si>
    <t>FG00880</t>
  </si>
  <si>
    <t>FG00881</t>
  </si>
  <si>
    <t>FG00883</t>
  </si>
  <si>
    <t>FG00883_Updated</t>
  </si>
  <si>
    <t>FG00884</t>
  </si>
  <si>
    <t>FG00884_Updated</t>
  </si>
  <si>
    <t>FG00885</t>
  </si>
  <si>
    <t>FG00886</t>
  </si>
  <si>
    <t>FG00887</t>
  </si>
  <si>
    <t>FG00888</t>
  </si>
  <si>
    <t>FG00889</t>
  </si>
  <si>
    <t>FG00890</t>
  </si>
  <si>
    <t>FG00891</t>
  </si>
  <si>
    <t>FG00892</t>
  </si>
  <si>
    <t>FG00893</t>
  </si>
  <si>
    <t>FG00894</t>
  </si>
  <si>
    <t>FG00894_1</t>
  </si>
  <si>
    <t>FG00895</t>
  </si>
  <si>
    <t>FG00895_Updated</t>
  </si>
  <si>
    <t>FG00896</t>
  </si>
  <si>
    <t>FG00897</t>
  </si>
  <si>
    <t>FG00898</t>
  </si>
  <si>
    <t>FG00899</t>
  </si>
  <si>
    <t>FG00901</t>
  </si>
  <si>
    <t>FG00902</t>
  </si>
  <si>
    <t>FG00909</t>
  </si>
  <si>
    <t>FG00910</t>
  </si>
  <si>
    <t>FG00910_Updated</t>
  </si>
  <si>
    <t>FG00911</t>
  </si>
  <si>
    <t>FG00913</t>
  </si>
  <si>
    <t>FG00914</t>
  </si>
  <si>
    <t>FG00915</t>
  </si>
  <si>
    <t>FG00916</t>
  </si>
  <si>
    <t>FG00918</t>
  </si>
  <si>
    <t>FG00919</t>
  </si>
  <si>
    <t>FG00924</t>
  </si>
  <si>
    <t>FG00924_updated</t>
  </si>
  <si>
    <t>FG00925</t>
  </si>
  <si>
    <t>FG00926</t>
  </si>
  <si>
    <t>FG00927_updated</t>
  </si>
  <si>
    <t>FG00928</t>
  </si>
  <si>
    <t>FG00929</t>
  </si>
  <si>
    <t>FG00930</t>
  </si>
  <si>
    <t>FG00932</t>
  </si>
  <si>
    <t>FG00943</t>
  </si>
  <si>
    <t>FG00944</t>
  </si>
  <si>
    <t>FG00945</t>
  </si>
  <si>
    <t>FG00946</t>
  </si>
  <si>
    <t>FG00947</t>
  </si>
  <si>
    <t>FG00948</t>
  </si>
  <si>
    <t>FG00949</t>
  </si>
  <si>
    <t>FG00950</t>
  </si>
  <si>
    <t>FG00951</t>
  </si>
  <si>
    <t>FG00952</t>
  </si>
  <si>
    <t>FG00953</t>
  </si>
  <si>
    <t>FG00954</t>
  </si>
  <si>
    <t>FG00955</t>
  </si>
  <si>
    <t>FG00956</t>
  </si>
  <si>
    <t>FG00957</t>
  </si>
  <si>
    <t>FG00958</t>
  </si>
  <si>
    <t>FG00959</t>
  </si>
  <si>
    <t>FG00960</t>
  </si>
  <si>
    <t>FG00961</t>
  </si>
  <si>
    <t>FG00962</t>
  </si>
  <si>
    <t>FG00962_Updated</t>
  </si>
  <si>
    <t>FG00963</t>
  </si>
  <si>
    <t>FG00964</t>
  </si>
  <si>
    <t>FG00965</t>
  </si>
  <si>
    <t>FG00966</t>
  </si>
  <si>
    <t>FG00967</t>
  </si>
  <si>
    <t>FG00968</t>
  </si>
  <si>
    <t>FG00969</t>
  </si>
  <si>
    <t>FG00970</t>
  </si>
  <si>
    <t>FG00971</t>
  </si>
  <si>
    <t>FG00972</t>
  </si>
  <si>
    <t>FG00973</t>
  </si>
  <si>
    <t>FG00975</t>
  </si>
  <si>
    <t>FG00976</t>
  </si>
  <si>
    <t>FG00977</t>
  </si>
  <si>
    <t>FG00978</t>
  </si>
  <si>
    <t>FG00979</t>
  </si>
  <si>
    <t>FG00980</t>
  </si>
  <si>
    <t>FG00981</t>
  </si>
  <si>
    <t>FG00982</t>
  </si>
  <si>
    <t>FG00983</t>
  </si>
  <si>
    <t>FG00984</t>
  </si>
  <si>
    <t>FG00985</t>
  </si>
  <si>
    <t>FG00986</t>
  </si>
  <si>
    <t>FG00987</t>
  </si>
  <si>
    <t>FG00988</t>
  </si>
  <si>
    <t>FG00989</t>
  </si>
  <si>
    <t>FG00990</t>
  </si>
  <si>
    <t>FG00991</t>
  </si>
  <si>
    <t>FG00992</t>
  </si>
  <si>
    <t>FG00993</t>
  </si>
  <si>
    <t>FG00994</t>
  </si>
  <si>
    <t>FG00995</t>
  </si>
  <si>
    <t>FG00996</t>
  </si>
  <si>
    <t>FG00997</t>
  </si>
  <si>
    <t>FG00998</t>
  </si>
  <si>
    <t>FG00999</t>
  </si>
  <si>
    <t>FG01000</t>
  </si>
  <si>
    <t>FG01000A2</t>
  </si>
  <si>
    <t>FG01001</t>
  </si>
  <si>
    <t>FG01002</t>
  </si>
  <si>
    <t>FG01003</t>
  </si>
  <si>
    <t>FG01004</t>
  </si>
  <si>
    <t>FG01005</t>
  </si>
  <si>
    <t>FG01006</t>
  </si>
  <si>
    <t>FG01007</t>
  </si>
  <si>
    <t>FG01008</t>
  </si>
  <si>
    <t>FG01009</t>
  </si>
  <si>
    <t>FG01010</t>
  </si>
  <si>
    <t>FG01011</t>
  </si>
  <si>
    <t>FG01012</t>
  </si>
  <si>
    <t>FG01013</t>
  </si>
  <si>
    <t>FG01014</t>
  </si>
  <si>
    <t>FG01015</t>
  </si>
  <si>
    <t>FG01016</t>
  </si>
  <si>
    <t>FG01017</t>
  </si>
  <si>
    <t>FG01018</t>
  </si>
  <si>
    <t>FG01019</t>
  </si>
  <si>
    <t>FG01020</t>
  </si>
  <si>
    <t>FG01021</t>
  </si>
  <si>
    <t>FG01022</t>
  </si>
  <si>
    <t>FG01023</t>
  </si>
  <si>
    <t>FG01024</t>
  </si>
  <si>
    <t>FG01025</t>
  </si>
  <si>
    <t>FG01026</t>
  </si>
  <si>
    <t>FG01027</t>
  </si>
  <si>
    <t>FG01028</t>
  </si>
  <si>
    <t>FG01029</t>
  </si>
  <si>
    <t>FG01030</t>
  </si>
  <si>
    <t>FG01031</t>
  </si>
  <si>
    <t>FG01032</t>
  </si>
  <si>
    <t>FG01033</t>
  </si>
  <si>
    <t>FG01034</t>
  </si>
  <si>
    <t>FG01035</t>
  </si>
  <si>
    <t>FG01036</t>
  </si>
  <si>
    <t>FG01037</t>
  </si>
  <si>
    <t>FG01038</t>
  </si>
  <si>
    <t>FG01039_1</t>
  </si>
  <si>
    <t>FG01040_1</t>
  </si>
  <si>
    <t>FG01041</t>
  </si>
  <si>
    <t>FG01042</t>
  </si>
  <si>
    <t>FG01043</t>
  </si>
  <si>
    <t>FG01044</t>
  </si>
  <si>
    <t>FG01045</t>
  </si>
  <si>
    <t>FG01046</t>
  </si>
  <si>
    <t>FG01047</t>
  </si>
  <si>
    <t>FG01048</t>
  </si>
  <si>
    <t>FG01050</t>
  </si>
  <si>
    <t>FG01051</t>
  </si>
  <si>
    <t>FG01052</t>
  </si>
  <si>
    <t>FG01053</t>
  </si>
  <si>
    <t>FG01054</t>
  </si>
  <si>
    <t>FG01055</t>
  </si>
  <si>
    <t>FG01056</t>
  </si>
  <si>
    <t>FG01057</t>
  </si>
  <si>
    <t>FG01059</t>
  </si>
  <si>
    <t>FG01060</t>
  </si>
  <si>
    <t>FG01061</t>
  </si>
  <si>
    <t>FG01062</t>
  </si>
  <si>
    <t>FG01063</t>
  </si>
  <si>
    <t>FG01064</t>
  </si>
  <si>
    <t>FG01065</t>
  </si>
  <si>
    <t>FG01066</t>
  </si>
  <si>
    <t>FG01067</t>
  </si>
  <si>
    <t>FG01069</t>
  </si>
  <si>
    <t>FG01070</t>
  </si>
  <si>
    <t>FG01073</t>
  </si>
  <si>
    <t>FG01074</t>
  </si>
  <si>
    <t>FG01075</t>
  </si>
  <si>
    <t>FG01076</t>
  </si>
  <si>
    <t>FG01077</t>
  </si>
  <si>
    <t>FG01078</t>
  </si>
  <si>
    <t>FG01079</t>
  </si>
  <si>
    <t>FG01080</t>
  </si>
  <si>
    <t>FG01081</t>
  </si>
  <si>
    <t>FG01082</t>
  </si>
  <si>
    <t>FG01083</t>
  </si>
  <si>
    <t>FG01084</t>
  </si>
  <si>
    <t>FG01085</t>
  </si>
  <si>
    <t>FG01086</t>
  </si>
  <si>
    <t>FG01087</t>
  </si>
  <si>
    <t>FG01088</t>
  </si>
  <si>
    <t>FG01089</t>
  </si>
  <si>
    <t>FG01090</t>
  </si>
  <si>
    <t>FG01091</t>
  </si>
  <si>
    <t>FG01092</t>
  </si>
  <si>
    <t>FG01093</t>
  </si>
  <si>
    <t>FG01094</t>
  </si>
  <si>
    <t>FG01095</t>
  </si>
  <si>
    <t>FG01096</t>
  </si>
  <si>
    <t>FG01097</t>
  </si>
  <si>
    <t>FG01098</t>
  </si>
  <si>
    <t>FG01099</t>
  </si>
  <si>
    <t>FG01100</t>
  </si>
  <si>
    <t>FG01103</t>
  </si>
  <si>
    <t>FG01104</t>
  </si>
  <si>
    <t>FG01105</t>
  </si>
  <si>
    <t>FG01106</t>
  </si>
  <si>
    <t>FG01107</t>
  </si>
  <si>
    <t>FG01108</t>
  </si>
  <si>
    <t>FG01109_Updated</t>
  </si>
  <si>
    <t>FG01110_Updated</t>
  </si>
  <si>
    <t>FG01111</t>
  </si>
  <si>
    <t>FG01112</t>
  </si>
  <si>
    <t>FG01113</t>
  </si>
  <si>
    <t>FG01114</t>
  </si>
  <si>
    <t>FG01115</t>
  </si>
  <si>
    <t>FG01116</t>
  </si>
  <si>
    <t>FG01117</t>
  </si>
  <si>
    <t>FG01118</t>
  </si>
  <si>
    <t>FG01119</t>
  </si>
  <si>
    <t>FG01120</t>
  </si>
  <si>
    <t>FG01121</t>
  </si>
  <si>
    <t>FG01122</t>
  </si>
  <si>
    <t>FG01123</t>
  </si>
  <si>
    <t>FG01125</t>
  </si>
  <si>
    <t>FG01126</t>
  </si>
  <si>
    <t>FG01127</t>
  </si>
  <si>
    <t>FG01128</t>
  </si>
  <si>
    <t>FG01129</t>
  </si>
  <si>
    <t>FG01130</t>
  </si>
  <si>
    <t>FG01131</t>
  </si>
  <si>
    <t>FG01132</t>
  </si>
  <si>
    <t>FG01133</t>
  </si>
  <si>
    <t>FG01134</t>
  </si>
  <si>
    <t>FG01135</t>
  </si>
  <si>
    <t>FG01137</t>
  </si>
  <si>
    <t>FG01138</t>
  </si>
  <si>
    <t>FG01139</t>
  </si>
  <si>
    <t>FG01140</t>
  </si>
  <si>
    <t>FG01141</t>
  </si>
  <si>
    <t>FG01146</t>
  </si>
  <si>
    <t>FG01147</t>
  </si>
  <si>
    <t>FG01148</t>
  </si>
  <si>
    <t>FG01149</t>
  </si>
  <si>
    <t>FG01150</t>
  </si>
  <si>
    <t>FG0250A2</t>
  </si>
  <si>
    <t>FG0250TUL</t>
  </si>
  <si>
    <t>FG0250TURG</t>
  </si>
  <si>
    <t>FG05000A2</t>
  </si>
  <si>
    <t>FG0500A2</t>
  </si>
  <si>
    <t>FG0500FM</t>
  </si>
  <si>
    <t>FG0728</t>
  </si>
  <si>
    <t>FP0003</t>
  </si>
  <si>
    <t>FRESH_BUTTER</t>
  </si>
  <si>
    <t>Forest_150</t>
  </si>
  <si>
    <t>GHEE_ATTA_1</t>
  </si>
  <si>
    <t>GHEE_PEANUTBUTTER_GOND</t>
  </si>
  <si>
    <t>GHEE_PEANUTBUTTER_SATTU</t>
  </si>
  <si>
    <t>Ghe_2Kg</t>
  </si>
  <si>
    <t>HAMPER</t>
  </si>
  <si>
    <t>IN_TUR_GHEE_50ML</t>
  </si>
  <si>
    <t>MEFG00002</t>
  </si>
  <si>
    <t>MEFG00036</t>
  </si>
  <si>
    <t>MEFG00050</t>
  </si>
  <si>
    <t>MEFG00101</t>
  </si>
  <si>
    <t>MEFG00102</t>
  </si>
  <si>
    <t>MEFG00132</t>
  </si>
  <si>
    <t>MEFG00145</t>
  </si>
  <si>
    <t>MEFG00167</t>
  </si>
  <si>
    <t>MEFG00224</t>
  </si>
  <si>
    <t>MEFG00230</t>
  </si>
  <si>
    <t>MEFG00238</t>
  </si>
  <si>
    <t>MEFG00241</t>
  </si>
  <si>
    <t>MEFG00242</t>
  </si>
  <si>
    <t>MEFG00273</t>
  </si>
  <si>
    <t>MEFG00288</t>
  </si>
  <si>
    <t>MEFG00537</t>
  </si>
  <si>
    <t>MEFG00562</t>
  </si>
  <si>
    <t>MEFG00563</t>
  </si>
  <si>
    <t>MEFG00585</t>
  </si>
  <si>
    <t>MEFG00805</t>
  </si>
  <si>
    <t>MEFG00838</t>
  </si>
  <si>
    <t>MEFG00958</t>
  </si>
  <si>
    <t>MEFG00959</t>
  </si>
  <si>
    <t>MEFG00960</t>
  </si>
  <si>
    <t>Memories On A Plate</t>
  </si>
  <si>
    <t>PBCJ_100GM</t>
  </si>
  <si>
    <t>PM000001</t>
  </si>
  <si>
    <t>PM000002</t>
  </si>
  <si>
    <t>PM000003</t>
  </si>
  <si>
    <t>PM000004</t>
  </si>
  <si>
    <t>PM000005</t>
  </si>
  <si>
    <t>PM000006</t>
  </si>
  <si>
    <t>PM000007</t>
  </si>
  <si>
    <t>PM000008</t>
  </si>
  <si>
    <t>PM000009</t>
  </si>
  <si>
    <t>PM000012</t>
  </si>
  <si>
    <t>PM000014</t>
  </si>
  <si>
    <t>PM000020</t>
  </si>
  <si>
    <t>PM000021</t>
  </si>
  <si>
    <t>PM000022</t>
  </si>
  <si>
    <t>PM000024</t>
  </si>
  <si>
    <t>PM000025</t>
  </si>
  <si>
    <t>PM000026</t>
  </si>
  <si>
    <t>PM000029</t>
  </si>
  <si>
    <t>PM000031</t>
  </si>
  <si>
    <t>PM000032</t>
  </si>
  <si>
    <t>PM000033</t>
  </si>
  <si>
    <t>PM000034</t>
  </si>
  <si>
    <t>PM000035</t>
  </si>
  <si>
    <t>PM000036</t>
  </si>
  <si>
    <t>PM000039</t>
  </si>
  <si>
    <t>PM000041</t>
  </si>
  <si>
    <t>PM000042</t>
  </si>
  <si>
    <t>PM000043</t>
  </si>
  <si>
    <t>PM000044</t>
  </si>
  <si>
    <t>PM000046</t>
  </si>
  <si>
    <t>PM000048</t>
  </si>
  <si>
    <t>PM000049</t>
  </si>
  <si>
    <t>PM000050</t>
  </si>
  <si>
    <t>PM000051</t>
  </si>
  <si>
    <t>PM000052</t>
  </si>
  <si>
    <t>PM000053</t>
  </si>
  <si>
    <t>PM000054</t>
  </si>
  <si>
    <t>PM000055</t>
  </si>
  <si>
    <t>PM000056</t>
  </si>
  <si>
    <t>PM000057</t>
  </si>
  <si>
    <t>PM000058</t>
  </si>
  <si>
    <t>PM000059</t>
  </si>
  <si>
    <t>PM000060</t>
  </si>
  <si>
    <t>PM000061</t>
  </si>
  <si>
    <t>PM000062</t>
  </si>
  <si>
    <t>PM000063</t>
  </si>
  <si>
    <t>PM000065</t>
  </si>
  <si>
    <t>PM000066</t>
  </si>
  <si>
    <t>PM000067</t>
  </si>
  <si>
    <t>PM000068</t>
  </si>
  <si>
    <t>PM000069</t>
  </si>
  <si>
    <t>PM000070</t>
  </si>
  <si>
    <t>PM000071</t>
  </si>
  <si>
    <t>PM000072</t>
  </si>
  <si>
    <t>PM000073</t>
  </si>
  <si>
    <t>PM000074</t>
  </si>
  <si>
    <t>PM000075</t>
  </si>
  <si>
    <t>PM000076</t>
  </si>
  <si>
    <t>PM000077</t>
  </si>
  <si>
    <t>PM000078</t>
  </si>
  <si>
    <t>PM000080</t>
  </si>
  <si>
    <t>PM000082</t>
  </si>
  <si>
    <t>PM000083</t>
  </si>
  <si>
    <t>PM000084</t>
  </si>
  <si>
    <t>PM000087</t>
  </si>
  <si>
    <t>PM000088</t>
  </si>
  <si>
    <t>PM000089</t>
  </si>
  <si>
    <t>PM000090</t>
  </si>
  <si>
    <t>PM000092</t>
  </si>
  <si>
    <t>PM000093</t>
  </si>
  <si>
    <t>PM000094</t>
  </si>
  <si>
    <t>PM000095</t>
  </si>
  <si>
    <t>PM000096</t>
  </si>
  <si>
    <t>PM000097</t>
  </si>
  <si>
    <t>PM000098</t>
  </si>
  <si>
    <t>PM000099</t>
  </si>
  <si>
    <t>PM000100</t>
  </si>
  <si>
    <t>PM000101</t>
  </si>
  <si>
    <t>PM000102</t>
  </si>
  <si>
    <t>PM000103</t>
  </si>
  <si>
    <t>PM000104</t>
  </si>
  <si>
    <t>PM000105</t>
  </si>
  <si>
    <t>PM000106</t>
  </si>
  <si>
    <t>PM000107</t>
  </si>
  <si>
    <t>PM000108</t>
  </si>
  <si>
    <t>PM000109</t>
  </si>
  <si>
    <t>PM000110</t>
  </si>
  <si>
    <t>PM000111</t>
  </si>
  <si>
    <t>PM000112</t>
  </si>
  <si>
    <t>PM000113</t>
  </si>
  <si>
    <t>PM000114</t>
  </si>
  <si>
    <t>PM000116</t>
  </si>
  <si>
    <t>PM000118</t>
  </si>
  <si>
    <t>PM000120</t>
  </si>
  <si>
    <t>PM000121</t>
  </si>
  <si>
    <t>PM000122</t>
  </si>
  <si>
    <t>PM000123</t>
  </si>
  <si>
    <t>PM000124</t>
  </si>
  <si>
    <t>PM000130</t>
  </si>
  <si>
    <t>PM000131</t>
  </si>
  <si>
    <t>PM000132</t>
  </si>
  <si>
    <t>PM000134</t>
  </si>
  <si>
    <t>PM000135</t>
  </si>
  <si>
    <t>PM000137</t>
  </si>
  <si>
    <t>PM000138</t>
  </si>
  <si>
    <t>PM000140</t>
  </si>
  <si>
    <t>PM000141</t>
  </si>
  <si>
    <t>PM000142</t>
  </si>
  <si>
    <t>PM000143</t>
  </si>
  <si>
    <t>PM000147</t>
  </si>
  <si>
    <t>PM000149</t>
  </si>
  <si>
    <t>PM000150</t>
  </si>
  <si>
    <t>PM000151</t>
  </si>
  <si>
    <t>PM000152</t>
  </si>
  <si>
    <t>PM000153</t>
  </si>
  <si>
    <t>PM000154</t>
  </si>
  <si>
    <t>PM000155</t>
  </si>
  <si>
    <t>PM000156</t>
  </si>
  <si>
    <t>PM000157</t>
  </si>
  <si>
    <t>PM000158</t>
  </si>
  <si>
    <t>PM000159</t>
  </si>
  <si>
    <t>PM000160</t>
  </si>
  <si>
    <t>PM000161</t>
  </si>
  <si>
    <t>PM000162</t>
  </si>
  <si>
    <t>PM000163</t>
  </si>
  <si>
    <t>PM000164</t>
  </si>
  <si>
    <t>PM000165</t>
  </si>
  <si>
    <t>PM000167</t>
  </si>
  <si>
    <t>PM000168</t>
  </si>
  <si>
    <t>PM000169</t>
  </si>
  <si>
    <t>PM000170</t>
  </si>
  <si>
    <t>PM000174</t>
  </si>
  <si>
    <t>PM000175</t>
  </si>
  <si>
    <t>PM000176</t>
  </si>
  <si>
    <t>PM000177</t>
  </si>
  <si>
    <t>PM000178</t>
  </si>
  <si>
    <t>PM000180</t>
  </si>
  <si>
    <t>PM000184</t>
  </si>
  <si>
    <t>PM000185</t>
  </si>
  <si>
    <t>PM000186</t>
  </si>
  <si>
    <t>PM000187</t>
  </si>
  <si>
    <t>PM000188</t>
  </si>
  <si>
    <t>PM000190</t>
  </si>
  <si>
    <t>PM000192</t>
  </si>
  <si>
    <t>PM000193</t>
  </si>
  <si>
    <t>PM000194</t>
  </si>
  <si>
    <t>PM000195</t>
  </si>
  <si>
    <t>PM000196</t>
  </si>
  <si>
    <t>PM000197</t>
  </si>
  <si>
    <t>PM000201</t>
  </si>
  <si>
    <t>PM000202</t>
  </si>
  <si>
    <t>PM000203</t>
  </si>
  <si>
    <t>PM000205</t>
  </si>
  <si>
    <t>PM000208</t>
  </si>
  <si>
    <t>PM000209</t>
  </si>
  <si>
    <t>PM000214</t>
  </si>
  <si>
    <t>PM000216</t>
  </si>
  <si>
    <t>PM000217</t>
  </si>
  <si>
    <t>PM000220</t>
  </si>
  <si>
    <t>PM000221</t>
  </si>
  <si>
    <t>PM000222</t>
  </si>
  <si>
    <t>PM000223</t>
  </si>
  <si>
    <t>PM000224</t>
  </si>
  <si>
    <t>PM000225</t>
  </si>
  <si>
    <t>PM000226</t>
  </si>
  <si>
    <t>PM000229</t>
  </si>
  <si>
    <t>PM000230</t>
  </si>
  <si>
    <t>PM000231</t>
  </si>
  <si>
    <t>PM000232</t>
  </si>
  <si>
    <t>PM000237</t>
  </si>
  <si>
    <t>PM000238</t>
  </si>
  <si>
    <t>PM000239</t>
  </si>
  <si>
    <t>PM000241</t>
  </si>
  <si>
    <t>PM000242</t>
  </si>
  <si>
    <t>PM000243</t>
  </si>
  <si>
    <t>PM000244</t>
  </si>
  <si>
    <t>PM000250</t>
  </si>
  <si>
    <t>PM000251</t>
  </si>
  <si>
    <t>PM000254</t>
  </si>
  <si>
    <t>PM000260</t>
  </si>
  <si>
    <t>PM000264</t>
  </si>
  <si>
    <t>PM000271</t>
  </si>
  <si>
    <t>PM000272</t>
  </si>
  <si>
    <t>PM000274</t>
  </si>
  <si>
    <t>PM000275</t>
  </si>
  <si>
    <t>PM000281</t>
  </si>
  <si>
    <t>PM000282</t>
  </si>
  <si>
    <t>PM000284</t>
  </si>
  <si>
    <t>PM000292</t>
  </si>
  <si>
    <t>PM000293</t>
  </si>
  <si>
    <t>PM000294</t>
  </si>
  <si>
    <t>PM000295</t>
  </si>
  <si>
    <t>PM000296</t>
  </si>
  <si>
    <t>PM000300</t>
  </si>
  <si>
    <t>PM000301</t>
  </si>
  <si>
    <t>PM000303</t>
  </si>
  <si>
    <t>PM000304</t>
  </si>
  <si>
    <t>PM000305</t>
  </si>
  <si>
    <t>PM000310</t>
  </si>
  <si>
    <t>PM000312</t>
  </si>
  <si>
    <t>PM000313</t>
  </si>
  <si>
    <t>PM000315</t>
  </si>
  <si>
    <t>PM000316</t>
  </si>
  <si>
    <t>PM000317</t>
  </si>
  <si>
    <t>PM000319</t>
  </si>
  <si>
    <t>PM000321</t>
  </si>
  <si>
    <t>PM000323</t>
  </si>
  <si>
    <t>PM000326</t>
  </si>
  <si>
    <t>PM000327</t>
  </si>
  <si>
    <t>PM000329</t>
  </si>
  <si>
    <t>PM000331</t>
  </si>
  <si>
    <t>PM000332</t>
  </si>
  <si>
    <t>PM000333</t>
  </si>
  <si>
    <t>PM000334</t>
  </si>
  <si>
    <t>PM000335</t>
  </si>
  <si>
    <t>PM000336</t>
  </si>
  <si>
    <t>PM000337</t>
  </si>
  <si>
    <t>PM000338</t>
  </si>
  <si>
    <t>PM000339</t>
  </si>
  <si>
    <t>PM000342</t>
  </si>
  <si>
    <t>PM000343</t>
  </si>
  <si>
    <t>PM000344</t>
  </si>
  <si>
    <t>PM000345</t>
  </si>
  <si>
    <t>PM000347</t>
  </si>
  <si>
    <t>PM000350</t>
  </si>
  <si>
    <t>PM000351</t>
  </si>
  <si>
    <t>PM000353</t>
  </si>
  <si>
    <t>PM000354</t>
  </si>
  <si>
    <t>PM000358</t>
  </si>
  <si>
    <t>PM000359</t>
  </si>
  <si>
    <t>PM000360</t>
  </si>
  <si>
    <t>PM000361</t>
  </si>
  <si>
    <t>PM000362</t>
  </si>
  <si>
    <t>PM000366</t>
  </si>
  <si>
    <t>PM000369</t>
  </si>
  <si>
    <t>PM000373</t>
  </si>
  <si>
    <t>PM000374</t>
  </si>
  <si>
    <t>PM000375</t>
  </si>
  <si>
    <t>PM000376</t>
  </si>
  <si>
    <t>PM000377</t>
  </si>
  <si>
    <t>PM000378</t>
  </si>
  <si>
    <t>PM000379</t>
  </si>
  <si>
    <t>PM000380</t>
  </si>
  <si>
    <t>PM000381</t>
  </si>
  <si>
    <t>PM000382</t>
  </si>
  <si>
    <t>PM000383</t>
  </si>
  <si>
    <t>PM000384</t>
  </si>
  <si>
    <t>PM000385</t>
  </si>
  <si>
    <t>PM000386</t>
  </si>
  <si>
    <t>PM000394</t>
  </si>
  <si>
    <t>PM000395</t>
  </si>
  <si>
    <t>PM000396</t>
  </si>
  <si>
    <t>PM000397</t>
  </si>
  <si>
    <t>PM000398</t>
  </si>
  <si>
    <t>PM000401</t>
  </si>
  <si>
    <t>PM000402</t>
  </si>
  <si>
    <t>PM000403</t>
  </si>
  <si>
    <t>PM000404</t>
  </si>
  <si>
    <t>PM000405</t>
  </si>
  <si>
    <t>PM000406</t>
  </si>
  <si>
    <t>PM000407</t>
  </si>
  <si>
    <t>PM000408</t>
  </si>
  <si>
    <t>PM000409</t>
  </si>
  <si>
    <t>PM000411</t>
  </si>
  <si>
    <t>PM000414</t>
  </si>
  <si>
    <t>PM000415</t>
  </si>
  <si>
    <t>PM000416</t>
  </si>
  <si>
    <t>PM000419</t>
  </si>
  <si>
    <t>PM000420</t>
  </si>
  <si>
    <t>PM000421</t>
  </si>
  <si>
    <t>PM000422</t>
  </si>
  <si>
    <t>PM000423</t>
  </si>
  <si>
    <t>PM000424</t>
  </si>
  <si>
    <t>PM000425</t>
  </si>
  <si>
    <t>PM000426</t>
  </si>
  <si>
    <t>PM000427</t>
  </si>
  <si>
    <t>PM000428</t>
  </si>
  <si>
    <t>PM000433</t>
  </si>
  <si>
    <t>PM000434</t>
  </si>
  <si>
    <t>PM000435</t>
  </si>
  <si>
    <t>PM000436</t>
  </si>
  <si>
    <t>PM000437</t>
  </si>
  <si>
    <t>PM000438</t>
  </si>
  <si>
    <t>PM000439</t>
  </si>
  <si>
    <t>PM000440</t>
  </si>
  <si>
    <t>PM000442</t>
  </si>
  <si>
    <t>PM000443</t>
  </si>
  <si>
    <t>PM000444</t>
  </si>
  <si>
    <t>PM000446</t>
  </si>
  <si>
    <t>PM000447</t>
  </si>
  <si>
    <t>PM000448</t>
  </si>
  <si>
    <t>PM000449</t>
  </si>
  <si>
    <t>PM000450</t>
  </si>
  <si>
    <t>PM000451</t>
  </si>
  <si>
    <t>PM000452</t>
  </si>
  <si>
    <t>PM000454</t>
  </si>
  <si>
    <t>PM000455</t>
  </si>
  <si>
    <t>PM000456</t>
  </si>
  <si>
    <t>PM000461</t>
  </si>
  <si>
    <t>PM000462</t>
  </si>
  <si>
    <t>PM000466</t>
  </si>
  <si>
    <t>PM000470</t>
  </si>
  <si>
    <t>PM000471</t>
  </si>
  <si>
    <t>PM000474</t>
  </si>
  <si>
    <t>PM000475</t>
  </si>
  <si>
    <t>PM000476</t>
  </si>
  <si>
    <t>PM000495</t>
  </si>
  <si>
    <t>PM000496</t>
  </si>
  <si>
    <t>PM000497</t>
  </si>
  <si>
    <t>PM000504</t>
  </si>
  <si>
    <t>PM000505</t>
  </si>
  <si>
    <t>PM000515</t>
  </si>
  <si>
    <t>PM000520</t>
  </si>
  <si>
    <t>PM000521</t>
  </si>
  <si>
    <t>PM000530</t>
  </si>
  <si>
    <t>PM000540</t>
  </si>
  <si>
    <t>PM000550</t>
  </si>
  <si>
    <t>PM000552</t>
  </si>
  <si>
    <t>PM000553</t>
  </si>
  <si>
    <t>PM000554</t>
  </si>
  <si>
    <t>PM000555</t>
  </si>
  <si>
    <t>PM000556</t>
  </si>
  <si>
    <t>PM000557</t>
  </si>
  <si>
    <t>PM000558</t>
  </si>
  <si>
    <t>PM000560</t>
  </si>
  <si>
    <t>PM000561</t>
  </si>
  <si>
    <t>PM000562</t>
  </si>
  <si>
    <t>PM000568</t>
  </si>
  <si>
    <t>PM000574</t>
  </si>
  <si>
    <t>PM000575</t>
  </si>
  <si>
    <t>PM000576</t>
  </si>
  <si>
    <t>PM000577</t>
  </si>
  <si>
    <t>PM000578</t>
  </si>
  <si>
    <t>PM000581</t>
  </si>
  <si>
    <t>PM000582</t>
  </si>
  <si>
    <t>PM000583</t>
  </si>
  <si>
    <t>PM000584</t>
  </si>
  <si>
    <t>PM000585</t>
  </si>
  <si>
    <t>PM000586</t>
  </si>
  <si>
    <t>PM000587</t>
  </si>
  <si>
    <t>PM000588</t>
  </si>
  <si>
    <t>PM000589</t>
  </si>
  <si>
    <t>PM000590</t>
  </si>
  <si>
    <t>PM000592</t>
  </si>
  <si>
    <t>PM000593</t>
  </si>
  <si>
    <t>PM000594</t>
  </si>
  <si>
    <t>PM000595</t>
  </si>
  <si>
    <t>PM000596</t>
  </si>
  <si>
    <t>PM000597</t>
  </si>
  <si>
    <t>PM000598</t>
  </si>
  <si>
    <t>PM000599</t>
  </si>
  <si>
    <t>PM000600</t>
  </si>
  <si>
    <t>PM000601</t>
  </si>
  <si>
    <t>PM000606</t>
  </si>
  <si>
    <t>PM000607</t>
  </si>
  <si>
    <t>PM000609</t>
  </si>
  <si>
    <t>PM000610</t>
  </si>
  <si>
    <t>PM000614</t>
  </si>
  <si>
    <t>PM000615</t>
  </si>
  <si>
    <t>PM000616</t>
  </si>
  <si>
    <t>PM000617</t>
  </si>
  <si>
    <t>PM000618</t>
  </si>
  <si>
    <t>PM000626</t>
  </si>
  <si>
    <t>PM000627</t>
  </si>
  <si>
    <t>PM000628</t>
  </si>
  <si>
    <t>PM000629</t>
  </si>
  <si>
    <t>PM000630</t>
  </si>
  <si>
    <t>PM000631</t>
  </si>
  <si>
    <t>PM000632</t>
  </si>
  <si>
    <t>PM000633</t>
  </si>
  <si>
    <t>PM000636</t>
  </si>
  <si>
    <t>PM000637</t>
  </si>
  <si>
    <t>PM000638</t>
  </si>
  <si>
    <t>PM000639</t>
  </si>
  <si>
    <t>PM000640</t>
  </si>
  <si>
    <t>PM000641</t>
  </si>
  <si>
    <t>PM000642</t>
  </si>
  <si>
    <t>PM000643</t>
  </si>
  <si>
    <t>PM000644</t>
  </si>
  <si>
    <t>PM000645</t>
  </si>
  <si>
    <t>PM000646</t>
  </si>
  <si>
    <t>PM000647</t>
  </si>
  <si>
    <t>PM000648</t>
  </si>
  <si>
    <t>PM000649</t>
  </si>
  <si>
    <t>PM000650</t>
  </si>
  <si>
    <t>PM000651</t>
  </si>
  <si>
    <t>PM000652</t>
  </si>
  <si>
    <t>PM000653</t>
  </si>
  <si>
    <t>PM000654</t>
  </si>
  <si>
    <t>PM000655</t>
  </si>
  <si>
    <t>PM000656</t>
  </si>
  <si>
    <t>PM000657</t>
  </si>
  <si>
    <t>PM000658</t>
  </si>
  <si>
    <t>PM000659</t>
  </si>
  <si>
    <t>PM000660</t>
  </si>
  <si>
    <t>PM000661</t>
  </si>
  <si>
    <t>PM000662</t>
  </si>
  <si>
    <t>PM000663</t>
  </si>
  <si>
    <t>PM000664</t>
  </si>
  <si>
    <t>PM000665</t>
  </si>
  <si>
    <t>PM000666</t>
  </si>
  <si>
    <t>PM000667</t>
  </si>
  <si>
    <t>PM000668</t>
  </si>
  <si>
    <t>PM000669</t>
  </si>
  <si>
    <t>PM000670</t>
  </si>
  <si>
    <t>PM000671</t>
  </si>
  <si>
    <t>PM000672</t>
  </si>
  <si>
    <t>PM000673</t>
  </si>
  <si>
    <t>PM000674</t>
  </si>
  <si>
    <t>PM000675</t>
  </si>
  <si>
    <t>PM000676</t>
  </si>
  <si>
    <t>PM000677</t>
  </si>
  <si>
    <t>PM000678</t>
  </si>
  <si>
    <t>PM000679</t>
  </si>
  <si>
    <t>PM000680</t>
  </si>
  <si>
    <t>PM000681</t>
  </si>
  <si>
    <t>PM000682</t>
  </si>
  <si>
    <t>PM000683</t>
  </si>
  <si>
    <t>PM000684</t>
  </si>
  <si>
    <t>PM000685</t>
  </si>
  <si>
    <t>PM000686</t>
  </si>
  <si>
    <t>PM000687</t>
  </si>
  <si>
    <t>PM000688</t>
  </si>
  <si>
    <t>PM000689</t>
  </si>
  <si>
    <t>PM000690</t>
  </si>
  <si>
    <t>PM000691</t>
  </si>
  <si>
    <t>PM000692</t>
  </si>
  <si>
    <t>PM000693</t>
  </si>
  <si>
    <t>PM000694</t>
  </si>
  <si>
    <t>PM000695</t>
  </si>
  <si>
    <t>PM000696</t>
  </si>
  <si>
    <t>PM000697</t>
  </si>
  <si>
    <t>PM000698</t>
  </si>
  <si>
    <t>PM000699</t>
  </si>
  <si>
    <t>PM000700</t>
  </si>
  <si>
    <t>PM000701</t>
  </si>
  <si>
    <t>PM000702</t>
  </si>
  <si>
    <t>PM000703</t>
  </si>
  <si>
    <t>PM000704</t>
  </si>
  <si>
    <t>PM000705</t>
  </si>
  <si>
    <t>PM000706</t>
  </si>
  <si>
    <t>PM000707</t>
  </si>
  <si>
    <t>PM000708</t>
  </si>
  <si>
    <t>PM000709</t>
  </si>
  <si>
    <t>PM000710</t>
  </si>
  <si>
    <t>PM000711</t>
  </si>
  <si>
    <t>PM000712</t>
  </si>
  <si>
    <t>PM000713</t>
  </si>
  <si>
    <t>PM000714</t>
  </si>
  <si>
    <t>PM000715</t>
  </si>
  <si>
    <t>PM000716</t>
  </si>
  <si>
    <t>PM000717</t>
  </si>
  <si>
    <t>PM000718</t>
  </si>
  <si>
    <t>PM000719</t>
  </si>
  <si>
    <t>PM000720</t>
  </si>
  <si>
    <t>PM000721</t>
  </si>
  <si>
    <t>PM000722</t>
  </si>
  <si>
    <t>PM000723</t>
  </si>
  <si>
    <t>PM000724</t>
  </si>
  <si>
    <t>PM000725</t>
  </si>
  <si>
    <t>PM000726</t>
  </si>
  <si>
    <t>PM000727</t>
  </si>
  <si>
    <t>PM000728</t>
  </si>
  <si>
    <t>PM000729</t>
  </si>
  <si>
    <t>PM000730</t>
  </si>
  <si>
    <t>PM000731</t>
  </si>
  <si>
    <t>PM000732</t>
  </si>
  <si>
    <t>PM000733</t>
  </si>
  <si>
    <t>PM000734</t>
  </si>
  <si>
    <t>PM000735</t>
  </si>
  <si>
    <t>PM000736</t>
  </si>
  <si>
    <t>PM000737</t>
  </si>
  <si>
    <t>PM000738</t>
  </si>
  <si>
    <t>PM000739</t>
  </si>
  <si>
    <t>PM000740</t>
  </si>
  <si>
    <t>PM000741</t>
  </si>
  <si>
    <t>PM000742</t>
  </si>
  <si>
    <t>PM000743</t>
  </si>
  <si>
    <t>PM000744</t>
  </si>
  <si>
    <t>PM000745</t>
  </si>
  <si>
    <t>PM000746</t>
  </si>
  <si>
    <t>PM000747</t>
  </si>
  <si>
    <t>PM000748</t>
  </si>
  <si>
    <t>PM000749</t>
  </si>
  <si>
    <t>PM000750</t>
  </si>
  <si>
    <t>PM000751</t>
  </si>
  <si>
    <t>PM000752</t>
  </si>
  <si>
    <t>PM000753</t>
  </si>
  <si>
    <t>PM000754</t>
  </si>
  <si>
    <t>PM000755</t>
  </si>
  <si>
    <t>PM000756</t>
  </si>
  <si>
    <t>PM000758</t>
  </si>
  <si>
    <t>PM000759</t>
  </si>
  <si>
    <t>PM000760</t>
  </si>
  <si>
    <t>PM000761</t>
  </si>
  <si>
    <t>PM000762</t>
  </si>
  <si>
    <t>PM000763</t>
  </si>
  <si>
    <t>PM000764</t>
  </si>
  <si>
    <t>PM000765</t>
  </si>
  <si>
    <t>PM000766</t>
  </si>
  <si>
    <t>PM000767</t>
  </si>
  <si>
    <t>PM000768</t>
  </si>
  <si>
    <t>PM000769</t>
  </si>
  <si>
    <t>PM000770</t>
  </si>
  <si>
    <t>PM000771</t>
  </si>
  <si>
    <t>PM000772</t>
  </si>
  <si>
    <t>PM000773</t>
  </si>
  <si>
    <t>PM000774</t>
  </si>
  <si>
    <t>PM000775</t>
  </si>
  <si>
    <t>PM000776</t>
  </si>
  <si>
    <t>PM000777</t>
  </si>
  <si>
    <t>PM000778</t>
  </si>
  <si>
    <t>PM000779</t>
  </si>
  <si>
    <t>PM000780</t>
  </si>
  <si>
    <t>PM000781</t>
  </si>
  <si>
    <t>PM000782</t>
  </si>
  <si>
    <t>PM000783</t>
  </si>
  <si>
    <t>PM000784</t>
  </si>
  <si>
    <t>PM000785</t>
  </si>
  <si>
    <t>PM000786</t>
  </si>
  <si>
    <t>PM000787</t>
  </si>
  <si>
    <t>PM000788</t>
  </si>
  <si>
    <t>PM000789</t>
  </si>
  <si>
    <t>PM000790</t>
  </si>
  <si>
    <t>PM000791</t>
  </si>
  <si>
    <t>PM000792</t>
  </si>
  <si>
    <t>PM000793</t>
  </si>
  <si>
    <t>PM000794</t>
  </si>
  <si>
    <t>PM000795</t>
  </si>
  <si>
    <t>PM000796</t>
  </si>
  <si>
    <t>PM000797</t>
  </si>
  <si>
    <t>PM000798</t>
  </si>
  <si>
    <t>PM000799</t>
  </si>
  <si>
    <t>PM000800</t>
  </si>
  <si>
    <t>PM000801</t>
  </si>
  <si>
    <t>PM000802</t>
  </si>
  <si>
    <t>PM000803</t>
  </si>
  <si>
    <t>PM000804</t>
  </si>
  <si>
    <t>PM000805</t>
  </si>
  <si>
    <t>PM000806</t>
  </si>
  <si>
    <t>PM000807</t>
  </si>
  <si>
    <t>PM000808</t>
  </si>
  <si>
    <t>PM000809</t>
  </si>
  <si>
    <t>PM000810</t>
  </si>
  <si>
    <t>PM000811</t>
  </si>
  <si>
    <t>PM000812</t>
  </si>
  <si>
    <t>PM000813</t>
  </si>
  <si>
    <t>PM000814</t>
  </si>
  <si>
    <t>PM000815</t>
  </si>
  <si>
    <t>PM000816</t>
  </si>
  <si>
    <t>PM000817</t>
  </si>
  <si>
    <t>PM000818</t>
  </si>
  <si>
    <t>PM000819</t>
  </si>
  <si>
    <t>PM000820</t>
  </si>
  <si>
    <t>PM000821</t>
  </si>
  <si>
    <t>PM000822</t>
  </si>
  <si>
    <t>PM000823</t>
  </si>
  <si>
    <t>PM000824</t>
  </si>
  <si>
    <t>PM000825</t>
  </si>
  <si>
    <t>PM000826</t>
  </si>
  <si>
    <t>PM000827</t>
  </si>
  <si>
    <t>PM000828</t>
  </si>
  <si>
    <t>PM000829</t>
  </si>
  <si>
    <t>PM000830</t>
  </si>
  <si>
    <t>PM000831</t>
  </si>
  <si>
    <t>PM000832</t>
  </si>
  <si>
    <t>PM000833</t>
  </si>
  <si>
    <t>PM000834</t>
  </si>
  <si>
    <t>PM000835</t>
  </si>
  <si>
    <t>PM000836</t>
  </si>
  <si>
    <t>PM000837</t>
  </si>
  <si>
    <t>PM000838</t>
  </si>
  <si>
    <t>PM000839</t>
  </si>
  <si>
    <t>PM000840</t>
  </si>
  <si>
    <t>PM000841</t>
  </si>
  <si>
    <t>PM000842</t>
  </si>
  <si>
    <t>PM000843</t>
  </si>
  <si>
    <t>PM000844</t>
  </si>
  <si>
    <t>PM000845</t>
  </si>
  <si>
    <t>PM000846</t>
  </si>
  <si>
    <t>PM000847</t>
  </si>
  <si>
    <t>PM000848</t>
  </si>
  <si>
    <t>PM000849</t>
  </si>
  <si>
    <t>PM000850</t>
  </si>
  <si>
    <t>PM000851</t>
  </si>
  <si>
    <t>PM000852</t>
  </si>
  <si>
    <t>PM000853</t>
  </si>
  <si>
    <t>PM000854</t>
  </si>
  <si>
    <t>PM000855</t>
  </si>
  <si>
    <t>PM000856</t>
  </si>
  <si>
    <t>PM000857</t>
  </si>
  <si>
    <t>PM000858</t>
  </si>
  <si>
    <t>PM000859</t>
  </si>
  <si>
    <t>PM000860</t>
  </si>
  <si>
    <t>PM000861</t>
  </si>
  <si>
    <t>PM000862</t>
  </si>
  <si>
    <t>PM000863</t>
  </si>
  <si>
    <t>PM000864</t>
  </si>
  <si>
    <t>PM000865</t>
  </si>
  <si>
    <t>PM000866</t>
  </si>
  <si>
    <t>PM000867</t>
  </si>
  <si>
    <t>PM000868</t>
  </si>
  <si>
    <t>PM000869</t>
  </si>
  <si>
    <t>PM000870</t>
  </si>
  <si>
    <t>PM000871</t>
  </si>
  <si>
    <t>PM000872</t>
  </si>
  <si>
    <t>PM000873</t>
  </si>
  <si>
    <t>PM000874</t>
  </si>
  <si>
    <t>PM000875</t>
  </si>
  <si>
    <t>PM000876</t>
  </si>
  <si>
    <t>PM000877</t>
  </si>
  <si>
    <t>PM000878</t>
  </si>
  <si>
    <t>PM000879</t>
  </si>
  <si>
    <t>PM000880</t>
  </si>
  <si>
    <t>PM000881</t>
  </si>
  <si>
    <t>PM000882</t>
  </si>
  <si>
    <t>PM000883</t>
  </si>
  <si>
    <t>PM000884</t>
  </si>
  <si>
    <t>PM000885</t>
  </si>
  <si>
    <t>PM000886</t>
  </si>
  <si>
    <t>PM000887</t>
  </si>
  <si>
    <t>PM000888</t>
  </si>
  <si>
    <t>PM000889</t>
  </si>
  <si>
    <t>PM000890</t>
  </si>
  <si>
    <t>PM000891</t>
  </si>
  <si>
    <t>PM000892</t>
  </si>
  <si>
    <t>PM000893</t>
  </si>
  <si>
    <t>PM000894</t>
  </si>
  <si>
    <t>PM000895</t>
  </si>
  <si>
    <t>PM000896</t>
  </si>
  <si>
    <t>PM000897</t>
  </si>
  <si>
    <t>PM000898</t>
  </si>
  <si>
    <t>PM000899</t>
  </si>
  <si>
    <t>PM000900</t>
  </si>
  <si>
    <t>PM000901</t>
  </si>
  <si>
    <t>PM000902</t>
  </si>
  <si>
    <t>PM000903</t>
  </si>
  <si>
    <t>PM000904</t>
  </si>
  <si>
    <t>PM000905</t>
  </si>
  <si>
    <t>PM000906</t>
  </si>
  <si>
    <t>PM000907</t>
  </si>
  <si>
    <t>PM000908</t>
  </si>
  <si>
    <t>PM000909</t>
  </si>
  <si>
    <t>PM000910</t>
  </si>
  <si>
    <t>PM000911</t>
  </si>
  <si>
    <t>PM000912</t>
  </si>
  <si>
    <t>PM000913</t>
  </si>
  <si>
    <t>PM000914</t>
  </si>
  <si>
    <t>PM000915</t>
  </si>
  <si>
    <t>PM000916</t>
  </si>
  <si>
    <t>PM000917</t>
  </si>
  <si>
    <t>PM000918</t>
  </si>
  <si>
    <t>PM000919</t>
  </si>
  <si>
    <t>PM000920</t>
  </si>
  <si>
    <t>PM000921</t>
  </si>
  <si>
    <t>PM000922</t>
  </si>
  <si>
    <t>PM000923</t>
  </si>
  <si>
    <t>PM000924</t>
  </si>
  <si>
    <t>PM000925</t>
  </si>
  <si>
    <t>PM000926</t>
  </si>
  <si>
    <t>PM000927</t>
  </si>
  <si>
    <t>PM000928</t>
  </si>
  <si>
    <t>PM000929</t>
  </si>
  <si>
    <t>PM000930</t>
  </si>
  <si>
    <t>PM000931</t>
  </si>
  <si>
    <t>PM000932</t>
  </si>
  <si>
    <t>PM000933</t>
  </si>
  <si>
    <t>PM000934</t>
  </si>
  <si>
    <t>PM000935</t>
  </si>
  <si>
    <t>PM000936</t>
  </si>
  <si>
    <t>PM000937</t>
  </si>
  <si>
    <t>PM000938</t>
  </si>
  <si>
    <t>PM000939</t>
  </si>
  <si>
    <t>PM000940</t>
  </si>
  <si>
    <t>PM000941</t>
  </si>
  <si>
    <t>PM000942</t>
  </si>
  <si>
    <t>PM000943</t>
  </si>
  <si>
    <t>PM000944</t>
  </si>
  <si>
    <t>PM000945</t>
  </si>
  <si>
    <t>PM000946</t>
  </si>
  <si>
    <t>PM000947</t>
  </si>
  <si>
    <t>PM000948</t>
  </si>
  <si>
    <t>PM000949</t>
  </si>
  <si>
    <t>PM000950</t>
  </si>
  <si>
    <t>PM000951</t>
  </si>
  <si>
    <t>PM000952</t>
  </si>
  <si>
    <t>PM000953</t>
  </si>
  <si>
    <t>RM000004</t>
  </si>
  <si>
    <t>RM000005</t>
  </si>
  <si>
    <t>RM000006</t>
  </si>
  <si>
    <t>RM000013</t>
  </si>
  <si>
    <t>RM000014</t>
  </si>
  <si>
    <t>RM000015</t>
  </si>
  <si>
    <t>RM000016</t>
  </si>
  <si>
    <t>RM000018</t>
  </si>
  <si>
    <t>RM000019</t>
  </si>
  <si>
    <t>RM000020</t>
  </si>
  <si>
    <t>RM000021</t>
  </si>
  <si>
    <t>RM000022</t>
  </si>
  <si>
    <t>RM000024</t>
  </si>
  <si>
    <t>RM000028</t>
  </si>
  <si>
    <t>RM000029</t>
  </si>
  <si>
    <t>RM000032</t>
  </si>
  <si>
    <t>RM000038</t>
  </si>
  <si>
    <t>RM000046</t>
  </si>
  <si>
    <t>RM000051</t>
  </si>
  <si>
    <t>RM000054</t>
  </si>
  <si>
    <t>RM000059</t>
  </si>
  <si>
    <t>RM000061</t>
  </si>
  <si>
    <t>RM000064</t>
  </si>
  <si>
    <t>RM000065</t>
  </si>
  <si>
    <t>RM000066</t>
  </si>
  <si>
    <t>RM000067</t>
  </si>
  <si>
    <t>RM000068</t>
  </si>
  <si>
    <t>RM000069</t>
  </si>
  <si>
    <t>RM000070</t>
  </si>
  <si>
    <t>RM000072</t>
  </si>
  <si>
    <t>RM000073</t>
  </si>
  <si>
    <t>RM000074</t>
  </si>
  <si>
    <t>RM000075</t>
  </si>
  <si>
    <t>RM000076</t>
  </si>
  <si>
    <t>RM000079</t>
  </si>
  <si>
    <t>RM000087</t>
  </si>
  <si>
    <t>RM000089</t>
  </si>
  <si>
    <t>RM000090</t>
  </si>
  <si>
    <t>RM000091</t>
  </si>
  <si>
    <t>RM000092</t>
  </si>
  <si>
    <t>RM000092-C-39</t>
  </si>
  <si>
    <t>RM000093</t>
  </si>
  <si>
    <t>RM000096</t>
  </si>
  <si>
    <t>RM000097</t>
  </si>
  <si>
    <t>RM000099</t>
  </si>
  <si>
    <t>RM000100</t>
  </si>
  <si>
    <t>RM000107</t>
  </si>
  <si>
    <t>RM000110</t>
  </si>
  <si>
    <t>RM000111</t>
  </si>
  <si>
    <t>RM000113</t>
  </si>
  <si>
    <t>RM000116</t>
  </si>
  <si>
    <t>RM000117</t>
  </si>
  <si>
    <t>RM000118</t>
  </si>
  <si>
    <t>RM000119</t>
  </si>
  <si>
    <t>RM000120</t>
  </si>
  <si>
    <t>RM000121</t>
  </si>
  <si>
    <t>RM000122</t>
  </si>
  <si>
    <t>RM000124</t>
  </si>
  <si>
    <t>RM000129</t>
  </si>
  <si>
    <t>RM000130</t>
  </si>
  <si>
    <t>RM000133</t>
  </si>
  <si>
    <t>RM000136</t>
  </si>
  <si>
    <t>RM000137</t>
  </si>
  <si>
    <t>RM000138</t>
  </si>
  <si>
    <t>RM000143</t>
  </si>
  <si>
    <t>RM000147</t>
  </si>
  <si>
    <t>RM000149</t>
  </si>
  <si>
    <t>RM000152</t>
  </si>
  <si>
    <t>RM000153</t>
  </si>
  <si>
    <t>RM000155</t>
  </si>
  <si>
    <t>RM000156</t>
  </si>
  <si>
    <t>RM000158</t>
  </si>
  <si>
    <t>RM000159</t>
  </si>
  <si>
    <t>RM000161</t>
  </si>
  <si>
    <t>RM000162</t>
  </si>
  <si>
    <t>RM000163</t>
  </si>
  <si>
    <t>RM000165</t>
  </si>
  <si>
    <t>RM000167</t>
  </si>
  <si>
    <t>RM000168</t>
  </si>
  <si>
    <t>RM000170</t>
  </si>
  <si>
    <t>RM000171</t>
  </si>
  <si>
    <t>RM000172</t>
  </si>
  <si>
    <t>RM000173</t>
  </si>
  <si>
    <t>RM000174</t>
  </si>
  <si>
    <t>RM000177</t>
  </si>
  <si>
    <t>RM000178</t>
  </si>
  <si>
    <t>RM000180</t>
  </si>
  <si>
    <t>RM000182</t>
  </si>
  <si>
    <t>RM000183</t>
  </si>
  <si>
    <t>RM000184</t>
  </si>
  <si>
    <t>RM000186</t>
  </si>
  <si>
    <t>RM000189</t>
  </si>
  <si>
    <t>RM000191</t>
  </si>
  <si>
    <t>RM000192</t>
  </si>
  <si>
    <t>RM000194</t>
  </si>
  <si>
    <t>RM000195</t>
  </si>
  <si>
    <t>RM000196</t>
  </si>
  <si>
    <t>RM000198</t>
  </si>
  <si>
    <t>RM000199</t>
  </si>
  <si>
    <t>RM000200</t>
  </si>
  <si>
    <t>RM000201</t>
  </si>
  <si>
    <t>RM000202</t>
  </si>
  <si>
    <t>RM000203</t>
  </si>
  <si>
    <t>RM000204</t>
  </si>
  <si>
    <t>RM000205</t>
  </si>
  <si>
    <t>RM000206</t>
  </si>
  <si>
    <t>RM000211</t>
  </si>
  <si>
    <t>RM000213</t>
  </si>
  <si>
    <t>RM000214</t>
  </si>
  <si>
    <t>RM000215</t>
  </si>
  <si>
    <t>RM000217</t>
  </si>
  <si>
    <t>RM000218</t>
  </si>
  <si>
    <t>RM000222</t>
  </si>
  <si>
    <t>RM000223</t>
  </si>
  <si>
    <t>RM000225</t>
  </si>
  <si>
    <t>RM000226</t>
  </si>
  <si>
    <t>RM000228</t>
  </si>
  <si>
    <t>RM000229</t>
  </si>
  <si>
    <t>RM000230</t>
  </si>
  <si>
    <t>RM000231</t>
  </si>
  <si>
    <t>RM000232</t>
  </si>
  <si>
    <t>RM000233</t>
  </si>
  <si>
    <t>RM000234</t>
  </si>
  <si>
    <t>RM000235</t>
  </si>
  <si>
    <t>RM000236</t>
  </si>
  <si>
    <t>RM000237</t>
  </si>
  <si>
    <t>RM000238</t>
  </si>
  <si>
    <t>RM000239</t>
  </si>
  <si>
    <t>RM000240</t>
  </si>
  <si>
    <t>RM000241</t>
  </si>
  <si>
    <t>RM000242</t>
  </si>
  <si>
    <t>RM000243</t>
  </si>
  <si>
    <t>RM000244</t>
  </si>
  <si>
    <t>RM000245</t>
  </si>
  <si>
    <t>RM000246</t>
  </si>
  <si>
    <t>RM000247</t>
  </si>
  <si>
    <t>RM000248</t>
  </si>
  <si>
    <t>RM000249</t>
  </si>
  <si>
    <t>RM000250</t>
  </si>
  <si>
    <t>RM000252</t>
  </si>
  <si>
    <t>RM000253</t>
  </si>
  <si>
    <t>RM000254</t>
  </si>
  <si>
    <t>RM000255</t>
  </si>
  <si>
    <t>RM000256</t>
  </si>
  <si>
    <t>RM000257</t>
  </si>
  <si>
    <t>RM000258</t>
  </si>
  <si>
    <t>RM000259</t>
  </si>
  <si>
    <t>Sampoorna_basket</t>
  </si>
  <si>
    <t>Swaad_CT</t>
  </si>
  <si>
    <t>Swaad_HMP_Rajuchekuri</t>
  </si>
  <si>
    <t>Swaad_Hamper_ASG</t>
  </si>
  <si>
    <t>USFG00050</t>
  </si>
  <si>
    <t>USFG00123</t>
  </si>
  <si>
    <t>USFG00128</t>
  </si>
  <si>
    <t>USFG00239</t>
  </si>
  <si>
    <t>USFG00242</t>
  </si>
  <si>
    <t>USFG00585</t>
  </si>
  <si>
    <t>USFG00697</t>
  </si>
  <si>
    <t>USFG00698</t>
  </si>
  <si>
    <t>USFG00817</t>
  </si>
  <si>
    <t>sampoorna J</t>
  </si>
  <si>
    <t>Fill Rate %</t>
  </si>
  <si>
    <t>Today Pending Qty</t>
  </si>
  <si>
    <t>SOH</t>
  </si>
  <si>
    <t>Product_Name</t>
  </si>
  <si>
    <t>Fill_Rate_Pct</t>
  </si>
  <si>
    <t>Today_Pend_Qty</t>
  </si>
  <si>
    <t>Date</t>
  </si>
  <si>
    <t>Shift</t>
  </si>
  <si>
    <t>Nira Bhima Total</t>
  </si>
  <si>
    <t>Bhodani + Alephata +Jalgaon</t>
  </si>
  <si>
    <t xml:space="preserve">Gagargaon </t>
  </si>
  <si>
    <t>Indapur /MadhaTotal</t>
  </si>
  <si>
    <t>Total Milk</t>
  </si>
  <si>
    <t xml:space="preserve">Consum Milk Butter for mumbai order </t>
  </si>
  <si>
    <t>Milk for Ghee Process</t>
  </si>
  <si>
    <t>Ghee Produced</t>
  </si>
  <si>
    <t>Ghee Average</t>
  </si>
  <si>
    <t>E</t>
  </si>
  <si>
    <t>M</t>
  </si>
  <si>
    <t>Search Product:</t>
  </si>
  <si>
    <t>(Type product name to filter - leave blank to show all)</t>
  </si>
  <si>
    <t>COMPLETE PRODUCT LIST (Source Data)</t>
  </si>
  <si>
    <t>Domestic</t>
  </si>
  <si>
    <t>Amazon USA Air</t>
  </si>
  <si>
    <t>Total Pending</t>
  </si>
  <si>
    <t>Total Pending (RM/KG)</t>
  </si>
  <si>
    <t>Total Production (PKT)</t>
  </si>
  <si>
    <t>FILTERED RESULTS</t>
  </si>
  <si>
    <t>FGCode</t>
  </si>
  <si>
    <t>PriorityRank</t>
  </si>
  <si>
    <t>IsCritical</t>
  </si>
  <si>
    <t>DOHBucket</t>
  </si>
  <si>
    <t>FillRateBucket</t>
  </si>
  <si>
    <t>DayIndex</t>
  </si>
  <si>
    <t>DayOfMonth</t>
  </si>
  <si>
    <t>MonthLabel</t>
  </si>
  <si>
    <t>IsElapsed</t>
  </si>
  <si>
    <t>DailyProducedPKT</t>
  </si>
  <si>
    <t>EvenPaceTargetPKT</t>
  </si>
  <si>
    <t>IsSKURow</t>
  </si>
  <si>
    <t>PlanPKT</t>
  </si>
  <si>
    <t>ProducedPKT</t>
  </si>
  <si>
    <t>PendingPKT</t>
  </si>
  <si>
    <t>SOHCentralWH</t>
  </si>
  <si>
    <t>PlanMRPDomestic</t>
  </si>
  <si>
    <t>PlanROWManjari</t>
  </si>
  <si>
    <t>PlanUSASea</t>
  </si>
  <si>
    <t>PlanAmazonUSASea</t>
  </si>
  <si>
    <t>PlanUSAAir</t>
  </si>
  <si>
    <t>PlanUSAAmazon</t>
  </si>
  <si>
    <t>PlanUK</t>
  </si>
  <si>
    <t>PlanMENA</t>
  </si>
  <si>
    <t>RiskScore</t>
  </si>
  <si>
    <t>SrcRow</t>
  </si>
  <si>
    <t>ProductFamily</t>
  </si>
  <si>
    <t>4-7 days</t>
  </si>
  <si>
    <t>25-50%</t>
  </si>
  <si>
    <t>WIP | Roll form NA</t>
  </si>
  <si>
    <t>7+ days</t>
  </si>
  <si>
    <t>0-25%</t>
  </si>
  <si>
    <t>0 | PM Available | Done</t>
  </si>
  <si>
    <t>1-3 days</t>
  </si>
  <si>
    <t>Done | Roll form NA</t>
  </si>
  <si>
    <t>P2 – high</t>
  </si>
  <si>
    <t>WIP | WIP | PM Not Available</t>
  </si>
  <si>
    <t>0 days</t>
  </si>
  <si>
    <t>100%+</t>
  </si>
  <si>
    <t>80-100%</t>
  </si>
  <si>
    <t>FillRate</t>
  </si>
  <si>
    <t>POWER BI — GHEE SOURCE TABLES</t>
  </si>
  <si>
    <t>Use these exactly like the Non-Ghee BI tabs.</t>
  </si>
  <si>
    <t>Table</t>
  </si>
  <si>
    <t>tbl_Ghee_BI_Data</t>
  </si>
  <si>
    <t>One row per SKU per production day. Same core columns as Non-Ghee tbl_BI_Data, plus ProductFamily = Ghee.</t>
  </si>
  <si>
    <t>tbl_Ghee_BI_Channel</t>
  </si>
  <si>
    <t>One row per SKU per channel. Already long format; use for Channel slicers and channel bridge visuals.</t>
  </si>
  <si>
    <t>Grain</t>
  </si>
  <si>
    <t>BI_Data = SKU × day. BI_Channel = SKU × channel.</t>
  </si>
  <si>
    <t>Merge key</t>
  </si>
  <si>
    <t>Use FGCode as SKU key. Keep ProductFamily or Section as a filter so Ghee and Non-Ghee can be compared together.</t>
  </si>
  <si>
    <t>Suggested DAX measures</t>
  </si>
  <si>
    <t>= SUM ( tbl_Ghee_BI_Data[PlanPKT] )</t>
  </si>
  <si>
    <t>Total Produced</t>
  </si>
  <si>
    <t>= SUM ( tbl_Ghee_BI_Data[ProducedPKT] )</t>
  </si>
  <si>
    <t>= SUM ( tbl_Ghee_BI_Data[PendingPKT] )</t>
  </si>
  <si>
    <t>= DIVIDE ( [Total Produced], [Total Plan] )</t>
  </si>
  <si>
    <t>= CALCULATE ( COUNTROWS ( tbl_Ghee_BI_Data ), tbl_Ghee_BI_Data[IsSKURow] = 1, tbl_Ghee_BI_Data[PendingPKT] &gt; 0 )</t>
  </si>
  <si>
    <t>= CALCULATE ( COUNTROWS ( tbl_Ghee_BI_Data ), tbl_Ghee_BI_Data[IsSKURow] = 1, tbl_Ghee_BI_Data[IsCritical] = 1, tbl_Ghee_BI_Data[PendingPKT] &gt; 0 )</t>
  </si>
  <si>
    <t>Run Rate per Day</t>
  </si>
  <si>
    <t>= DIVIDE ( [Total Produced], CALCULATE ( DISTINCTCOUNT ( tbl_Ghee_BI_Data[Date] ), tbl_Ghee_BI_Data[IsElapsed] = 1 ) )</t>
  </si>
  <si>
    <t>Required Run Rate</t>
  </si>
  <si>
    <t>= DIVIDE ( [Total Pending], CALCULATE ( DISTINCTCOUNT ( tbl_Ghee_BI_Data[Date] ), tbl_Ghee_BI_Data[IsElapsed] = 0 ) )</t>
  </si>
  <si>
    <t>How to merge with Non-Ghee in Power BI</t>
  </si>
  <si>
    <t>1) Load Non-Ghee tbl_BI_Data and this tbl_Ghee_BI_Data. 2) In Power Query, add ProductFamily = "Non-Ghee" to Non-Ghee if missing. 3) Append Queries as New → Combined_BI_Data. 4) Repeat for tbl_BI_Channel → Combined_BI_Channel. 5) Build visuals from the combined tables.</t>
  </si>
  <si>
    <t>Recommended model</t>
  </si>
  <si>
    <t>FactDaily = appended BI_Data; FactChannel = appended BI_Channel; DimSKU = distinct FGCode/Product/Section/ProductFamily; DimDate = date table linked to FactDaily[Date]; DimChannel = distinct channel list linked to FactChannel[Channel].</t>
  </si>
  <si>
    <t>Important</t>
  </si>
  <si>
    <t>Do not unpivot tbl_Ghee_BI_Channel; it is already in long format. For BI_Data, channel plans remain wide to match the Non-Ghee template.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</si>
</sst>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&quot; &quot;* #,##0&quot; &quot;;&quot; &quot;* &quot;(&quot;#,##0&quot;)&quot;;&quot; &quot;* &quot;-&quot;#&quot; &quot;;&quot; &quot;@&quot; &quot;"/>
    <numFmt numFmtId="165" formatCode="#,##0.0"/>
    <numFmt numFmtId="166" formatCode="#,##0;&quot;(&quot;#,##0&quot;)&quot;;&quot;-&quot;"/>
    <numFmt numFmtId="167" formatCode="0.0%"/>
    <numFmt numFmtId="168" formatCode="#,##0.0;&quot;(&quot;#,##0.0&quot;)&quot;;&quot;-&quot;"/>
    <numFmt numFmtId="169" formatCode="&quot; &quot;* #,##0.00&quot; &quot;;&quot; &quot;* &quot;(&quot;#,##0.00&quot;)&quot;;&quot; &quot;* &quot;-&quot;#&quot; &quot;;&quot; &quot;@&quot; &quot;"/>
    <numFmt numFmtId="170" formatCode="0.0"/>
    <numFmt numFmtId="171" formatCode="mmm\-yy"/>
    <numFmt numFmtId="172" formatCode="yyyy\-mm\-dd"/>
    <numFmt numFmtId="173" formatCode="d/mmm"/>
    <numFmt numFmtId="174" formatCode="[$-409]d\-mmm\-yy;@"/>
    <numFmt numFmtId="175" formatCode="[$-409]d\-mmm;@"/>
  </numFmts>
  <fonts count="51"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9C0006"/>
      <name val="Arial"/>
      <family val="2"/>
    </font>
    <font>
      <sz val="10"/>
      <color rgb="FF006100"/>
      <name val="Arial"/>
      <family val="2"/>
    </font>
    <font>
      <sz val="10"/>
      <color rgb="FF9C5700"/>
      <name val="Arial"/>
      <family val="2"/>
    </font>
    <font>
      <b/>
      <sz val="10"/>
      <color rgb="FF9C0006"/>
      <name val="Arial"/>
      <family val="2"/>
    </font>
    <font>
      <b/>
      <sz val="10"/>
      <color rgb="FF9C5700"/>
      <name val="Arial"/>
      <family val="2"/>
    </font>
    <font>
      <b/>
      <sz val="18"/>
      <color rgb="FFFFFFFF"/>
      <name val="Aptos"/>
      <family val="2"/>
    </font>
    <font>
      <sz val="10"/>
      <color rgb="FF666666"/>
      <name val="Aptos"/>
      <family val="2"/>
    </font>
    <font>
      <b/>
      <sz val="10"/>
      <color rgb="FF000000"/>
      <name val="Aptos"/>
      <family val="2"/>
    </font>
    <font>
      <b/>
      <sz val="10"/>
      <color rgb="FF0000FF"/>
      <name val="Aptos"/>
      <family val="2"/>
    </font>
    <font>
      <sz val="10"/>
      <color rgb="FF000000"/>
      <name val="Aptos"/>
      <family val="2"/>
    </font>
    <font>
      <b/>
      <sz val="10"/>
      <color rgb="FFFFFFFF"/>
      <name val="Aptos"/>
      <family val="2"/>
    </font>
    <font>
      <b/>
      <sz val="18"/>
      <color rgb="FF000000"/>
      <name val="Aptos"/>
      <family val="2"/>
    </font>
    <font>
      <sz val="10"/>
      <color rgb="FF333333"/>
      <name val="Aptos"/>
      <family val="2"/>
    </font>
    <font>
      <sz val="9"/>
      <color rgb="FF000000"/>
      <name val="Aptos"/>
      <family val="2"/>
    </font>
    <font>
      <b/>
      <sz val="14"/>
      <color rgb="FFFFFFFF"/>
      <name val="Aptos"/>
      <family val="2"/>
    </font>
    <font>
      <b/>
      <sz val="11"/>
      <color rgb="FFFFFFFF"/>
      <name val="Aptos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sz val="14"/>
      <color rgb="FF000000"/>
      <name val="Aptos"/>
      <family val="2"/>
    </font>
    <font>
      <b/>
      <sz val="12"/>
      <color rgb="FF000000"/>
      <name val="Times New Roman"/>
      <family val="1"/>
    </font>
    <font>
      <b/>
      <sz val="12"/>
      <color rgb="FF000000"/>
      <name val="&quot;Times New Roman&quot;"/>
    </font>
    <font>
      <b/>
      <sz val="11"/>
      <color rgb="FF000000"/>
      <name val="Times New Roman"/>
      <family val="1"/>
    </font>
    <font>
      <sz val="14"/>
      <color rgb="FF000000"/>
      <name val="Times New Roman"/>
      <family val="1"/>
    </font>
    <font>
      <sz val="14"/>
      <color rgb="FF262626"/>
      <name val="&quot;Times New Roman&quot;"/>
    </font>
    <font>
      <sz val="11"/>
      <color rgb="FF000000"/>
      <name val="Calibri"/>
      <family val="2"/>
    </font>
    <font>
      <sz val="12"/>
      <color rgb="FF000000"/>
      <name val="&quot;Times New Roman&quot;"/>
    </font>
    <font>
      <sz val="12"/>
      <color rgb="FF000000"/>
      <name val="Times New Roman"/>
      <family val="1"/>
    </font>
    <font>
      <b/>
      <sz val="12"/>
      <color rgb="FFFF0000"/>
      <name val="Times New Roman"/>
      <family val="1"/>
    </font>
    <font>
      <sz val="12"/>
      <color rgb="FF000000"/>
      <name val="Arial"/>
      <family val="2"/>
    </font>
    <font>
      <b/>
      <sz val="12"/>
      <color rgb="FF000000"/>
      <name val="Arial Black"/>
      <family val="2"/>
    </font>
    <font>
      <b/>
      <sz val="16"/>
      <color rgb="FF000000"/>
      <name val="Times New Roman"/>
      <family val="1"/>
    </font>
    <font>
      <b/>
      <sz val="18"/>
      <color rgb="FF000000"/>
      <name val="&quot;Times New Roman&quot;"/>
    </font>
    <font>
      <b/>
      <sz val="11"/>
      <color rgb="FFFFFFFF"/>
      <name val="Times New Roman"/>
      <family val="1"/>
    </font>
    <font>
      <b/>
      <sz val="12"/>
      <color rgb="FF000000"/>
      <name val="Aptos Narrow"/>
      <family val="2"/>
    </font>
    <font>
      <b/>
      <sz val="11"/>
      <color rgb="FF000000"/>
      <name val="Calibri"/>
      <family val="2"/>
    </font>
    <font>
      <b/>
      <sz val="10"/>
      <color rgb="FF000000"/>
      <name val="Arial"/>
      <family val="2"/>
    </font>
    <font>
      <b/>
      <sz val="14"/>
      <color rgb="FF000000"/>
      <name val="Times New Roman"/>
      <family val="1"/>
    </font>
    <font>
      <b/>
      <sz val="14"/>
      <color rgb="FF000000"/>
      <name val="&quot;Times New Roman&quot;"/>
    </font>
    <font>
      <sz val="11"/>
      <color rgb="FF000000"/>
      <name val="&quot;Times New Roman&quot;"/>
    </font>
    <font>
      <b/>
      <sz val="11"/>
      <color rgb="FF000000"/>
      <name val="&quot;Times New Roman&quot;"/>
    </font>
    <font>
      <sz val="11"/>
      <color rgb="FF000000"/>
      <name val="Arial"/>
      <family val="2"/>
    </font>
    <font>
      <sz val="14"/>
      <color rgb="FF000000"/>
      <name val="&quot;Times New Roman&quot;"/>
    </font>
    <font>
      <b/>
      <sz val="14"/>
      <color rgb="FFFF0000"/>
      <name val="Times New Roman"/>
      <family val="1"/>
    </font>
    <font>
      <b/>
      <sz val="14"/>
      <color rgb="FF000000"/>
      <name val="Arial Black"/>
      <family val="2"/>
    </font>
    <font>
      <sz val="14"/>
      <color rgb="FF000000"/>
      <name val="Arial"/>
      <family val="2"/>
    </font>
    <font>
      <b/>
      <sz val="10"/>
      <color rgb="FFFFFFFF"/>
      <name val="Arial"/>
      <family val="2"/>
    </font>
    <font>
      <i/>
      <sz val="10"/>
      <color rgb="FF666666"/>
      <name val="Arial"/>
      <family val="2"/>
    </font>
    <font>
      <b/>
      <sz val="11"/>
      <color rgb="FF1F4E79"/>
      <name val="Arial"/>
      <family val="2"/>
    </font>
    <font>
      <b/>
      <sz val="12"/>
      <color rgb="FF1F4E79"/>
      <name val="Arial"/>
      <family val="2"/>
    </font>
  </fonts>
  <fills count="43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17365D"/>
        <bgColor rgb="FF17365D"/>
      </patternFill>
    </fill>
    <fill>
      <patternFill patternType="solid">
        <fgColor rgb="FFFFF2CC"/>
        <bgColor rgb="FFFFF2CC"/>
      </patternFill>
    </fill>
    <fill>
      <patternFill patternType="solid">
        <fgColor rgb="FF5B9BD5"/>
        <bgColor rgb="FF5B9BD5"/>
      </patternFill>
    </fill>
    <fill>
      <patternFill patternType="solid">
        <fgColor rgb="FFD9EAF7"/>
        <bgColor rgb="FFD9EAF7"/>
      </patternFill>
    </fill>
    <fill>
      <patternFill patternType="solid">
        <fgColor rgb="FFF2F2F2"/>
        <bgColor rgb="FFF2F2F2"/>
      </patternFill>
    </fill>
    <fill>
      <patternFill patternType="solid">
        <fgColor rgb="FF70AD47"/>
        <bgColor rgb="FF70AD47"/>
      </patternFill>
    </fill>
    <fill>
      <patternFill patternType="solid">
        <fgColor rgb="FFEAF1FB"/>
        <bgColor rgb="FFEAF1FB"/>
      </patternFill>
    </fill>
    <fill>
      <patternFill patternType="solid">
        <fgColor rgb="FF4472C4"/>
        <bgColor rgb="FF4472C4"/>
      </patternFill>
    </fill>
    <fill>
      <patternFill patternType="solid">
        <fgColor rgb="FF1F4E78"/>
        <bgColor rgb="FF1F4E78"/>
      </patternFill>
    </fill>
    <fill>
      <patternFill patternType="solid">
        <fgColor rgb="FFE7F0DE"/>
        <bgColor rgb="FFE7F0DE"/>
      </patternFill>
    </fill>
    <fill>
      <patternFill patternType="solid">
        <fgColor rgb="FFF2F7FB"/>
        <bgColor rgb="FFF2F7FB"/>
      </patternFill>
    </fill>
    <fill>
      <patternFill patternType="solid">
        <fgColor rgb="FFE2F0D9"/>
        <bgColor rgb="FFE2F0D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  <fill>
      <patternFill patternType="solid">
        <fgColor rgb="FFD5A6BD"/>
        <bgColor rgb="FFD5A6BD"/>
      </patternFill>
    </fill>
    <fill>
      <patternFill patternType="solid">
        <fgColor rgb="FFB5E6A2"/>
        <bgColor rgb="FFB5E6A2"/>
      </patternFill>
    </fill>
    <fill>
      <patternFill patternType="solid">
        <fgColor rgb="FFF4B084"/>
        <bgColor rgb="FFF4B084"/>
      </patternFill>
    </fill>
    <fill>
      <patternFill patternType="solid">
        <fgColor rgb="FFFBDAD7"/>
        <bgColor rgb="FFFBDAD7"/>
      </patternFill>
    </fill>
    <fill>
      <patternFill patternType="solid">
        <fgColor rgb="FFFFB300"/>
        <bgColor rgb="FFFFB300"/>
      </patternFill>
    </fill>
    <fill>
      <patternFill patternType="solid">
        <fgColor rgb="FF6D9EEB"/>
        <bgColor rgb="FF6D9EEB"/>
      </patternFill>
    </fill>
    <fill>
      <patternFill patternType="solid">
        <fgColor rgb="FFD9EAD3"/>
        <bgColor rgb="FFD9EAD3"/>
      </patternFill>
    </fill>
    <fill>
      <patternFill patternType="solid">
        <fgColor rgb="FFEA9999"/>
        <bgColor rgb="FFEA9999"/>
      </patternFill>
    </fill>
    <fill>
      <patternFill patternType="solid">
        <fgColor rgb="FFFF6D01"/>
        <bgColor rgb="FFFF6D01"/>
      </patternFill>
    </fill>
    <fill>
      <patternFill patternType="solid">
        <fgColor rgb="FFDDEBF7"/>
        <bgColor rgb="FFDDEBF7"/>
      </patternFill>
    </fill>
    <fill>
      <patternFill patternType="solid">
        <fgColor rgb="FF93C47D"/>
        <bgColor rgb="FF93C47D"/>
      </patternFill>
    </fill>
    <fill>
      <patternFill patternType="solid">
        <fgColor rgb="FFEAF3F8"/>
        <bgColor rgb="FFEAF3F8"/>
      </patternFill>
    </fill>
    <fill>
      <patternFill patternType="solid">
        <fgColor rgb="FF46BDC6"/>
        <bgColor rgb="FF46BDC6"/>
      </patternFill>
    </fill>
    <fill>
      <patternFill patternType="solid">
        <fgColor rgb="FFFEF2CB"/>
        <bgColor rgb="FFFEF2CB"/>
      </patternFill>
    </fill>
    <fill>
      <patternFill patternType="solid">
        <fgColor rgb="FFD1F1DA"/>
        <bgColor rgb="FFD1F1DA"/>
      </patternFill>
    </fill>
    <fill>
      <patternFill patternType="solid">
        <fgColor rgb="FFFFE1CC"/>
        <bgColor rgb="FFFFE1CC"/>
      </patternFill>
    </fill>
    <fill>
      <patternFill patternType="solid">
        <fgColor rgb="FF76A5AF"/>
        <bgColor rgb="FF76A5AF"/>
      </patternFill>
    </fill>
    <fill>
      <patternFill patternType="solid">
        <fgColor rgb="FFD9E7FD"/>
        <bgColor rgb="FFD9E7FD"/>
      </patternFill>
    </fill>
    <fill>
      <patternFill patternType="solid">
        <fgColor rgb="FFFFFFD9"/>
        <bgColor rgb="FFFFFFD9"/>
      </patternFill>
    </fill>
    <fill>
      <patternFill patternType="solid">
        <fgColor rgb="FF305496"/>
        <bgColor rgb="FF305496"/>
      </patternFill>
    </fill>
  </fills>
  <borders count="33">
    <border>
      <left/>
      <right/>
      <top/>
      <bottom/>
      <diagonal/>
    </border>
    <border>
      <left style="thin">
        <color rgb="FFBFBFB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BFBFBF"/>
      </right>
      <top style="thin">
        <color rgb="FF000000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000000"/>
      </top>
      <bottom style="thin">
        <color rgb="FFBFBFBF"/>
      </bottom>
      <diagonal/>
    </border>
    <border>
      <left style="thin">
        <color rgb="FFBFBFBF"/>
      </left>
      <right style="thin">
        <color rgb="FF000000"/>
      </right>
      <top style="thin">
        <color rgb="FF000000"/>
      </top>
      <bottom style="thin">
        <color rgb="FFBFBFBF"/>
      </bottom>
      <diagonal/>
    </border>
    <border>
      <left style="thin">
        <color rgb="FF000000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000000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BFBFBF"/>
      </right>
      <top style="thin">
        <color rgb="FFBFBFBF"/>
      </top>
      <bottom style="thin">
        <color rgb="FF1F4E78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1F4E78"/>
      </bottom>
      <diagonal/>
    </border>
    <border>
      <left style="thin">
        <color rgb="FFBFBFBF"/>
      </left>
      <right style="thin">
        <color rgb="FF000000"/>
      </right>
      <top style="thin">
        <color rgb="FFBFBFBF"/>
      </top>
      <bottom style="thin">
        <color rgb="FF1F4E78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</borders>
  <cellStyleXfs count="10">
    <xf numFmtId="0" fontId="0" fillId="0" borderId="0"/>
    <xf numFmtId="16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1" fillId="5" borderId="0" applyNumberFormat="0" applyFont="0" applyBorder="0" applyAlignment="0" applyProtection="0"/>
    <xf numFmtId="0" fontId="5" fillId="6" borderId="0" applyNumberFormat="0" applyBorder="0" applyAlignment="0" applyProtection="0"/>
    <xf numFmtId="0" fontId="6" fillId="7" borderId="0" applyNumberFormat="0" applyBorder="0" applyAlignment="0" applyProtection="0"/>
  </cellStyleXfs>
  <cellXfs count="357">
    <xf numFmtId="0" fontId="0" fillId="0" borderId="0" xfId="0"/>
    <xf numFmtId="0" fontId="11" fillId="0" borderId="0" xfId="0" applyFont="1"/>
    <xf numFmtId="0" fontId="12" fillId="8" borderId="0" xfId="0" applyFont="1" applyFill="1" applyAlignment="1">
      <alignment horizontal="center" wrapText="1"/>
    </xf>
    <xf numFmtId="0" fontId="11" fillId="0" borderId="0" xfId="0" applyFont="1" applyAlignment="1">
      <alignment horizontal="left"/>
    </xf>
    <xf numFmtId="3" fontId="11" fillId="0" borderId="0" xfId="0" applyNumberFormat="1" applyFont="1"/>
    <xf numFmtId="9" fontId="11" fillId="0" borderId="0" xfId="0" applyNumberFormat="1" applyFont="1" applyAlignment="1">
      <alignment horizontal="center"/>
    </xf>
    <xf numFmtId="9" fontId="11" fillId="0" borderId="0" xfId="0" applyNumberFormat="1" applyFont="1"/>
    <xf numFmtId="0" fontId="15" fillId="0" borderId="0" xfId="0" applyFont="1"/>
    <xf numFmtId="3" fontId="15" fillId="0" borderId="0" xfId="0" applyNumberFormat="1" applyFont="1"/>
    <xf numFmtId="9" fontId="15" fillId="0" borderId="0" xfId="0" applyNumberFormat="1" applyFont="1"/>
    <xf numFmtId="170" fontId="15" fillId="0" borderId="0" xfId="0" applyNumberFormat="1" applyFont="1"/>
    <xf numFmtId="0" fontId="11" fillId="0" borderId="2" xfId="0" applyFont="1" applyBorder="1"/>
    <xf numFmtId="1" fontId="10" fillId="9" borderId="2" xfId="0" applyNumberFormat="1" applyFont="1" applyFill="1" applyBorder="1" applyAlignment="1">
      <alignment horizontal="right"/>
    </xf>
    <xf numFmtId="1" fontId="11" fillId="0" borderId="2" xfId="0" applyNumberFormat="1" applyFont="1" applyBorder="1" applyAlignment="1">
      <alignment horizontal="right"/>
    </xf>
    <xf numFmtId="3" fontId="11" fillId="0" borderId="2" xfId="0" applyNumberFormat="1" applyFont="1" applyBorder="1" applyAlignment="1">
      <alignment horizontal="right"/>
    </xf>
    <xf numFmtId="165" fontId="11" fillId="0" borderId="2" xfId="0" applyNumberFormat="1" applyFont="1" applyBorder="1" applyAlignment="1">
      <alignment horizontal="right"/>
    </xf>
    <xf numFmtId="9" fontId="11" fillId="0" borderId="2" xfId="0" applyNumberFormat="1" applyFont="1" applyBorder="1" applyAlignment="1">
      <alignment horizontal="right"/>
    </xf>
    <xf numFmtId="0" fontId="9" fillId="0" borderId="2" xfId="0" applyFont="1" applyBorder="1" applyAlignment="1">
      <alignment horizontal="right"/>
    </xf>
    <xf numFmtId="0" fontId="12" fillId="15" borderId="0" xfId="0" applyFont="1" applyFill="1" applyAlignment="1">
      <alignment horizontal="center"/>
    </xf>
    <xf numFmtId="0" fontId="12" fillId="15" borderId="0" xfId="0" applyFont="1" applyFill="1" applyAlignment="1">
      <alignment horizontal="center" wrapText="1"/>
    </xf>
    <xf numFmtId="1" fontId="11" fillId="0" borderId="0" xfId="0" applyNumberFormat="1" applyFont="1"/>
    <xf numFmtId="0" fontId="7" fillId="8" borderId="0" xfId="0" applyFont="1" applyFill="1" applyAlignment="1"/>
    <xf numFmtId="0" fontId="8" fillId="0" borderId="0" xfId="0" applyFont="1" applyAlignment="1"/>
    <xf numFmtId="0" fontId="9" fillId="0" borderId="0" xfId="0" applyFont="1" applyAlignment="1">
      <alignment horizontal="center"/>
    </xf>
    <xf numFmtId="0" fontId="10" fillId="9" borderId="1" xfId="0" applyFont="1" applyFill="1" applyBorder="1" applyAlignment="1">
      <alignment horizontal="center"/>
    </xf>
    <xf numFmtId="0" fontId="12" fillId="10" borderId="0" xfId="0" applyFont="1" applyFill="1" applyAlignment="1">
      <alignment horizontal="center"/>
    </xf>
    <xf numFmtId="3" fontId="13" fillId="11" borderId="0" xfId="0" applyNumberFormat="1" applyFont="1" applyFill="1" applyAlignment="1">
      <alignment horizontal="center" vertical="center"/>
    </xf>
    <xf numFmtId="9" fontId="13" fillId="11" borderId="0" xfId="0" applyNumberFormat="1" applyFont="1" applyFill="1" applyAlignment="1">
      <alignment horizontal="center" vertical="center"/>
    </xf>
    <xf numFmtId="0" fontId="14" fillId="12" borderId="0" xfId="0" applyFont="1" applyFill="1" applyAlignment="1">
      <alignment vertical="center" wrapText="1"/>
    </xf>
    <xf numFmtId="0" fontId="12" fillId="13" borderId="0" xfId="0" applyFont="1" applyFill="1" applyAlignment="1"/>
    <xf numFmtId="0" fontId="12" fillId="10" borderId="0" xfId="0" applyFont="1" applyFill="1" applyAlignment="1"/>
    <xf numFmtId="0" fontId="11" fillId="14" borderId="0" xfId="0" applyFont="1" applyFill="1" applyAlignment="1"/>
    <xf numFmtId="0" fontId="16" fillId="8" borderId="0" xfId="0" applyFont="1" applyFill="1" applyAlignment="1"/>
    <xf numFmtId="0" fontId="17" fillId="10" borderId="2" xfId="0" applyFont="1" applyFill="1" applyBorder="1" applyAlignment="1"/>
    <xf numFmtId="0" fontId="17" fillId="10" borderId="0" xfId="0" applyFont="1" applyFill="1" applyAlignment="1"/>
    <xf numFmtId="0" fontId="12" fillId="15" borderId="0" xfId="0" applyFont="1" applyFill="1" applyAlignment="1">
      <alignment horizontal="center"/>
    </xf>
    <xf numFmtId="0" fontId="11" fillId="0" borderId="0" xfId="0" applyFont="1" applyAlignment="1"/>
    <xf numFmtId="0" fontId="11" fillId="0" borderId="3" xfId="0" applyFont="1" applyBorder="1"/>
    <xf numFmtId="166" fontId="11" fillId="0" borderId="3" xfId="0" applyNumberFormat="1" applyFont="1" applyBorder="1"/>
    <xf numFmtId="0" fontId="12" fillId="16" borderId="4" xfId="0" applyFont="1" applyFill="1" applyBorder="1" applyAlignment="1">
      <alignment horizontal="center" vertical="center" wrapText="1"/>
    </xf>
    <xf numFmtId="0" fontId="12" fillId="16" borderId="5" xfId="0" applyFont="1" applyFill="1" applyBorder="1" applyAlignment="1">
      <alignment horizontal="center" vertical="center" wrapText="1"/>
    </xf>
    <xf numFmtId="175" fontId="12" fillId="16" borderId="5" xfId="0" applyNumberFormat="1" applyFont="1" applyFill="1" applyBorder="1" applyAlignment="1">
      <alignment horizontal="center" vertical="center" wrapText="1"/>
    </xf>
    <xf numFmtId="0" fontId="12" fillId="16" borderId="6" xfId="0" applyFont="1" applyFill="1" applyBorder="1" applyAlignment="1">
      <alignment horizontal="center" vertical="center" wrapText="1"/>
    </xf>
    <xf numFmtId="0" fontId="12" fillId="16" borderId="1" xfId="0" applyFont="1" applyFill="1" applyBorder="1" applyAlignment="1">
      <alignment horizontal="center" vertical="center" wrapText="1"/>
    </xf>
    <xf numFmtId="0" fontId="11" fillId="0" borderId="7" xfId="0" applyFont="1" applyBorder="1" applyAlignment="1">
      <alignment horizontal="center"/>
    </xf>
    <xf numFmtId="0" fontId="11" fillId="0" borderId="8" xfId="0" applyFont="1" applyBorder="1"/>
    <xf numFmtId="0" fontId="11" fillId="0" borderId="8" xfId="0" applyFont="1" applyBorder="1" applyAlignment="1">
      <alignment horizontal="center"/>
    </xf>
    <xf numFmtId="0" fontId="11" fillId="0" borderId="8" xfId="0" applyFont="1" applyBorder="1" applyAlignment="1">
      <alignment horizontal="left"/>
    </xf>
    <xf numFmtId="2" fontId="11" fillId="0" borderId="8" xfId="0" applyNumberFormat="1" applyFont="1" applyBorder="1" applyAlignment="1">
      <alignment horizontal="center"/>
    </xf>
    <xf numFmtId="166" fontId="11" fillId="0" borderId="8" xfId="0" applyNumberFormat="1" applyFont="1" applyBorder="1" applyAlignment="1">
      <alignment horizontal="right"/>
    </xf>
    <xf numFmtId="166" fontId="9" fillId="9" borderId="8" xfId="0" applyNumberFormat="1" applyFont="1" applyFill="1" applyBorder="1" applyAlignment="1">
      <alignment horizontal="center" vertical="center"/>
    </xf>
    <xf numFmtId="166" fontId="11" fillId="0" borderId="8" xfId="0" applyNumberFormat="1" applyFont="1" applyBorder="1" applyAlignment="1">
      <alignment horizontal="center" vertical="center"/>
    </xf>
    <xf numFmtId="166" fontId="9" fillId="17" borderId="8" xfId="0" applyNumberFormat="1" applyFont="1" applyFill="1" applyBorder="1" applyAlignment="1">
      <alignment horizontal="center" vertical="center"/>
    </xf>
    <xf numFmtId="168" fontId="11" fillId="0" borderId="8" xfId="0" applyNumberFormat="1" applyFont="1" applyBorder="1" applyAlignment="1">
      <alignment horizontal="center" vertical="center"/>
    </xf>
    <xf numFmtId="167" fontId="11" fillId="0" borderId="8" xfId="0" applyNumberFormat="1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1" fontId="11" fillId="0" borderId="8" xfId="0" applyNumberFormat="1" applyFont="1" applyBorder="1" applyAlignment="1">
      <alignment horizontal="center" vertical="center"/>
    </xf>
    <xf numFmtId="0" fontId="11" fillId="0" borderId="9" xfId="0" applyFont="1" applyBorder="1"/>
    <xf numFmtId="0" fontId="11" fillId="18" borderId="7" xfId="0" applyFont="1" applyFill="1" applyBorder="1" applyAlignment="1">
      <alignment horizontal="center"/>
    </xf>
    <xf numFmtId="0" fontId="11" fillId="18" borderId="8" xfId="0" applyFont="1" applyFill="1" applyBorder="1"/>
    <xf numFmtId="0" fontId="11" fillId="18" borderId="8" xfId="0" applyFont="1" applyFill="1" applyBorder="1" applyAlignment="1">
      <alignment horizontal="center"/>
    </xf>
    <xf numFmtId="0" fontId="11" fillId="18" borderId="8" xfId="0" applyFont="1" applyFill="1" applyBorder="1" applyAlignment="1">
      <alignment horizontal="left"/>
    </xf>
    <xf numFmtId="2" fontId="11" fillId="18" borderId="8" xfId="0" applyNumberFormat="1" applyFont="1" applyFill="1" applyBorder="1" applyAlignment="1">
      <alignment horizontal="center"/>
    </xf>
    <xf numFmtId="166" fontId="11" fillId="18" borderId="8" xfId="0" applyNumberFormat="1" applyFont="1" applyFill="1" applyBorder="1" applyAlignment="1">
      <alignment horizontal="right"/>
    </xf>
    <xf numFmtId="168" fontId="11" fillId="18" borderId="8" xfId="0" applyNumberFormat="1" applyFont="1" applyFill="1" applyBorder="1" applyAlignment="1">
      <alignment horizontal="center" vertical="center"/>
    </xf>
    <xf numFmtId="166" fontId="11" fillId="18" borderId="8" xfId="0" applyNumberFormat="1" applyFont="1" applyFill="1" applyBorder="1" applyAlignment="1">
      <alignment horizontal="center" vertical="center"/>
    </xf>
    <xf numFmtId="167" fontId="11" fillId="18" borderId="8" xfId="0" applyNumberFormat="1" applyFont="1" applyFill="1" applyBorder="1" applyAlignment="1">
      <alignment horizontal="center" vertical="center"/>
    </xf>
    <xf numFmtId="0" fontId="11" fillId="18" borderId="8" xfId="0" applyFont="1" applyFill="1" applyBorder="1" applyAlignment="1">
      <alignment horizontal="center" vertical="center"/>
    </xf>
    <xf numFmtId="1" fontId="11" fillId="18" borderId="8" xfId="0" applyNumberFormat="1" applyFont="1" applyFill="1" applyBorder="1" applyAlignment="1">
      <alignment horizontal="center" vertical="center"/>
    </xf>
    <xf numFmtId="0" fontId="9" fillId="19" borderId="11" xfId="0" applyFont="1" applyFill="1" applyBorder="1"/>
    <xf numFmtId="166" fontId="9" fillId="19" borderId="11" xfId="0" applyNumberFormat="1" applyFont="1" applyFill="1" applyBorder="1" applyAlignment="1">
      <alignment horizontal="right"/>
    </xf>
    <xf numFmtId="166" fontId="9" fillId="19" borderId="11" xfId="0" applyNumberFormat="1" applyFont="1" applyFill="1" applyBorder="1" applyAlignment="1">
      <alignment horizontal="center" vertical="center"/>
    </xf>
    <xf numFmtId="168" fontId="9" fillId="19" borderId="11" xfId="0" applyNumberFormat="1" applyFont="1" applyFill="1" applyBorder="1" applyAlignment="1">
      <alignment horizontal="center" vertical="center"/>
    </xf>
    <xf numFmtId="167" fontId="20" fillId="19" borderId="11" xfId="0" applyNumberFormat="1" applyFont="1" applyFill="1" applyBorder="1" applyAlignment="1">
      <alignment horizontal="center" vertical="center"/>
    </xf>
    <xf numFmtId="0" fontId="9" fillId="19" borderId="11" xfId="0" applyFont="1" applyFill="1" applyBorder="1" applyAlignment="1">
      <alignment horizontal="center" vertical="center"/>
    </xf>
    <xf numFmtId="170" fontId="9" fillId="19" borderId="11" xfId="0" applyNumberFormat="1" applyFont="1" applyFill="1" applyBorder="1" applyAlignment="1">
      <alignment horizontal="center" vertical="center"/>
    </xf>
    <xf numFmtId="0" fontId="9" fillId="19" borderId="12" xfId="0" applyFont="1" applyFill="1" applyBorder="1"/>
    <xf numFmtId="0" fontId="9" fillId="19" borderId="10" xfId="0" applyFont="1" applyFill="1" applyBorder="1" applyAlignment="1"/>
    <xf numFmtId="0" fontId="21" fillId="20" borderId="0" xfId="0" applyFont="1" applyFill="1" applyAlignment="1">
      <alignment horizontal="center" vertical="center" wrapText="1"/>
    </xf>
    <xf numFmtId="0" fontId="22" fillId="20" borderId="0" xfId="0" applyFont="1" applyFill="1" applyAlignment="1">
      <alignment horizontal="center" vertical="center" wrapText="1"/>
    </xf>
    <xf numFmtId="9" fontId="22" fillId="20" borderId="0" xfId="0" applyNumberFormat="1" applyFont="1" applyFill="1" applyAlignment="1">
      <alignment horizontal="center" vertical="center" wrapText="1"/>
    </xf>
    <xf numFmtId="0" fontId="0" fillId="20" borderId="0" xfId="0" applyFont="1" applyFill="1" applyAlignment="1">
      <alignment horizontal="center" vertical="center" wrapText="1"/>
    </xf>
    <xf numFmtId="0" fontId="21" fillId="21" borderId="2" xfId="0" applyFont="1" applyFill="1" applyBorder="1" applyAlignment="1">
      <alignment horizontal="center" vertical="center" wrapText="1"/>
    </xf>
    <xf numFmtId="0" fontId="22" fillId="21" borderId="2" xfId="0" applyFont="1" applyFill="1" applyBorder="1" applyAlignment="1">
      <alignment horizontal="center" vertical="center" wrapText="1"/>
    </xf>
    <xf numFmtId="0" fontId="22" fillId="22" borderId="2" xfId="0" applyFont="1" applyFill="1" applyBorder="1" applyAlignment="1">
      <alignment horizontal="center" vertical="center" wrapText="1"/>
    </xf>
    <xf numFmtId="0" fontId="22" fillId="23" borderId="2" xfId="0" applyFont="1" applyFill="1" applyBorder="1" applyAlignment="1">
      <alignment horizontal="center" vertical="center" wrapText="1"/>
    </xf>
    <xf numFmtId="0" fontId="22" fillId="24" borderId="2" xfId="0" applyFont="1" applyFill="1" applyBorder="1" applyAlignment="1">
      <alignment horizontal="center" vertical="center" wrapText="1"/>
    </xf>
    <xf numFmtId="173" fontId="23" fillId="25" borderId="2" xfId="0" applyNumberFormat="1" applyFont="1" applyFill="1" applyBorder="1" applyAlignment="1">
      <alignment horizontal="center" vertical="center" wrapText="1"/>
    </xf>
    <xf numFmtId="0" fontId="12" fillId="16" borderId="2" xfId="0" applyFont="1" applyFill="1" applyBorder="1" applyAlignment="1">
      <alignment horizontal="center" vertical="center" wrapText="1"/>
    </xf>
    <xf numFmtId="9" fontId="23" fillId="20" borderId="0" xfId="0" applyNumberFormat="1" applyFont="1" applyFill="1" applyAlignment="1">
      <alignment horizontal="center" vertical="center" wrapText="1"/>
    </xf>
    <xf numFmtId="0" fontId="23" fillId="25" borderId="13" xfId="0" applyFont="1" applyFill="1" applyBorder="1" applyAlignment="1">
      <alignment horizontal="center" vertical="center" wrapText="1"/>
    </xf>
    <xf numFmtId="0" fontId="23" fillId="25" borderId="2" xfId="0" applyFont="1" applyFill="1" applyBorder="1" applyAlignment="1">
      <alignment horizontal="center" vertical="center" wrapText="1"/>
    </xf>
    <xf numFmtId="0" fontId="0" fillId="25" borderId="0" xfId="0" applyFont="1" applyFill="1" applyAlignment="1">
      <alignment vertical="center"/>
    </xf>
    <xf numFmtId="0" fontId="24" fillId="20" borderId="2" xfId="0" applyFont="1" applyFill="1" applyBorder="1" applyAlignment="1">
      <alignment horizontal="center"/>
    </xf>
    <xf numFmtId="0" fontId="25" fillId="24" borderId="2" xfId="0" applyFont="1" applyFill="1" applyBorder="1" applyAlignment="1">
      <alignment horizontal="center"/>
    </xf>
    <xf numFmtId="0" fontId="26" fillId="20" borderId="2" xfId="0" applyFont="1" applyFill="1" applyBorder="1" applyAlignment="1">
      <alignment horizontal="center"/>
    </xf>
    <xf numFmtId="2" fontId="27" fillId="0" borderId="2" xfId="0" applyNumberFormat="1" applyFont="1" applyBorder="1" applyAlignment="1">
      <alignment horizontal="center"/>
    </xf>
    <xf numFmtId="1" fontId="27" fillId="0" borderId="2" xfId="0" applyNumberFormat="1" applyFont="1" applyBorder="1" applyAlignment="1">
      <alignment horizontal="center"/>
    </xf>
    <xf numFmtId="1" fontId="22" fillId="0" borderId="2" xfId="0" applyNumberFormat="1" applyFont="1" applyBorder="1" applyAlignment="1">
      <alignment horizontal="center"/>
    </xf>
    <xf numFmtId="1" fontId="28" fillId="20" borderId="2" xfId="0" applyNumberFormat="1" applyFont="1" applyFill="1" applyBorder="1" applyAlignment="1">
      <alignment horizontal="center" vertical="center"/>
    </xf>
    <xf numFmtId="166" fontId="9" fillId="17" borderId="2" xfId="0" applyNumberFormat="1" applyFont="1" applyFill="1" applyBorder="1" applyAlignment="1">
      <alignment horizontal="center" vertical="center"/>
    </xf>
    <xf numFmtId="168" fontId="11" fillId="0" borderId="2" xfId="0" applyNumberFormat="1" applyFont="1" applyBorder="1" applyAlignment="1">
      <alignment horizontal="center" vertical="center"/>
    </xf>
    <xf numFmtId="166" fontId="11" fillId="0" borderId="2" xfId="0" applyNumberFormat="1" applyFont="1" applyBorder="1" applyAlignment="1">
      <alignment horizontal="center" vertical="center"/>
    </xf>
    <xf numFmtId="167" fontId="11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9" fontId="21" fillId="20" borderId="0" xfId="0" applyNumberFormat="1" applyFont="1" applyFill="1" applyAlignment="1">
      <alignment horizontal="center"/>
    </xf>
    <xf numFmtId="0" fontId="21" fillId="20" borderId="14" xfId="0" applyFont="1" applyFill="1" applyBorder="1" applyAlignment="1">
      <alignment horizontal="center" vertical="center" wrapText="1"/>
    </xf>
    <xf numFmtId="0" fontId="21" fillId="20" borderId="2" xfId="0" applyFont="1" applyFill="1" applyBorder="1" applyAlignment="1">
      <alignment horizontal="center" vertical="center" wrapText="1"/>
    </xf>
    <xf numFmtId="0" fontId="28" fillId="20" borderId="2" xfId="0" applyFont="1" applyFill="1" applyBorder="1" applyAlignment="1">
      <alignment horizontal="center" vertical="center" wrapText="1"/>
    </xf>
    <xf numFmtId="1" fontId="28" fillId="20" borderId="2" xfId="0" applyNumberFormat="1" applyFont="1" applyFill="1" applyBorder="1" applyAlignment="1">
      <alignment horizontal="center" vertical="center" wrapText="1"/>
    </xf>
    <xf numFmtId="0" fontId="0" fillId="20" borderId="0" xfId="0" applyFont="1" applyFill="1"/>
    <xf numFmtId="9" fontId="21" fillId="20" borderId="2" xfId="0" applyNumberFormat="1" applyFont="1" applyFill="1" applyBorder="1" applyAlignment="1">
      <alignment horizontal="center" vertical="center"/>
    </xf>
    <xf numFmtId="2" fontId="27" fillId="0" borderId="2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9" fillId="20" borderId="14" xfId="0" applyFont="1" applyFill="1" applyBorder="1" applyAlignment="1">
      <alignment horizontal="center" vertical="center" wrapText="1"/>
    </xf>
    <xf numFmtId="0" fontId="26" fillId="0" borderId="2" xfId="0" applyFont="1" applyBorder="1" applyAlignment="1">
      <alignment horizontal="center"/>
    </xf>
    <xf numFmtId="1" fontId="30" fillId="7" borderId="2" xfId="0" applyNumberFormat="1" applyFont="1" applyFill="1" applyBorder="1"/>
    <xf numFmtId="1" fontId="21" fillId="7" borderId="2" xfId="0" applyNumberFormat="1" applyFont="1" applyFill="1" applyBorder="1" applyAlignment="1">
      <alignment horizontal="center" wrapText="1"/>
    </xf>
    <xf numFmtId="1" fontId="21" fillId="7" borderId="2" xfId="0" applyNumberFormat="1" applyFont="1" applyFill="1" applyBorder="1" applyAlignment="1">
      <alignment horizontal="center" vertical="center" wrapText="1"/>
    </xf>
    <xf numFmtId="9" fontId="32" fillId="20" borderId="2" xfId="0" applyNumberFormat="1" applyFont="1" applyFill="1" applyBorder="1" applyAlignment="1">
      <alignment horizontal="center" vertical="center"/>
    </xf>
    <xf numFmtId="0" fontId="31" fillId="20" borderId="2" xfId="0" applyFont="1" applyFill="1" applyBorder="1" applyAlignment="1">
      <alignment horizontal="center" wrapText="1"/>
    </xf>
    <xf numFmtId="0" fontId="33" fillId="26" borderId="0" xfId="0" applyFont="1" applyFill="1" applyAlignment="1">
      <alignment horizontal="center" vertical="center" wrapText="1"/>
    </xf>
    <xf numFmtId="166" fontId="22" fillId="20" borderId="0" xfId="0" applyNumberFormat="1" applyFont="1" applyFill="1" applyAlignment="1">
      <alignment horizontal="center" vertical="center" wrapText="1"/>
    </xf>
    <xf numFmtId="168" fontId="21" fillId="20" borderId="0" xfId="0" applyNumberFormat="1" applyFont="1" applyFill="1" applyAlignment="1">
      <alignment horizontal="center" vertical="center" wrapText="1"/>
    </xf>
    <xf numFmtId="168" fontId="22" fillId="20" borderId="0" xfId="0" applyNumberFormat="1" applyFont="1" applyFill="1" applyAlignment="1">
      <alignment horizontal="center" vertical="center" wrapText="1"/>
    </xf>
    <xf numFmtId="167" fontId="22" fillId="20" borderId="0" xfId="0" applyNumberFormat="1" applyFont="1" applyFill="1" applyAlignment="1">
      <alignment horizontal="center" vertical="center" wrapText="1"/>
    </xf>
    <xf numFmtId="0" fontId="21" fillId="21" borderId="3" xfId="0" applyFont="1" applyFill="1" applyBorder="1" applyAlignment="1">
      <alignment horizontal="center" vertical="center" wrapText="1"/>
    </xf>
    <xf numFmtId="0" fontId="34" fillId="16" borderId="13" xfId="0" applyFont="1" applyFill="1" applyBorder="1" applyAlignment="1">
      <alignment horizontal="center" vertical="center" wrapText="1"/>
    </xf>
    <xf numFmtId="9" fontId="34" fillId="16" borderId="13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4" fillId="20" borderId="15" xfId="0" applyFont="1" applyFill="1" applyBorder="1" applyAlignment="1">
      <alignment horizontal="center" vertical="center"/>
    </xf>
    <xf numFmtId="0" fontId="25" fillId="24" borderId="2" xfId="0" applyFont="1" applyFill="1" applyBorder="1" applyAlignment="1">
      <alignment horizontal="center" vertical="center"/>
    </xf>
    <xf numFmtId="0" fontId="26" fillId="20" borderId="2" xfId="0" applyFont="1" applyFill="1" applyBorder="1" applyAlignment="1">
      <alignment horizontal="center" vertical="center"/>
    </xf>
    <xf numFmtId="2" fontId="27" fillId="0" borderId="2" xfId="0" applyNumberFormat="1" applyFont="1" applyBorder="1" applyAlignment="1">
      <alignment horizontal="center" vertical="center"/>
    </xf>
    <xf numFmtId="1" fontId="27" fillId="0" borderId="2" xfId="0" applyNumberFormat="1" applyFont="1" applyBorder="1" applyAlignment="1">
      <alignment horizontal="center" vertical="center"/>
    </xf>
    <xf numFmtId="0" fontId="28" fillId="20" borderId="14" xfId="0" applyFont="1" applyFill="1" applyBorder="1" applyAlignment="1">
      <alignment horizontal="center" vertical="center"/>
    </xf>
    <xf numFmtId="166" fontId="21" fillId="20" borderId="14" xfId="0" applyNumberFormat="1" applyFont="1" applyFill="1" applyBorder="1" applyAlignment="1">
      <alignment horizontal="center" vertical="center"/>
    </xf>
    <xf numFmtId="168" fontId="21" fillId="20" borderId="14" xfId="0" applyNumberFormat="1" applyFont="1" applyFill="1" applyBorder="1" applyAlignment="1">
      <alignment horizontal="center" vertical="center"/>
    </xf>
    <xf numFmtId="167" fontId="21" fillId="27" borderId="14" xfId="0" applyNumberFormat="1" applyFont="1" applyFill="1" applyBorder="1" applyAlignment="1">
      <alignment horizontal="center" vertical="center"/>
    </xf>
    <xf numFmtId="0" fontId="24" fillId="20" borderId="2" xfId="0" applyFont="1" applyFill="1" applyBorder="1" applyAlignment="1">
      <alignment horizontal="center" vertical="center"/>
    </xf>
    <xf numFmtId="2" fontId="28" fillId="21" borderId="2" xfId="0" applyNumberFormat="1" applyFont="1" applyFill="1" applyBorder="1" applyAlignment="1">
      <alignment horizontal="center" vertical="center"/>
    </xf>
    <xf numFmtId="0" fontId="25" fillId="24" borderId="16" xfId="0" applyFont="1" applyFill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6" fillId="20" borderId="13" xfId="0" applyFont="1" applyFill="1" applyBorder="1" applyAlignment="1">
      <alignment horizontal="center" vertical="center"/>
    </xf>
    <xf numFmtId="2" fontId="28" fillId="20" borderId="2" xfId="0" applyNumberFormat="1" applyFont="1" applyFill="1" applyBorder="1" applyAlignment="1">
      <alignment horizontal="center" vertical="center"/>
    </xf>
    <xf numFmtId="1" fontId="30" fillId="7" borderId="2" xfId="0" applyNumberFormat="1" applyFont="1" applyFill="1" applyBorder="1" applyAlignment="1">
      <alignment vertical="center"/>
    </xf>
    <xf numFmtId="9" fontId="32" fillId="27" borderId="14" xfId="0" applyNumberFormat="1" applyFont="1" applyFill="1" applyBorder="1" applyAlignment="1">
      <alignment horizontal="center" vertical="center"/>
    </xf>
    <xf numFmtId="0" fontId="31" fillId="20" borderId="15" xfId="0" applyFont="1" applyFill="1" applyBorder="1" applyAlignment="1">
      <alignment horizontal="center" vertical="center" wrapText="1"/>
    </xf>
    <xf numFmtId="0" fontId="22" fillId="26" borderId="0" xfId="0" applyFont="1" applyFill="1" applyAlignment="1">
      <alignment horizontal="center" vertical="center" wrapText="1"/>
    </xf>
    <xf numFmtId="0" fontId="21" fillId="20" borderId="14" xfId="0" applyFont="1" applyFill="1" applyBorder="1" applyAlignment="1">
      <alignment horizontal="center" vertical="center"/>
    </xf>
    <xf numFmtId="1" fontId="21" fillId="20" borderId="14" xfId="0" applyNumberFormat="1" applyFont="1" applyFill="1" applyBorder="1" applyAlignment="1">
      <alignment horizontal="center" vertical="center"/>
    </xf>
    <xf numFmtId="1" fontId="21" fillId="20" borderId="2" xfId="0" applyNumberFormat="1" applyFont="1" applyFill="1" applyBorder="1" applyAlignment="1">
      <alignment horizontal="center" vertical="center"/>
    </xf>
    <xf numFmtId="1" fontId="30" fillId="7" borderId="2" xfId="0" applyNumberFormat="1" applyFont="1" applyFill="1" applyBorder="1" applyAlignment="1">
      <alignment horizontal="center" vertical="center"/>
    </xf>
    <xf numFmtId="9" fontId="32" fillId="7" borderId="2" xfId="0" applyNumberFormat="1" applyFont="1" applyFill="1" applyBorder="1" applyAlignment="1">
      <alignment horizontal="center" vertical="center" wrapText="1"/>
    </xf>
    <xf numFmtId="0" fontId="22" fillId="20" borderId="0" xfId="0" applyFont="1" applyFill="1" applyAlignment="1">
      <alignment horizontal="left" vertical="center" wrapText="1"/>
    </xf>
    <xf numFmtId="3" fontId="22" fillId="20" borderId="0" xfId="0" applyNumberFormat="1" applyFont="1" applyFill="1" applyAlignment="1">
      <alignment horizontal="center" vertical="center" wrapText="1"/>
    </xf>
    <xf numFmtId="0" fontId="22" fillId="21" borderId="2" xfId="0" applyFont="1" applyFill="1" applyBorder="1" applyAlignment="1">
      <alignment horizontal="left" vertical="center" wrapText="1"/>
    </xf>
    <xf numFmtId="0" fontId="23" fillId="28" borderId="13" xfId="0" applyFont="1" applyFill="1" applyBorder="1" applyAlignment="1">
      <alignment horizontal="center" vertical="center" wrapText="1"/>
    </xf>
    <xf numFmtId="0" fontId="23" fillId="29" borderId="13" xfId="0" applyFont="1" applyFill="1" applyBorder="1" applyAlignment="1">
      <alignment horizontal="center" vertical="center" wrapText="1"/>
    </xf>
    <xf numFmtId="0" fontId="23" fillId="30" borderId="13" xfId="0" applyFont="1" applyFill="1" applyBorder="1" applyAlignment="1">
      <alignment horizontal="center" vertical="center" wrapText="1"/>
    </xf>
    <xf numFmtId="9" fontId="23" fillId="20" borderId="13" xfId="0" applyNumberFormat="1" applyFont="1" applyFill="1" applyBorder="1" applyAlignment="1">
      <alignment horizontal="center" vertical="center" wrapText="1"/>
    </xf>
    <xf numFmtId="0" fontId="26" fillId="20" borderId="2" xfId="0" applyFont="1" applyFill="1" applyBorder="1" applyAlignment="1">
      <alignment horizontal="left" vertical="center"/>
    </xf>
    <xf numFmtId="1" fontId="28" fillId="20" borderId="14" xfId="0" applyNumberFormat="1" applyFont="1" applyFill="1" applyBorder="1" applyAlignment="1">
      <alignment horizontal="center" vertical="center"/>
    </xf>
    <xf numFmtId="1" fontId="28" fillId="20" borderId="17" xfId="0" applyNumberFormat="1" applyFont="1" applyFill="1" applyBorder="1" applyAlignment="1">
      <alignment horizontal="center" vertical="center"/>
    </xf>
    <xf numFmtId="3" fontId="21" fillId="20" borderId="14" xfId="0" applyNumberFormat="1" applyFont="1" applyFill="1" applyBorder="1" applyAlignment="1">
      <alignment horizontal="center" vertical="center"/>
    </xf>
    <xf numFmtId="9" fontId="21" fillId="27" borderId="14" xfId="0" applyNumberFormat="1" applyFont="1" applyFill="1" applyBorder="1" applyAlignment="1">
      <alignment horizontal="center" vertical="center"/>
    </xf>
    <xf numFmtId="0" fontId="35" fillId="20" borderId="2" xfId="0" applyFont="1" applyFill="1" applyBorder="1" applyAlignment="1">
      <alignment horizontal="center" vertical="center"/>
    </xf>
    <xf numFmtId="0" fontId="35" fillId="31" borderId="2" xfId="0" applyFont="1" applyFill="1" applyBorder="1" applyAlignment="1">
      <alignment horizontal="center" vertical="center"/>
    </xf>
    <xf numFmtId="0" fontId="29" fillId="20" borderId="0" xfId="0" applyFont="1" applyFill="1" applyAlignment="1">
      <alignment horizontal="center" vertical="center" wrapText="1"/>
    </xf>
    <xf numFmtId="0" fontId="0" fillId="0" borderId="0" xfId="0" applyAlignment="1">
      <alignment horizontal="left"/>
    </xf>
    <xf numFmtId="0" fontId="9" fillId="32" borderId="0" xfId="0" applyFont="1" applyFill="1"/>
    <xf numFmtId="169" fontId="9" fillId="32" borderId="0" xfId="1" applyFont="1" applyFill="1"/>
    <xf numFmtId="0" fontId="12" fillId="16" borderId="18" xfId="0" applyFont="1" applyFill="1" applyBorder="1" applyAlignment="1">
      <alignment horizontal="center" vertical="center" wrapText="1"/>
    </xf>
    <xf numFmtId="169" fontId="12" fillId="16" borderId="18" xfId="1" applyFont="1" applyFill="1" applyBorder="1" applyAlignment="1">
      <alignment horizontal="center" vertical="center" wrapText="1"/>
    </xf>
    <xf numFmtId="1" fontId="11" fillId="0" borderId="18" xfId="0" applyNumberFormat="1" applyFont="1" applyBorder="1" applyAlignment="1">
      <alignment horizontal="center" vertical="center"/>
    </xf>
    <xf numFmtId="169" fontId="11" fillId="0" borderId="18" xfId="1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9" fontId="11" fillId="0" borderId="18" xfId="0" applyNumberFormat="1" applyFont="1" applyBorder="1" applyAlignment="1">
      <alignment horizontal="center" vertical="center"/>
    </xf>
    <xf numFmtId="169" fontId="1" fillId="0" borderId="0" xfId="1"/>
    <xf numFmtId="0" fontId="31" fillId="20" borderId="16" xfId="0" applyFont="1" applyFill="1" applyBorder="1" applyAlignment="1">
      <alignment horizontal="center" vertical="center" wrapText="1"/>
    </xf>
    <xf numFmtId="0" fontId="0" fillId="0" borderId="19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3" fontId="21" fillId="20" borderId="0" xfId="0" applyNumberFormat="1" applyFont="1" applyFill="1" applyAlignment="1">
      <alignment horizontal="center" vertical="center" wrapText="1"/>
    </xf>
    <xf numFmtId="0" fontId="23" fillId="25" borderId="13" xfId="0" applyFont="1" applyFill="1" applyBorder="1" applyAlignment="1">
      <alignment horizontal="center" wrapText="1"/>
    </xf>
    <xf numFmtId="0" fontId="23" fillId="25" borderId="2" xfId="0" applyFont="1" applyFill="1" applyBorder="1" applyAlignment="1">
      <alignment horizontal="center" wrapText="1"/>
    </xf>
    <xf numFmtId="0" fontId="31" fillId="20" borderId="16" xfId="0" applyFont="1" applyFill="1" applyBorder="1" applyAlignment="1">
      <alignment vertical="center" wrapText="1"/>
    </xf>
    <xf numFmtId="0" fontId="0" fillId="0" borderId="19" xfId="0" applyFont="1" applyBorder="1" applyAlignment="1">
      <alignment vertical="center"/>
    </xf>
    <xf numFmtId="0" fontId="0" fillId="0" borderId="13" xfId="0" applyFont="1" applyBorder="1" applyAlignment="1">
      <alignment vertical="center"/>
    </xf>
    <xf numFmtId="0" fontId="24" fillId="20" borderId="15" xfId="0" applyFont="1" applyFill="1" applyBorder="1" applyAlignment="1">
      <alignment horizontal="center"/>
    </xf>
    <xf numFmtId="1" fontId="28" fillId="20" borderId="14" xfId="0" applyNumberFormat="1" applyFont="1" applyFill="1" applyBorder="1" applyAlignment="1">
      <alignment horizontal="center"/>
    </xf>
    <xf numFmtId="0" fontId="21" fillId="20" borderId="14" xfId="0" applyFont="1" applyFill="1" applyBorder="1" applyAlignment="1">
      <alignment horizontal="center"/>
    </xf>
    <xf numFmtId="1" fontId="21" fillId="20" borderId="14" xfId="0" applyNumberFormat="1" applyFont="1" applyFill="1" applyBorder="1" applyAlignment="1">
      <alignment horizontal="center"/>
    </xf>
    <xf numFmtId="1" fontId="21" fillId="20" borderId="2" xfId="0" applyNumberFormat="1" applyFont="1" applyFill="1" applyBorder="1" applyAlignment="1">
      <alignment horizontal="center"/>
    </xf>
    <xf numFmtId="3" fontId="21" fillId="20" borderId="14" xfId="0" applyNumberFormat="1" applyFont="1" applyFill="1" applyBorder="1" applyAlignment="1">
      <alignment horizontal="center"/>
    </xf>
    <xf numFmtId="9" fontId="21" fillId="27" borderId="14" xfId="0" applyNumberFormat="1" applyFont="1" applyFill="1" applyBorder="1" applyAlignment="1">
      <alignment horizontal="center"/>
    </xf>
    <xf numFmtId="0" fontId="25" fillId="24" borderId="16" xfId="0" applyFont="1" applyFill="1" applyBorder="1" applyAlignment="1">
      <alignment horizontal="center"/>
    </xf>
    <xf numFmtId="0" fontId="26" fillId="20" borderId="13" xfId="0" applyFont="1" applyFill="1" applyBorder="1" applyAlignment="1">
      <alignment horizontal="center"/>
    </xf>
    <xf numFmtId="0" fontId="21" fillId="33" borderId="14" xfId="0" applyFont="1" applyFill="1" applyBorder="1" applyAlignment="1">
      <alignment horizontal="center" wrapText="1"/>
    </xf>
    <xf numFmtId="1" fontId="21" fillId="33" borderId="14" xfId="0" applyNumberFormat="1" applyFont="1" applyFill="1" applyBorder="1" applyAlignment="1">
      <alignment horizontal="center" wrapText="1"/>
    </xf>
    <xf numFmtId="0" fontId="21" fillId="21" borderId="14" xfId="0" applyFont="1" applyFill="1" applyBorder="1" applyAlignment="1">
      <alignment horizontal="center" vertical="center" wrapText="1"/>
    </xf>
    <xf numFmtId="1" fontId="21" fillId="21" borderId="14" xfId="0" applyNumberFormat="1" applyFont="1" applyFill="1" applyBorder="1" applyAlignment="1">
      <alignment horizontal="center" vertical="center" wrapText="1"/>
    </xf>
    <xf numFmtId="0" fontId="31" fillId="20" borderId="15" xfId="0" applyFont="1" applyFill="1" applyBorder="1" applyAlignment="1">
      <alignment horizontal="center" wrapText="1"/>
    </xf>
    <xf numFmtId="0" fontId="22" fillId="23" borderId="13" xfId="0" applyFont="1" applyFill="1" applyBorder="1" applyAlignment="1">
      <alignment horizontal="center" vertical="center" wrapText="1"/>
    </xf>
    <xf numFmtId="0" fontId="23" fillId="28" borderId="13" xfId="0" applyFont="1" applyFill="1" applyBorder="1" applyAlignment="1">
      <alignment horizontal="center" wrapText="1"/>
    </xf>
    <xf numFmtId="0" fontId="23" fillId="29" borderId="13" xfId="0" applyFont="1" applyFill="1" applyBorder="1" applyAlignment="1">
      <alignment horizontal="center" wrapText="1"/>
    </xf>
    <xf numFmtId="0" fontId="23" fillId="30" borderId="13" xfId="0" applyFont="1" applyFill="1" applyBorder="1" applyAlignment="1">
      <alignment horizontal="center" wrapText="1"/>
    </xf>
    <xf numFmtId="9" fontId="23" fillId="20" borderId="13" xfId="0" applyNumberFormat="1" applyFont="1" applyFill="1" applyBorder="1" applyAlignment="1">
      <alignment horizontal="center" wrapText="1"/>
    </xf>
    <xf numFmtId="2" fontId="27" fillId="0" borderId="14" xfId="0" applyNumberFormat="1" applyFont="1" applyBorder="1" applyAlignment="1">
      <alignment horizontal="center"/>
    </xf>
    <xf numFmtId="2" fontId="28" fillId="20" borderId="14" xfId="0" applyNumberFormat="1" applyFont="1" applyFill="1" applyBorder="1" applyAlignment="1">
      <alignment horizontal="center"/>
    </xf>
    <xf numFmtId="0" fontId="28" fillId="20" borderId="14" xfId="0" applyFont="1" applyFill="1" applyBorder="1" applyAlignment="1">
      <alignment horizontal="center"/>
    </xf>
    <xf numFmtId="0" fontId="21" fillId="27" borderId="14" xfId="0" applyFont="1" applyFill="1" applyBorder="1" applyAlignment="1">
      <alignment horizontal="center"/>
    </xf>
    <xf numFmtId="1" fontId="21" fillId="7" borderId="14" xfId="0" applyNumberFormat="1" applyFont="1" applyFill="1" applyBorder="1" applyAlignment="1">
      <alignment horizontal="center" wrapText="1"/>
    </xf>
    <xf numFmtId="0" fontId="36" fillId="9" borderId="2" xfId="0" applyFont="1" applyFill="1" applyBorder="1" applyAlignment="1">
      <alignment horizontal="center"/>
    </xf>
    <xf numFmtId="0" fontId="36" fillId="9" borderId="16" xfId="0" applyFont="1" applyFill="1" applyBorder="1"/>
    <xf numFmtId="0" fontId="0" fillId="0" borderId="19" xfId="0" applyFont="1" applyBorder="1"/>
    <xf numFmtId="0" fontId="0" fillId="34" borderId="19" xfId="0" applyFont="1" applyFill="1" applyBorder="1"/>
    <xf numFmtId="0" fontId="0" fillId="0" borderId="13" xfId="0" applyFont="1" applyBorder="1"/>
    <xf numFmtId="0" fontId="26" fillId="0" borderId="3" xfId="0" applyFont="1" applyBorder="1" applyAlignment="1">
      <alignment horizontal="center"/>
    </xf>
    <xf numFmtId="0" fontId="0" fillId="9" borderId="3" xfId="0" applyFont="1" applyFill="1" applyBorder="1"/>
    <xf numFmtId="0" fontId="36" fillId="9" borderId="3" xfId="0" applyFont="1" applyFill="1" applyBorder="1" applyAlignment="1">
      <alignment horizontal="center"/>
    </xf>
    <xf numFmtId="0" fontId="36" fillId="9" borderId="3" xfId="0" applyFont="1" applyFill="1" applyBorder="1" applyAlignment="1">
      <alignment horizontal="center" vertical="center"/>
    </xf>
    <xf numFmtId="0" fontId="36" fillId="34" borderId="3" xfId="0" applyFont="1" applyFill="1" applyBorder="1" applyAlignment="1">
      <alignment horizontal="center"/>
    </xf>
    <xf numFmtId="3" fontId="36" fillId="9" borderId="2" xfId="0" applyNumberFormat="1" applyFont="1" applyFill="1" applyBorder="1" applyAlignment="1">
      <alignment horizontal="center"/>
    </xf>
    <xf numFmtId="0" fontId="36" fillId="20" borderId="2" xfId="0" applyFont="1" applyFill="1" applyBorder="1" applyAlignment="1">
      <alignment horizontal="center" vertical="center" wrapText="1"/>
    </xf>
    <xf numFmtId="0" fontId="36" fillId="9" borderId="2" xfId="0" applyFont="1" applyFill="1" applyBorder="1" applyAlignment="1">
      <alignment horizontal="center" vertical="center" wrapText="1"/>
    </xf>
    <xf numFmtId="0" fontId="36" fillId="21" borderId="2" xfId="0" applyFont="1" applyFill="1" applyBorder="1" applyAlignment="1">
      <alignment horizontal="center" vertical="center" wrapText="1"/>
    </xf>
    <xf numFmtId="0" fontId="36" fillId="35" borderId="2" xfId="0" applyFont="1" applyFill="1" applyBorder="1" applyAlignment="1">
      <alignment horizontal="center" vertical="center" wrapText="1"/>
    </xf>
    <xf numFmtId="0" fontId="36" fillId="34" borderId="2" xfId="0" applyFont="1" applyFill="1" applyBorder="1" applyAlignment="1">
      <alignment horizontal="center" vertical="center" wrapText="1"/>
    </xf>
    <xf numFmtId="0" fontId="36" fillId="0" borderId="13" xfId="0" applyFont="1" applyBorder="1" applyAlignment="1">
      <alignment horizontal="center" vertical="center" wrapText="1"/>
    </xf>
    <xf numFmtId="0" fontId="36" fillId="0" borderId="2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2" xfId="0" applyBorder="1" applyAlignment="1">
      <alignment horizontal="center"/>
    </xf>
    <xf numFmtId="2" fontId="26" fillId="36" borderId="2" xfId="0" applyNumberFormat="1" applyFont="1" applyFill="1" applyBorder="1" applyAlignment="1">
      <alignment horizontal="center"/>
    </xf>
    <xf numFmtId="0" fontId="0" fillId="37" borderId="2" xfId="0" applyFill="1" applyBorder="1" applyAlignment="1">
      <alignment horizontal="center"/>
    </xf>
    <xf numFmtId="3" fontId="26" fillId="9" borderId="2" xfId="0" applyNumberFormat="1" applyFont="1" applyFill="1" applyBorder="1" applyAlignment="1">
      <alignment horizontal="center"/>
    </xf>
    <xf numFmtId="164" fontId="1" fillId="38" borderId="2" xfId="1" applyNumberFormat="1" applyFill="1" applyBorder="1" applyAlignment="1">
      <alignment horizontal="center" vertical="center"/>
    </xf>
    <xf numFmtId="1" fontId="0" fillId="38" borderId="2" xfId="0" applyNumberFormat="1" applyFont="1" applyFill="1" applyBorder="1" applyAlignment="1">
      <alignment horizontal="center"/>
    </xf>
    <xf numFmtId="1" fontId="0" fillId="34" borderId="2" xfId="0" applyNumberFormat="1" applyFont="1" applyFill="1" applyBorder="1" applyAlignment="1">
      <alignment horizontal="center"/>
    </xf>
    <xf numFmtId="0" fontId="0" fillId="38" borderId="2" xfId="0" applyFill="1" applyBorder="1" applyAlignment="1">
      <alignment horizontal="center"/>
    </xf>
    <xf numFmtId="0" fontId="26" fillId="38" borderId="2" xfId="0" applyFont="1" applyFill="1" applyBorder="1" applyAlignment="1">
      <alignment horizontal="center"/>
    </xf>
    <xf numFmtId="164" fontId="26" fillId="9" borderId="2" xfId="0" applyNumberFormat="1" applyFont="1" applyFill="1" applyBorder="1" applyAlignment="1">
      <alignment horizontal="center"/>
    </xf>
    <xf numFmtId="3" fontId="26" fillId="0" borderId="13" xfId="0" applyNumberFormat="1" applyFont="1" applyBorder="1" applyAlignment="1">
      <alignment horizontal="center"/>
    </xf>
    <xf numFmtId="2" fontId="0" fillId="38" borderId="2" xfId="0" applyNumberFormat="1" applyFill="1" applyBorder="1" applyAlignment="1">
      <alignment horizontal="center"/>
    </xf>
    <xf numFmtId="0" fontId="3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38" borderId="2" xfId="0" applyFont="1" applyFill="1" applyBorder="1" applyAlignment="1">
      <alignment horizontal="center"/>
    </xf>
    <xf numFmtId="2" fontId="0" fillId="34" borderId="2" xfId="0" applyNumberFormat="1" applyFont="1" applyFill="1" applyBorder="1" applyAlignment="1">
      <alignment horizontal="center"/>
    </xf>
    <xf numFmtId="0" fontId="0" fillId="34" borderId="0" xfId="0" applyFill="1"/>
    <xf numFmtId="0" fontId="38" fillId="20" borderId="0" xfId="0" applyFont="1" applyFill="1" applyAlignment="1">
      <alignment horizontal="center" vertical="center" wrapText="1"/>
    </xf>
    <xf numFmtId="0" fontId="39" fillId="20" borderId="0" xfId="0" applyFont="1" applyFill="1" applyAlignment="1">
      <alignment horizontal="center" vertical="center" wrapText="1"/>
    </xf>
    <xf numFmtId="0" fontId="40" fillId="20" borderId="0" xfId="0" applyFont="1" applyFill="1" applyAlignment="1">
      <alignment horizontal="left" vertical="center" wrapText="1"/>
    </xf>
    <xf numFmtId="9" fontId="39" fillId="20" borderId="0" xfId="0" applyNumberFormat="1" applyFont="1" applyFill="1" applyAlignment="1">
      <alignment horizontal="center" vertical="center" wrapText="1"/>
    </xf>
    <xf numFmtId="0" fontId="23" fillId="21" borderId="3" xfId="0" applyFont="1" applyFill="1" applyBorder="1" applyAlignment="1">
      <alignment horizontal="center" vertical="center" wrapText="1"/>
    </xf>
    <xf numFmtId="0" fontId="41" fillId="21" borderId="2" xfId="0" applyFont="1" applyFill="1" applyBorder="1" applyAlignment="1">
      <alignment horizontal="center" vertical="center" wrapText="1"/>
    </xf>
    <xf numFmtId="0" fontId="41" fillId="22" borderId="2" xfId="0" applyFont="1" applyFill="1" applyBorder="1" applyAlignment="1">
      <alignment horizontal="center" vertical="center" wrapText="1"/>
    </xf>
    <xf numFmtId="0" fontId="41" fillId="23" borderId="2" xfId="0" applyFont="1" applyFill="1" applyBorder="1" applyAlignment="1">
      <alignment horizontal="center" vertical="center" wrapText="1"/>
    </xf>
    <xf numFmtId="0" fontId="41" fillId="39" borderId="2" xfId="0" applyFont="1" applyFill="1" applyBorder="1" applyAlignment="1">
      <alignment horizontal="center" vertical="center" wrapText="1"/>
    </xf>
    <xf numFmtId="0" fontId="41" fillId="24" borderId="2" xfId="0" applyFont="1" applyFill="1" applyBorder="1" applyAlignment="1">
      <alignment horizontal="center" vertical="center" wrapText="1"/>
    </xf>
    <xf numFmtId="0" fontId="42" fillId="25" borderId="0" xfId="0" applyFont="1" applyFill="1" applyAlignment="1">
      <alignment horizontal="center" vertical="center"/>
    </xf>
    <xf numFmtId="1" fontId="43" fillId="20" borderId="2" xfId="0" applyNumberFormat="1" applyFont="1" applyFill="1" applyBorder="1" applyAlignment="1">
      <alignment horizontal="center"/>
    </xf>
    <xf numFmtId="0" fontId="43" fillId="20" borderId="2" xfId="0" applyFont="1" applyFill="1" applyBorder="1" applyAlignment="1">
      <alignment horizontal="center"/>
    </xf>
    <xf numFmtId="0" fontId="39" fillId="0" borderId="2" xfId="0" applyFont="1" applyBorder="1" applyAlignment="1">
      <alignment horizontal="center"/>
    </xf>
    <xf numFmtId="0" fontId="24" fillId="20" borderId="14" xfId="0" applyFont="1" applyFill="1" applyBorder="1" applyAlignment="1">
      <alignment horizontal="center"/>
    </xf>
    <xf numFmtId="0" fontId="38" fillId="20" borderId="14" xfId="0" applyFont="1" applyFill="1" applyBorder="1" applyAlignment="1">
      <alignment horizontal="center"/>
    </xf>
    <xf numFmtId="1" fontId="38" fillId="20" borderId="14" xfId="0" applyNumberFormat="1" applyFont="1" applyFill="1" applyBorder="1" applyAlignment="1">
      <alignment horizontal="center"/>
    </xf>
    <xf numFmtId="1" fontId="38" fillId="20" borderId="2" xfId="0" applyNumberFormat="1" applyFont="1" applyFill="1" applyBorder="1" applyAlignment="1">
      <alignment horizontal="center"/>
    </xf>
    <xf numFmtId="9" fontId="38" fillId="27" borderId="14" xfId="0" applyNumberFormat="1" applyFont="1" applyFill="1" applyBorder="1" applyAlignment="1">
      <alignment horizontal="center"/>
    </xf>
    <xf numFmtId="0" fontId="38" fillId="20" borderId="14" xfId="0" applyFont="1" applyFill="1" applyBorder="1" applyAlignment="1">
      <alignment horizontal="center" vertical="center" wrapText="1"/>
    </xf>
    <xf numFmtId="0" fontId="38" fillId="20" borderId="2" xfId="0" applyFont="1" applyFill="1" applyBorder="1" applyAlignment="1">
      <alignment horizontal="center" vertical="center" wrapText="1"/>
    </xf>
    <xf numFmtId="0" fontId="24" fillId="20" borderId="2" xfId="0" applyFont="1" applyFill="1" applyBorder="1" applyAlignment="1">
      <alignment horizontal="center" vertical="center" wrapText="1"/>
    </xf>
    <xf numFmtId="1" fontId="24" fillId="20" borderId="2" xfId="0" applyNumberFormat="1" applyFont="1" applyFill="1" applyBorder="1" applyAlignment="1">
      <alignment horizontal="center" vertical="center" wrapText="1"/>
    </xf>
    <xf numFmtId="0" fontId="44" fillId="20" borderId="14" xfId="0" applyFont="1" applyFill="1" applyBorder="1" applyAlignment="1">
      <alignment horizontal="center" vertical="center" wrapText="1"/>
    </xf>
    <xf numFmtId="0" fontId="45" fillId="20" borderId="15" xfId="0" applyFont="1" applyFill="1" applyBorder="1" applyAlignment="1">
      <alignment horizontal="center" wrapText="1"/>
    </xf>
    <xf numFmtId="0" fontId="0" fillId="0" borderId="0" xfId="0" applyFont="1"/>
    <xf numFmtId="1" fontId="46" fillId="7" borderId="2" xfId="0" applyNumberFormat="1" applyFont="1" applyFill="1" applyBorder="1"/>
    <xf numFmtId="1" fontId="38" fillId="20" borderId="2" xfId="0" applyNumberFormat="1" applyFont="1" applyFill="1" applyBorder="1" applyAlignment="1">
      <alignment horizontal="center" wrapText="1"/>
    </xf>
    <xf numFmtId="1" fontId="24" fillId="20" borderId="14" xfId="0" applyNumberFormat="1" applyFont="1" applyFill="1" applyBorder="1" applyAlignment="1">
      <alignment horizontal="center"/>
    </xf>
    <xf numFmtId="1" fontId="38" fillId="7" borderId="2" xfId="0" applyNumberFormat="1" applyFont="1" applyFill="1" applyBorder="1" applyAlignment="1">
      <alignment horizontal="center" wrapText="1"/>
    </xf>
    <xf numFmtId="0" fontId="38" fillId="33" borderId="14" xfId="0" applyFont="1" applyFill="1" applyBorder="1" applyAlignment="1">
      <alignment horizontal="center" wrapText="1"/>
    </xf>
    <xf numFmtId="1" fontId="38" fillId="33" borderId="14" xfId="0" applyNumberFormat="1" applyFont="1" applyFill="1" applyBorder="1" applyAlignment="1">
      <alignment horizontal="center" wrapText="1"/>
    </xf>
    <xf numFmtId="0" fontId="38" fillId="21" borderId="14" xfId="0" applyFont="1" applyFill="1" applyBorder="1" applyAlignment="1">
      <alignment horizontal="center" vertical="center" wrapText="1"/>
    </xf>
    <xf numFmtId="1" fontId="38" fillId="21" borderId="14" xfId="0" applyNumberFormat="1" applyFont="1" applyFill="1" applyBorder="1" applyAlignment="1">
      <alignment horizontal="center" vertical="center" wrapText="1"/>
    </xf>
    <xf numFmtId="0" fontId="45" fillId="20" borderId="2" xfId="0" applyFont="1" applyFill="1" applyBorder="1" applyAlignment="1">
      <alignment horizontal="center" wrapText="1"/>
    </xf>
    <xf numFmtId="165" fontId="12" fillId="16" borderId="18" xfId="0" applyNumberFormat="1" applyFont="1" applyFill="1" applyBorder="1" applyAlignment="1">
      <alignment horizontal="center" vertical="center" wrapText="1"/>
    </xf>
    <xf numFmtId="0" fontId="11" fillId="0" borderId="18" xfId="0" applyFont="1" applyBorder="1"/>
    <xf numFmtId="2" fontId="11" fillId="0" borderId="18" xfId="0" applyNumberFormat="1" applyFont="1" applyBorder="1"/>
    <xf numFmtId="165" fontId="11" fillId="0" borderId="18" xfId="0" applyNumberFormat="1" applyFont="1" applyBorder="1"/>
    <xf numFmtId="165" fontId="0" fillId="0" borderId="0" xfId="0" applyNumberFormat="1"/>
    <xf numFmtId="9" fontId="12" fillId="16" borderId="18" xfId="0" applyNumberFormat="1" applyFont="1" applyFill="1" applyBorder="1" applyAlignment="1">
      <alignment horizontal="center" vertical="center" wrapText="1"/>
    </xf>
    <xf numFmtId="9" fontId="11" fillId="0" borderId="18" xfId="0" applyNumberFormat="1" applyFont="1" applyBorder="1"/>
    <xf numFmtId="9" fontId="0" fillId="0" borderId="0" xfId="0" applyNumberFormat="1"/>
    <xf numFmtId="0" fontId="26" fillId="0" borderId="0" xfId="0" applyFont="1" applyAlignment="1">
      <alignment wrapText="1"/>
    </xf>
    <xf numFmtId="4" fontId="26" fillId="0" borderId="0" xfId="0" applyNumberFormat="1" applyFont="1" applyAlignment="1">
      <alignment wrapText="1"/>
    </xf>
    <xf numFmtId="0" fontId="37" fillId="0" borderId="0" xfId="0" applyFont="1" applyAlignment="1">
      <alignment horizontal="center"/>
    </xf>
    <xf numFmtId="0" fontId="0" fillId="40" borderId="2" xfId="0" applyFill="1" applyBorder="1"/>
    <xf numFmtId="175" fontId="0" fillId="40" borderId="2" xfId="0" applyNumberFormat="1" applyFill="1" applyBorder="1"/>
    <xf numFmtId="0" fontId="47" fillId="16" borderId="0" xfId="0" applyFont="1" applyFill="1" applyAlignment="1">
      <alignment horizontal="center" wrapText="1"/>
    </xf>
    <xf numFmtId="1" fontId="0" fillId="0" borderId="0" xfId="0" applyNumberFormat="1"/>
    <xf numFmtId="0" fontId="0" fillId="0" borderId="20" xfId="0" applyBorder="1"/>
    <xf numFmtId="9" fontId="0" fillId="0" borderId="20" xfId="0" applyNumberFormat="1" applyBorder="1"/>
    <xf numFmtId="3" fontId="0" fillId="0" borderId="20" xfId="0" applyNumberFormat="1" applyBorder="1"/>
    <xf numFmtId="170" fontId="0" fillId="0" borderId="20" xfId="0" applyNumberFormat="1" applyBorder="1"/>
    <xf numFmtId="0" fontId="0" fillId="0" borderId="21" xfId="0" applyBorder="1"/>
    <xf numFmtId="9" fontId="0" fillId="0" borderId="21" xfId="0" applyNumberFormat="1" applyBorder="1"/>
    <xf numFmtId="3" fontId="0" fillId="0" borderId="21" xfId="0" applyNumberFormat="1" applyBorder="1"/>
    <xf numFmtId="170" fontId="0" fillId="0" borderId="21" xfId="0" applyNumberFormat="1" applyBorder="1"/>
    <xf numFmtId="1" fontId="0" fillId="0" borderId="21" xfId="0" applyNumberFormat="1" applyBorder="1"/>
    <xf numFmtId="0" fontId="0" fillId="0" borderId="22" xfId="0" applyBorder="1"/>
    <xf numFmtId="1" fontId="0" fillId="0" borderId="22" xfId="0" applyNumberFormat="1" applyBorder="1"/>
    <xf numFmtId="174" fontId="0" fillId="0" borderId="0" xfId="0" applyNumberFormat="1"/>
    <xf numFmtId="0" fontId="37" fillId="0" borderId="0" xfId="0" applyFont="1"/>
    <xf numFmtId="0" fontId="0" fillId="41" borderId="2" xfId="0" applyFill="1" applyBorder="1"/>
    <xf numFmtId="0" fontId="48" fillId="0" borderId="0" xfId="0" applyFont="1"/>
    <xf numFmtId="0" fontId="49" fillId="0" borderId="0" xfId="0" applyFont="1"/>
    <xf numFmtId="0" fontId="47" fillId="15" borderId="23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3" fontId="0" fillId="0" borderId="15" xfId="0" applyNumberFormat="1" applyBorder="1" applyAlignment="1">
      <alignment horizontal="center" vertical="center"/>
    </xf>
    <xf numFmtId="9" fontId="0" fillId="0" borderId="15" xfId="0" applyNumberFormat="1" applyBorder="1" applyAlignment="1">
      <alignment horizontal="center" vertical="center"/>
    </xf>
    <xf numFmtId="1" fontId="0" fillId="0" borderId="15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9" fontId="0" fillId="0" borderId="2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50" fillId="0" borderId="0" xfId="0" applyFont="1"/>
    <xf numFmtId="0" fontId="47" fillId="42" borderId="0" xfId="0" applyFont="1" applyFill="1"/>
    <xf numFmtId="0" fontId="0" fillId="0" borderId="24" xfId="0" applyBorder="1"/>
    <xf numFmtId="0" fontId="0" fillId="0" borderId="25" xfId="0" applyBorder="1"/>
    <xf numFmtId="3" fontId="0" fillId="0" borderId="25" xfId="0" applyNumberFormat="1" applyBorder="1"/>
    <xf numFmtId="9" fontId="0" fillId="0" borderId="25" xfId="0" applyNumberFormat="1" applyBorder="1"/>
    <xf numFmtId="165" fontId="0" fillId="0" borderId="25" xfId="0" applyNumberFormat="1" applyBorder="1"/>
    <xf numFmtId="0" fontId="0" fillId="0" borderId="26" xfId="0" applyBorder="1"/>
    <xf numFmtId="0" fontId="0" fillId="12" borderId="27" xfId="0" applyFill="1" applyBorder="1"/>
    <xf numFmtId="0" fontId="0" fillId="12" borderId="28" xfId="0" applyFill="1" applyBorder="1"/>
    <xf numFmtId="3" fontId="0" fillId="12" borderId="28" xfId="0" applyNumberFormat="1" applyFill="1" applyBorder="1"/>
    <xf numFmtId="9" fontId="0" fillId="12" borderId="28" xfId="0" applyNumberFormat="1" applyFill="1" applyBorder="1"/>
    <xf numFmtId="165" fontId="0" fillId="12" borderId="28" xfId="0" applyNumberFormat="1" applyFill="1" applyBorder="1"/>
    <xf numFmtId="0" fontId="0" fillId="12" borderId="29" xfId="0" applyFill="1" applyBorder="1"/>
    <xf numFmtId="0" fontId="0" fillId="0" borderId="27" xfId="0" applyBorder="1"/>
    <xf numFmtId="0" fontId="0" fillId="0" borderId="28" xfId="0" applyBorder="1"/>
    <xf numFmtId="3" fontId="0" fillId="0" borderId="28" xfId="0" applyNumberFormat="1" applyBorder="1"/>
    <xf numFmtId="9" fontId="0" fillId="0" borderId="28" xfId="0" applyNumberFormat="1" applyBorder="1"/>
    <xf numFmtId="165" fontId="0" fillId="0" borderId="28" xfId="0" applyNumberFormat="1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3" fontId="0" fillId="0" borderId="31" xfId="0" applyNumberFormat="1" applyBorder="1"/>
    <xf numFmtId="9" fontId="0" fillId="0" borderId="31" xfId="0" applyNumberFormat="1" applyBorder="1"/>
    <xf numFmtId="165" fontId="0" fillId="0" borderId="31" xfId="0" applyNumberFormat="1" applyBorder="1"/>
    <xf numFmtId="0" fontId="0" fillId="0" borderId="32" xfId="0" applyBorder="1"/>
    <xf numFmtId="0" fontId="47" fillId="16" borderId="0" xfId="0" applyFont="1" applyFill="1"/>
    <xf numFmtId="172" fontId="0" fillId="0" borderId="0" xfId="0" applyNumberFormat="1"/>
    <xf numFmtId="171" fontId="0" fillId="0" borderId="0" xfId="0" applyNumberFormat="1"/>
    <xf numFmtId="3" fontId="0" fillId="0" borderId="0" xfId="0" applyNumberFormat="1"/>
    <xf numFmtId="167" fontId="0" fillId="0" borderId="0" xfId="0" applyNumberFormat="1"/>
    <xf numFmtId="0" fontId="12" fillId="16" borderId="0" xfId="0" applyFont="1" applyFill="1" applyAlignment="1">
      <alignment wrapText="1"/>
    </xf>
    <xf numFmtId="0" fontId="11" fillId="0" borderId="0" xfId="0" applyFont="1" applyAlignment="1">
      <alignment wrapText="1"/>
    </xf>
    <xf numFmtId="0" fontId="0" fillId="0" borderId="0" xfId="0" applyAlignment="1">
      <alignment wrapText="1"/>
    </xf>
  </cellXfs>
  <cellStyles count="10">
    <cellStyle name="cf1" xfId="2" xr:uid="{F2B42EDF-8D9E-4E4A-A113-9B6892FFD020}"/>
    <cellStyle name="cf2" xfId="3" xr:uid="{6495018B-D163-4EFA-82C6-D693F1B62AD2}"/>
    <cellStyle name="cf3" xfId="4" xr:uid="{86971C09-D3FB-432F-87B0-AE96CA930136}"/>
    <cellStyle name="cf4" xfId="5" xr:uid="{10A1F904-4AF7-4855-A685-647D51CC16F2}"/>
    <cellStyle name="cf5" xfId="6" xr:uid="{B3288F18-D411-49A1-BF6E-200EB5CA5D01}"/>
    <cellStyle name="cf6" xfId="7" xr:uid="{FD819D61-FC97-4005-A74B-E0FE13D447C7}"/>
    <cellStyle name="cf7" xfId="8" xr:uid="{47D853ED-934D-449C-B951-A263D03477CA}"/>
    <cellStyle name="cf8" xfId="9" xr:uid="{1B647DF4-3979-473E-9696-145489AB466A}"/>
    <cellStyle name="Comma" xfId="1" builtinId="3" customBuiltin="1"/>
    <cellStyle name="Normal" xfId="0" builtinId="0" customBuiltin="1"/>
  </cellStyles>
  <dxfs count="35">
    <dxf>
      <font>
        <color rgb="FF006100"/>
        <family val="2"/>
      </font>
      <fill>
        <patternFill patternType="solid">
          <fgColor rgb="FFC6EFCE"/>
          <bgColor rgb="FFC6EFCE"/>
        </patternFill>
      </fill>
    </dxf>
    <dxf>
      <font>
        <color rgb="FF9C5700"/>
        <family val="2"/>
      </font>
      <fill>
        <patternFill patternType="solid">
          <fgColor rgb="FFFFEB9C"/>
          <bgColor rgb="FFFFEB9C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b/>
        <color rgb="FF9C5700"/>
        <family val="2"/>
      </font>
      <fill>
        <patternFill patternType="solid">
          <fgColor rgb="FFFCE5CD"/>
          <bgColor rgb="FFFCE5CD"/>
        </patternFill>
      </fill>
    </dxf>
    <dxf>
      <font>
        <b/>
        <color rgb="FF9C0006"/>
        <family val="2"/>
      </font>
      <fill>
        <patternFill patternType="solid">
          <fgColor rgb="FFF4CCCC"/>
          <bgColor rgb="FFF4CCCC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B6D7A8"/>
          <bgColor rgb="FFB6D7A8"/>
        </patternFill>
      </fill>
    </dxf>
    <dxf>
      <font>
        <color rgb="FF006100"/>
        <family val="2"/>
      </font>
      <fill>
        <patternFill patternType="solid">
          <fgColor rgb="FFC6EFCE"/>
          <bgColor rgb="FFC6EFCE"/>
        </patternFill>
      </fill>
    </dxf>
    <dxf>
      <font>
        <color rgb="FF9C5700"/>
        <family val="2"/>
      </font>
      <fill>
        <patternFill patternType="solid">
          <fgColor rgb="FFFFEB9C"/>
          <bgColor rgb="FFFFEB9C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006100"/>
        <family val="2"/>
      </font>
      <fill>
        <patternFill patternType="solid">
          <fgColor rgb="FFC6EFCE"/>
          <bgColor rgb="FFC6EF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b/>
        <color rgb="FF9C5700"/>
        <family val="2"/>
      </font>
      <fill>
        <patternFill patternType="solid">
          <fgColor rgb="FFFCE5CD"/>
          <bgColor rgb="FFFCE5CD"/>
        </patternFill>
      </fill>
    </dxf>
    <dxf>
      <font>
        <b/>
        <color rgb="FF9C0006"/>
        <family val="2"/>
      </font>
      <fill>
        <patternFill patternType="solid">
          <fgColor rgb="FFF4CCCC"/>
          <bgColor rgb="FFF4CCCC"/>
        </patternFill>
      </fill>
    </dxf>
    <dxf>
      <font>
        <color rgb="FF006100"/>
        <family val="2"/>
      </font>
      <fill>
        <patternFill patternType="solid">
          <fgColor rgb="FFC6EFCE"/>
          <bgColor rgb="FFC6EFCE"/>
        </patternFill>
      </fill>
    </dxf>
    <dxf>
      <font>
        <color rgb="FF9C5700"/>
        <family val="2"/>
      </font>
      <fill>
        <patternFill patternType="solid">
          <fgColor rgb="FFFFEB9C"/>
          <bgColor rgb="FFFFEB9C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B6D7A8"/>
          <bgColor rgb="FFB6D7A8"/>
        </patternFill>
      </fill>
    </dxf>
    <dxf>
      <font>
        <color rgb="FF006100"/>
        <family val="2"/>
      </font>
      <fill>
        <patternFill patternType="solid">
          <fgColor rgb="FFC6EFCE"/>
          <bgColor rgb="FFC6EF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5700"/>
        <family val="2"/>
      </font>
      <fill>
        <patternFill patternType="solid">
          <fgColor rgb="FFFFEB9C"/>
          <bgColor rgb="FFFFEB9C"/>
        </patternFill>
      </fill>
    </dxf>
    <dxf>
      <font>
        <color rgb="FF006100"/>
        <family val="2"/>
      </font>
      <fill>
        <patternFill patternType="solid">
          <fgColor rgb="FFC6EFCE"/>
          <bgColor rgb="FFC6EF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lIns="0" tIns="0" rIns="0" bIns="0"/>
          <a:lstStyle/>
          <a:p>
            <a:pPr marL="0" marR="0" indent="0" algn="ctr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1080" b="0" i="0" u="none" strike="noStrike" kern="1200" spc="0" baseline="0">
                <a:solidFill>
                  <a:srgbClr val="595959"/>
                </a:solidFill>
                <a:latin typeface="Arial"/>
                <a:ea typeface="Arial"/>
                <a:cs typeface="Arial"/>
              </a:defRPr>
            </a:pPr>
            <a:r>
              <a:rPr lang="en-IN" sz="1080" b="0" i="0" u="none" strike="noStrike" kern="1200" cap="none" spc="0" baseline="0">
                <a:solidFill>
                  <a:srgbClr val="595959"/>
                </a:solidFill>
                <a:uFillTx/>
                <a:latin typeface="Arial"/>
                <a:ea typeface="Arial"/>
                <a:cs typeface="Arial"/>
              </a:rPr>
              <a:t>Pending SKUs by Priority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Dashboard!$I$21:$I$21</c:f>
              <c:strCache>
                <c:ptCount val="1"/>
                <c:pt idx="0">
                  <c:v>SKU Count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  <a:ln w="19046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412-4055-8C7E-054927D596B0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  <a:ln w="19046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F412-4055-8C7E-054927D596B0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  <a:ln w="19046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412-4055-8C7E-054927D596B0}"/>
              </c:ext>
            </c:extLst>
          </c:dPt>
          <c:cat>
            <c:strRef>
              <c:f>Dashboard!$H$22:$H$24</c:f>
              <c:strCache>
                <c:ptCount val="3"/>
                <c:pt idx="0">
                  <c:v>P1 – Critical</c:v>
                </c:pt>
                <c:pt idx="1">
                  <c:v>P2 – High</c:v>
                </c:pt>
                <c:pt idx="2">
                  <c:v>P3 – Normal</c:v>
                </c:pt>
              </c:strCache>
            </c:strRef>
          </c:cat>
          <c:val>
            <c:numRef>
              <c:f>Dashboard!$I$22:$I$24</c:f>
              <c:numCache>
                <c:formatCode>#,##0</c:formatCode>
                <c:ptCount val="3"/>
                <c:pt idx="0">
                  <c:v>13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12-4055-8C7E-054927D596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360"/>
        <c:holeSize val="75"/>
      </c:doughnutChart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 lIns="0" tIns="0" rIns="0" bIns="0"/>
        <a:lstStyle/>
        <a:p>
          <a:pPr marL="0" marR="0" indent="0" defTabSz="91440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tabLst/>
            <a:defRPr sz="900" b="0" i="0" u="none" strike="noStrike" kern="1200" baseline="0">
              <a:solidFill>
                <a:srgbClr val="595959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8" cap="flat">
      <a:solidFill>
        <a:srgbClr val="D9D9D9"/>
      </a:solidFill>
      <a:prstDash val="solid"/>
      <a:round/>
    </a:ln>
  </c:spPr>
  <c:txPr>
    <a:bodyPr lIns="0" tIns="0" rIns="0" bIns="0"/>
    <a:lstStyle/>
    <a:p>
      <a:pPr marL="0" marR="0" indent="0" defTabSz="914400" fontAlgn="auto" hangingPunct="1">
        <a:lnSpc>
          <a:spcPct val="100000"/>
        </a:lnSpc>
        <a:spcBef>
          <a:spcPts val="0"/>
        </a:spcBef>
        <a:spcAft>
          <a:spcPts val="0"/>
        </a:spcAft>
        <a:tabLst/>
        <a:defRPr lang="en-US" sz="900" b="0" i="0" u="none" strike="noStrike" kern="1200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lIns="0" tIns="0" rIns="0" bIns="0"/>
          <a:lstStyle/>
          <a:p>
            <a:pPr marL="0" marR="0" indent="0" algn="ctr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1080" b="0" i="0" u="none" strike="noStrike" kern="1200" spc="0" baseline="0">
                <a:solidFill>
                  <a:srgbClr val="595959"/>
                </a:solidFill>
                <a:latin typeface="Arial"/>
                <a:ea typeface="Arial"/>
                <a:cs typeface="Arial"/>
              </a:defRPr>
            </a:pPr>
            <a:r>
              <a:rPr lang="en-IN" sz="1080" b="0" i="0" u="none" strike="noStrike" kern="1200" cap="none" spc="0" baseline="0">
                <a:solidFill>
                  <a:srgbClr val="595959"/>
                </a:solidFill>
                <a:uFillTx/>
                <a:latin typeface="Arial"/>
                <a:ea typeface="Arial"/>
                <a:cs typeface="Arial"/>
              </a:rPr>
              <a:t>Top 10 Pending SKUs (packets)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Dashboard!$AD$107:$AD$107</c:f>
              <c:strCache>
                <c:ptCount val="1"/>
                <c:pt idx="0">
                  <c:v>Pending PKT</c:v>
                </c:pt>
              </c:strCache>
            </c:strRef>
          </c:tx>
          <c:spPr>
            <a:solidFill>
              <a:srgbClr val="4285F4"/>
            </a:solidFill>
            <a:ln>
              <a:noFill/>
            </a:ln>
          </c:spPr>
          <c:invertIfNegative val="0"/>
          <c:val>
            <c:numRef>
              <c:f>Dashboard!$AD$108:$AD$117</c:f>
            </c:numRef>
          </c:val>
          <c:extLst>
            <c:ext xmlns:c16="http://schemas.microsoft.com/office/drawing/2014/chart" uri="{C3380CC4-5D6E-409C-BE32-E72D297353CC}">
              <c16:uniqueId val="{00000000-5F0B-4E85-9C16-3BC162A81D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43713151"/>
        <c:axId val="623613295"/>
      </c:barChart>
      <c:valAx>
        <c:axId val="623613295"/>
        <c:scaling>
          <c:orientation val="minMax"/>
        </c:scaling>
        <c:delete val="0"/>
        <c:axPos val="b"/>
        <c:majorGridlines>
          <c:spPr>
            <a:ln w="9528" cap="flat">
              <a:solidFill>
                <a:srgbClr val="D9D9D9"/>
              </a:solidFill>
              <a:prstDash val="solid"/>
              <a:round/>
            </a:ln>
          </c:spPr>
        </c:majorGridlines>
        <c:majorTickMark val="none"/>
        <c:minorTickMark val="none"/>
        <c:tickLblPos val="nextTo"/>
        <c:spPr>
          <a:noFill/>
          <a:ln>
            <a:noFill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900" b="0" i="0" u="none" strike="noStrike" kern="1200" baseline="0">
                <a:solidFill>
                  <a:srgbClr val="595959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43713151"/>
        <c:crosses val="autoZero"/>
        <c:crossBetween val="between"/>
      </c:valAx>
      <c:catAx>
        <c:axId val="943713151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8" cap="flat">
            <a:solidFill>
              <a:srgbClr val="D9D9D9"/>
            </a:solidFill>
            <a:prstDash val="solid"/>
            <a:round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900" b="0" i="0" u="none" strike="noStrike" kern="1200" baseline="0">
                <a:solidFill>
                  <a:srgbClr val="595959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23613295"/>
        <c:crosses val="autoZero"/>
        <c:auto val="1"/>
        <c:lblAlgn val="ctr"/>
        <c:lblOffset val="100"/>
        <c:noMultiLvlLbl val="0"/>
      </c:catAx>
      <c:spPr>
        <a:noFill/>
        <a:ln>
          <a:noFill/>
        </a:ln>
      </c:spPr>
    </c:plotArea>
    <c:plotVisOnly val="1"/>
    <c:dispBlanksAs val="gap"/>
    <c:showDLblsOverMax val="0"/>
  </c:chart>
  <c:spPr>
    <a:solidFill>
      <a:srgbClr val="FFFFFF"/>
    </a:solidFill>
    <a:ln w="9528" cap="flat">
      <a:solidFill>
        <a:srgbClr val="D9D9D9"/>
      </a:solidFill>
      <a:prstDash val="solid"/>
      <a:round/>
    </a:ln>
  </c:spPr>
  <c:txPr>
    <a:bodyPr lIns="0" tIns="0" rIns="0" bIns="0"/>
    <a:lstStyle/>
    <a:p>
      <a:pPr marL="0" marR="0" indent="0" defTabSz="914400" fontAlgn="auto" hangingPunct="1">
        <a:lnSpc>
          <a:spcPct val="100000"/>
        </a:lnSpc>
        <a:spcBef>
          <a:spcPts val="0"/>
        </a:spcBef>
        <a:spcAft>
          <a:spcPts val="0"/>
        </a:spcAft>
        <a:tabLst/>
        <a:defRPr lang="en-US" sz="900" b="0" i="0" u="none" strike="noStrike" kern="1200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lIns="0" tIns="0" rIns="0" bIns="0"/>
          <a:lstStyle/>
          <a:p>
            <a:pPr marL="0" marR="0" indent="0" algn="ctr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1080" b="0" i="0" u="none" strike="noStrike" kern="1200" spc="0" baseline="0">
                <a:solidFill>
                  <a:srgbClr val="595959"/>
                </a:solidFill>
                <a:latin typeface="Arial"/>
                <a:ea typeface="Arial"/>
                <a:cs typeface="Arial"/>
              </a:defRPr>
            </a:pPr>
            <a:r>
              <a:rPr lang="en-IN" sz="1080" b="0" i="0" u="none" strike="noStrike" kern="1200" cap="none" spc="0" baseline="0">
                <a:solidFill>
                  <a:srgbClr val="595959"/>
                </a:solidFill>
                <a:uFillTx/>
                <a:latin typeface="Arial"/>
                <a:ea typeface="Arial"/>
                <a:cs typeface="Arial"/>
              </a:rPr>
              <a:t>Plan vs Produced by Section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Dashboard!$AD$98:$AD$98</c:f>
              <c:strCache>
                <c:ptCount val="1"/>
                <c:pt idx="0">
                  <c:v>Plan</c:v>
                </c:pt>
              </c:strCache>
            </c:strRef>
          </c:tx>
          <c:spPr>
            <a:solidFill>
              <a:srgbClr val="4285F4"/>
            </a:solidFill>
            <a:ln>
              <a:noFill/>
            </a:ln>
          </c:spPr>
          <c:invertIfNegative val="0"/>
          <c:val>
            <c:numRef>
              <c:f>Dashboard!$AD$99:$AD$104</c:f>
            </c:numRef>
          </c:val>
          <c:extLst>
            <c:ext xmlns:c16="http://schemas.microsoft.com/office/drawing/2014/chart" uri="{C3380CC4-5D6E-409C-BE32-E72D297353CC}">
              <c16:uniqueId val="{00000000-43A9-4A8F-AFB7-58CCC58E8118}"/>
            </c:ext>
          </c:extLst>
        </c:ser>
        <c:ser>
          <c:idx val="1"/>
          <c:order val="1"/>
          <c:tx>
            <c:strRef>
              <c:f>Dashboard!$AE$98:$AE$98</c:f>
              <c:strCache>
                <c:ptCount val="1"/>
                <c:pt idx="0">
                  <c:v>Produced</c:v>
                </c:pt>
              </c:strCache>
            </c:strRef>
          </c:tx>
          <c:spPr>
            <a:solidFill>
              <a:srgbClr val="EA4335"/>
            </a:solidFill>
            <a:ln>
              <a:noFill/>
            </a:ln>
          </c:spPr>
          <c:invertIfNegative val="0"/>
          <c:val>
            <c:numRef>
              <c:f>Dashboard!$AE$99:$AE$104</c:f>
            </c:numRef>
          </c:val>
          <c:extLst>
            <c:ext xmlns:c16="http://schemas.microsoft.com/office/drawing/2014/chart" uri="{C3380CC4-5D6E-409C-BE32-E72D297353CC}">
              <c16:uniqueId val="{00000001-43A9-4A8F-AFB7-58CCC58E81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3710367"/>
        <c:axId val="623610895"/>
      </c:barChart>
      <c:valAx>
        <c:axId val="623610895"/>
        <c:scaling>
          <c:orientation val="minMax"/>
        </c:scaling>
        <c:delete val="0"/>
        <c:axPos val="l"/>
        <c:majorGridlines>
          <c:spPr>
            <a:ln w="9528" cap="flat">
              <a:solidFill>
                <a:srgbClr val="D9D9D9"/>
              </a:solidFill>
              <a:prstDash val="solid"/>
              <a:round/>
            </a:ln>
          </c:spPr>
        </c:majorGridlines>
        <c:majorTickMark val="none"/>
        <c:minorTickMark val="none"/>
        <c:tickLblPos val="nextTo"/>
        <c:spPr>
          <a:noFill/>
          <a:ln>
            <a:noFill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900" b="0" i="0" u="none" strike="noStrike" kern="1200" baseline="0">
                <a:solidFill>
                  <a:srgbClr val="595959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43710367"/>
        <c:crosses val="autoZero"/>
        <c:crossBetween val="between"/>
      </c:valAx>
      <c:catAx>
        <c:axId val="9437103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8" cap="flat">
            <a:solidFill>
              <a:srgbClr val="D9D9D9"/>
            </a:solidFill>
            <a:prstDash val="solid"/>
            <a:round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900" b="0" i="0" u="none" strike="noStrike" kern="1200" baseline="0">
                <a:solidFill>
                  <a:srgbClr val="595959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23610895"/>
        <c:crosses val="autoZero"/>
        <c:auto val="1"/>
        <c:lblAlgn val="ctr"/>
        <c:lblOffset val="100"/>
        <c:noMultiLvlLbl val="0"/>
      </c:cat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 lIns="0" tIns="0" rIns="0" bIns="0"/>
        <a:lstStyle/>
        <a:p>
          <a:pPr marL="0" marR="0" indent="0" defTabSz="91440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tabLst/>
            <a:defRPr sz="900" b="0" i="0" u="none" strike="noStrike" kern="1200" baseline="0">
              <a:solidFill>
                <a:srgbClr val="595959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8" cap="flat">
      <a:solidFill>
        <a:srgbClr val="D9D9D9"/>
      </a:solidFill>
      <a:prstDash val="solid"/>
      <a:round/>
    </a:ln>
  </c:spPr>
  <c:txPr>
    <a:bodyPr lIns="0" tIns="0" rIns="0" bIns="0"/>
    <a:lstStyle/>
    <a:p>
      <a:pPr marL="0" marR="0" indent="0" defTabSz="914400" fontAlgn="auto" hangingPunct="1">
        <a:lnSpc>
          <a:spcPct val="100000"/>
        </a:lnSpc>
        <a:spcBef>
          <a:spcPts val="0"/>
        </a:spcBef>
        <a:spcAft>
          <a:spcPts val="0"/>
        </a:spcAft>
        <a:tabLst/>
        <a:defRPr lang="en-US" sz="900" b="0" i="0" u="none" strike="noStrike" kern="1200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lIns="0" tIns="0" rIns="0" bIns="0"/>
          <a:lstStyle/>
          <a:p>
            <a:pPr marL="0" marR="0" indent="0" algn="ctr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1080" b="0" i="0" u="none" strike="noStrike" kern="1200" spc="0" baseline="0">
                <a:solidFill>
                  <a:srgbClr val="595959"/>
                </a:solidFill>
                <a:latin typeface="Arial"/>
                <a:ea typeface="Arial"/>
                <a:cs typeface="Arial"/>
              </a:defRPr>
            </a:pPr>
            <a:r>
              <a:rPr lang="en-IN" sz="1080" b="0" i="0" u="none" strike="noStrike" kern="1200" cap="none" spc="0" baseline="0">
                <a:solidFill>
                  <a:srgbClr val="595959"/>
                </a:solidFill>
                <a:uFillTx/>
                <a:latin typeface="Arial"/>
                <a:ea typeface="Arial"/>
                <a:cs typeface="Arial"/>
              </a:rPr>
              <a:t>Fulfillment % by Section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Dashboard!$AI$98:$AI$98</c:f>
              <c:strCache>
                <c:ptCount val="1"/>
                <c:pt idx="0">
                  <c:v>Fulfillment</c:v>
                </c:pt>
              </c:strCache>
            </c:strRef>
          </c:tx>
          <c:spPr>
            <a:solidFill>
              <a:srgbClr val="4285F4"/>
            </a:solidFill>
            <a:ln>
              <a:noFill/>
            </a:ln>
          </c:spPr>
          <c:invertIfNegative val="0"/>
          <c:cat>
            <c:strRef>
              <c:f>Dashboard!$AH$99:$AH$104</c:f>
              <c:strCache>
                <c:ptCount val="1"/>
                <c:pt idx="0">
                  <c:v>Ghee</c:v>
                </c:pt>
              </c:strCache>
            </c:strRef>
          </c:cat>
          <c:val>
            <c:numRef>
              <c:f>Dashboard!$AI$99:$AI$104</c:f>
              <c:numCache>
                <c:formatCode>General</c:formatCode>
                <c:ptCount val="6"/>
                <c:pt idx="0">
                  <c:v>0.56325354922382576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45-4795-92E5-0964D4973F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3709903"/>
        <c:axId val="623608015"/>
      </c:barChart>
      <c:valAx>
        <c:axId val="623608015"/>
        <c:scaling>
          <c:orientation val="minMax"/>
        </c:scaling>
        <c:delete val="0"/>
        <c:axPos val="l"/>
        <c:majorGridlines>
          <c:spPr>
            <a:ln w="9528" cap="flat">
              <a:solidFill>
                <a:srgbClr val="D9D9D9"/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900" b="0" i="0" u="none" strike="noStrike" kern="1200" baseline="0">
                <a:solidFill>
                  <a:srgbClr val="595959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43709903"/>
        <c:crosses val="autoZero"/>
        <c:crossBetween val="between"/>
      </c:valAx>
      <c:catAx>
        <c:axId val="943709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8" cap="flat">
            <a:solidFill>
              <a:srgbClr val="D9D9D9"/>
            </a:solidFill>
            <a:prstDash val="solid"/>
            <a:round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900" b="0" i="0" u="none" strike="noStrike" kern="1200" baseline="0">
                <a:solidFill>
                  <a:srgbClr val="595959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23608015"/>
        <c:crosses val="autoZero"/>
        <c:auto val="1"/>
        <c:lblAlgn val="ctr"/>
        <c:lblOffset val="100"/>
        <c:noMultiLvlLbl val="0"/>
      </c:catAx>
      <c:spPr>
        <a:noFill/>
        <a:ln>
          <a:noFill/>
        </a:ln>
      </c:spPr>
    </c:plotArea>
    <c:plotVisOnly val="1"/>
    <c:dispBlanksAs val="gap"/>
    <c:showDLblsOverMax val="0"/>
  </c:chart>
  <c:spPr>
    <a:solidFill>
      <a:srgbClr val="FFFFFF"/>
    </a:solidFill>
    <a:ln w="9528" cap="flat">
      <a:solidFill>
        <a:srgbClr val="D9D9D9"/>
      </a:solidFill>
      <a:prstDash val="solid"/>
      <a:round/>
    </a:ln>
  </c:spPr>
  <c:txPr>
    <a:bodyPr lIns="0" tIns="0" rIns="0" bIns="0"/>
    <a:lstStyle/>
    <a:p>
      <a:pPr marL="0" marR="0" indent="0" defTabSz="914400" fontAlgn="auto" hangingPunct="1">
        <a:lnSpc>
          <a:spcPct val="100000"/>
        </a:lnSpc>
        <a:spcBef>
          <a:spcPts val="0"/>
        </a:spcBef>
        <a:spcAft>
          <a:spcPts val="0"/>
        </a:spcAft>
        <a:tabLst/>
        <a:defRPr lang="en-US" sz="900" b="0" i="0" u="none" strike="noStrike" kern="1200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lIns="0" tIns="0" rIns="0" bIns="0"/>
          <a:lstStyle/>
          <a:p>
            <a:pPr marL="0" marR="0" indent="0" algn="ctr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1080" b="0" i="0" u="none" strike="noStrike" kern="1200" spc="0" baseline="0">
                <a:solidFill>
                  <a:srgbClr val="595959"/>
                </a:solidFill>
                <a:latin typeface="Arial"/>
                <a:ea typeface="Arial"/>
                <a:cs typeface="Arial"/>
              </a:defRPr>
            </a:pPr>
            <a:r>
              <a:rPr lang="en-IN" sz="1080" b="0" i="0" u="none" strike="noStrike" kern="1200" cap="none" spc="0" baseline="0">
                <a:solidFill>
                  <a:srgbClr val="595959"/>
                </a:solidFill>
                <a:uFillTx/>
                <a:latin typeface="Arial"/>
                <a:ea typeface="Arial"/>
                <a:cs typeface="Arial"/>
              </a:rPr>
              <a:t>Burn-up: Actual vs Target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Dashboard!$AD$120:$AD$120</c:f>
              <c:strCache>
                <c:ptCount val="1"/>
                <c:pt idx="0">
                  <c:v>Actual</c:v>
                </c:pt>
              </c:strCache>
            </c:strRef>
          </c:tx>
          <c:spPr>
            <a:ln w="28575" cap="rnd">
              <a:solidFill>
                <a:srgbClr val="4285F4"/>
              </a:solidFill>
              <a:prstDash val="solid"/>
              <a:round/>
            </a:ln>
          </c:spPr>
          <c:marker>
            <c:symbol val="none"/>
          </c:marker>
          <c:val>
            <c:numRef>
              <c:f>Dashboard!$AD$121:$AD$151</c:f>
            </c:numRef>
          </c:val>
          <c:smooth val="0"/>
          <c:extLst>
            <c:ext xmlns:c16="http://schemas.microsoft.com/office/drawing/2014/chart" uri="{C3380CC4-5D6E-409C-BE32-E72D297353CC}">
              <c16:uniqueId val="{00000000-5F10-49A1-A9C8-FD0A7849414A}"/>
            </c:ext>
          </c:extLst>
        </c:ser>
        <c:ser>
          <c:idx val="1"/>
          <c:order val="1"/>
          <c:tx>
            <c:strRef>
              <c:f>Dashboard!$AE$120:$AE$120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solidFill>
                <a:srgbClr val="EA4335"/>
              </a:solidFill>
              <a:prstDash val="solid"/>
              <a:round/>
            </a:ln>
          </c:spPr>
          <c:marker>
            <c:symbol val="none"/>
          </c:marker>
          <c:val>
            <c:numRef>
              <c:f>Dashboard!$AE$121:$AE$151</c:f>
            </c:numRef>
          </c:val>
          <c:smooth val="0"/>
          <c:extLst>
            <c:ext xmlns:c16="http://schemas.microsoft.com/office/drawing/2014/chart" uri="{C3380CC4-5D6E-409C-BE32-E72D297353CC}">
              <c16:uniqueId val="{00000001-5F10-49A1-A9C8-FD0A784941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4254287"/>
        <c:axId val="623614255"/>
      </c:lineChart>
      <c:valAx>
        <c:axId val="623614255"/>
        <c:scaling>
          <c:orientation val="minMax"/>
        </c:scaling>
        <c:delete val="0"/>
        <c:axPos val="l"/>
        <c:majorGridlines>
          <c:spPr>
            <a:ln w="9528" cap="flat">
              <a:solidFill>
                <a:srgbClr val="D9D9D9"/>
              </a:solidFill>
              <a:prstDash val="solid"/>
              <a:round/>
            </a:ln>
          </c:spPr>
        </c:majorGridlines>
        <c:majorTickMark val="none"/>
        <c:minorTickMark val="none"/>
        <c:tickLblPos val="nextTo"/>
        <c:spPr>
          <a:noFill/>
          <a:ln>
            <a:noFill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900" b="0" i="0" u="none" strike="noStrike" kern="1200" baseline="0">
                <a:solidFill>
                  <a:srgbClr val="595959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44254287"/>
        <c:crosses val="autoZero"/>
        <c:crossBetween val="between"/>
      </c:valAx>
      <c:catAx>
        <c:axId val="9442542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8" cap="flat">
            <a:solidFill>
              <a:srgbClr val="D9D9D9"/>
            </a:solidFill>
            <a:prstDash val="solid"/>
            <a:round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900" b="0" i="0" u="none" strike="noStrike" kern="1200" baseline="0">
                <a:solidFill>
                  <a:srgbClr val="595959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23614255"/>
        <c:crosses val="autoZero"/>
        <c:auto val="1"/>
        <c:lblAlgn val="ctr"/>
        <c:lblOffset val="100"/>
        <c:noMultiLvlLbl val="0"/>
      </c:cat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 lIns="0" tIns="0" rIns="0" bIns="0"/>
        <a:lstStyle/>
        <a:p>
          <a:pPr marL="0" marR="0" indent="0" defTabSz="91440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tabLst/>
            <a:defRPr sz="900" b="0" i="0" u="none" strike="noStrike" kern="1200" baseline="0">
              <a:solidFill>
                <a:srgbClr val="595959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8" cap="flat">
      <a:solidFill>
        <a:srgbClr val="D9D9D9"/>
      </a:solidFill>
      <a:prstDash val="solid"/>
      <a:round/>
    </a:ln>
  </c:spPr>
  <c:txPr>
    <a:bodyPr lIns="0" tIns="0" rIns="0" bIns="0"/>
    <a:lstStyle/>
    <a:p>
      <a:pPr marL="0" marR="0" indent="0" defTabSz="914400" fontAlgn="auto" hangingPunct="1">
        <a:lnSpc>
          <a:spcPct val="100000"/>
        </a:lnSpc>
        <a:spcBef>
          <a:spcPts val="0"/>
        </a:spcBef>
        <a:spcAft>
          <a:spcPts val="0"/>
        </a:spcAft>
        <a:tabLst/>
        <a:defRPr lang="en-US" sz="900" b="0" i="0" u="none" strike="noStrike" kern="1200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99</xdr:row>
      <xdr:rowOff>0</xdr:rowOff>
    </xdr:from>
    <xdr:ext cx="4181478" cy="2286000"/>
    <xdr:graphicFrame macro="">
      <xdr:nvGraphicFramePr>
        <xdr:cNvPr id="3" name="PriorityMix">
          <a:extLst>
            <a:ext uri="{FF2B5EF4-FFF2-40B4-BE49-F238E27FC236}">
              <a16:creationId xmlns:a16="http://schemas.microsoft.com/office/drawing/2014/main" id="{248664E9-B90F-ABEC-8D35-B744C610E5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128</xdr:row>
      <xdr:rowOff>0</xdr:rowOff>
    </xdr:from>
    <xdr:ext cx="7591421" cy="3238503"/>
    <xdr:graphicFrame macro="">
      <xdr:nvGraphicFramePr>
        <xdr:cNvPr id="5" name="TopPending">
          <a:extLst>
            <a:ext uri="{FF2B5EF4-FFF2-40B4-BE49-F238E27FC236}">
              <a16:creationId xmlns:a16="http://schemas.microsoft.com/office/drawing/2014/main" id="{B0B0FF63-744B-D1B1-C249-21BBC6BC67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4</xdr:col>
      <xdr:colOff>0</xdr:colOff>
      <xdr:row>99</xdr:row>
      <xdr:rowOff>0</xdr:rowOff>
    </xdr:from>
    <xdr:ext cx="4819646" cy="2286000"/>
    <xdr:graphicFrame macro="">
      <xdr:nvGraphicFramePr>
        <xdr:cNvPr id="2" name="SectionPlanProduced">
          <a:extLst>
            <a:ext uri="{FF2B5EF4-FFF2-40B4-BE49-F238E27FC236}">
              <a16:creationId xmlns:a16="http://schemas.microsoft.com/office/drawing/2014/main" id="{AC92C9A3-A94B-4A94-F43B-481D5934B7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4</xdr:col>
      <xdr:colOff>0</xdr:colOff>
      <xdr:row>113</xdr:row>
      <xdr:rowOff>0</xdr:rowOff>
    </xdr:from>
    <xdr:ext cx="4819646" cy="2286000"/>
    <xdr:graphicFrame macro="">
      <xdr:nvGraphicFramePr>
        <xdr:cNvPr id="4" name="SectionFulfillment">
          <a:extLst>
            <a:ext uri="{FF2B5EF4-FFF2-40B4-BE49-F238E27FC236}">
              <a16:creationId xmlns:a16="http://schemas.microsoft.com/office/drawing/2014/main" id="{7304B5C1-11F1-CF6D-1B4F-6A81B0AA57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6</xdr:col>
      <xdr:colOff>419096</xdr:colOff>
      <xdr:row>150</xdr:row>
      <xdr:rowOff>66678</xdr:rowOff>
    </xdr:from>
    <xdr:ext cx="7172325" cy="2914650"/>
    <xdr:graphicFrame macro="">
      <xdr:nvGraphicFramePr>
        <xdr:cNvPr id="6" name="BurnUp">
          <a:extLst>
            <a:ext uri="{FF2B5EF4-FFF2-40B4-BE49-F238E27FC236}">
              <a16:creationId xmlns:a16="http://schemas.microsoft.com/office/drawing/2014/main" id="{83C9F236-BDFC-14BF-ED4F-1019DCDE9F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AEF576-CFE4-48FB-A705-5AC184C39960}" name="Table1" displayName="Table1" ref="I1:O15" headerRowCount="0" totalsRowShown="0">
  <tableColumns count="7">
    <tableColumn id="1" xr3:uid="{BC2F26B0-767D-428A-9712-7D7222DD260E}" name="Column1"/>
    <tableColumn id="2" xr3:uid="{08F162E9-91DB-4D65-B5F5-0185C69A587A}" name="Column2"/>
    <tableColumn id="3" xr3:uid="{C0D8D825-45A4-407E-8250-4685FB5BFC3A}" name="Column3"/>
    <tableColumn id="4" xr3:uid="{9CAEF388-C4FA-41B9-AD7F-8997F6E058E8}" name="Column4"/>
    <tableColumn id="5" xr3:uid="{CED9EBD7-8C62-43C9-9CF0-F810127BEC84}" name="Column5"/>
    <tableColumn id="6" xr3:uid="{BD8EB99A-53E7-4856-A726-98E2A3AF7EBB}" name="Column6"/>
    <tableColumn id="7" xr3:uid="{2F47C956-64D6-43D9-921E-70C1551945F8}" name="Column7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A40BA3C-2F57-47D2-B21C-D31FCB43DAEA}" name="Table2" displayName="Table2" ref="I19:L37" headerRowCount="0" totalsRowShown="0">
  <tableColumns count="4">
    <tableColumn id="1" xr3:uid="{7375658F-1D8F-4FDB-A747-37EDF4D6D41C}" name="Column1"/>
    <tableColumn id="2" xr3:uid="{7FF3F071-8F96-42D2-ACE6-6961443E3185}" name="Column2"/>
    <tableColumn id="3" xr3:uid="{A7A274F0-960F-4EF5-89E7-38EACED1EB87}" name="Column3"/>
    <tableColumn id="4" xr3:uid="{E1F39F02-01A9-4B93-BBF7-D2860D33EF5D}" name="Column4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7345316-E9D2-42DA-88EA-EDBED14CC746}" name="Table3" displayName="Table3" ref="I39:M55" headerRowCount="0" totalsRowShown="0">
  <tableColumns count="5">
    <tableColumn id="1" xr3:uid="{9348276F-A345-4712-8979-961A1EB70993}" name="Column1"/>
    <tableColumn id="2" xr3:uid="{29534B35-AC73-422D-A74A-658CEBE69C61}" name="Column2"/>
    <tableColumn id="3" xr3:uid="{BC4F4ADE-5251-44F7-8DC2-16B4DEB58E89}" name="Column3"/>
    <tableColumn id="4" xr3:uid="{B09B28F6-C09B-4A43-B65D-C3F3783187E5}" name="Column4"/>
    <tableColumn id="5" xr3:uid="{2DD49135-BF9D-4523-8D73-CD6C6C5C39A9}" name="Column5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4F86BAD-69A4-4A3A-8697-1C1C5BAD8272}" name="Table4" displayName="Table4" ref="AD1:AK25" totalsRowShown="0">
  <autoFilter ref="AD1:AK25" xr:uid="{B265325D-8B13-45F4-8C7D-EF001FBB21EF}"/>
  <tableColumns count="8">
    <tableColumn id="1" xr3:uid="{AA5FB641-D9E2-4702-A1E0-558733459346}" name="SKU"/>
    <tableColumn id="2" xr3:uid="{07CE3B7C-D5E8-419D-A762-E771C43FBA10}" name="Product_Name"/>
    <tableColumn id="3" xr3:uid="{F1EB00C2-DF1A-4057-A201-D182A9844B4C}" name="Priority"/>
    <tableColumn id="4" xr3:uid="{54EF37F3-7027-4514-B1D1-002A16FA611A}" name="Fill_Rate_Pct"/>
    <tableColumn id="5" xr3:uid="{FAC68FCC-033A-4242-B34C-2ACBA9F18E9A}" name="Today_Pend_Qty"/>
    <tableColumn id="6" xr3:uid="{179653EF-6FDC-411D-A407-7348561EAFCE}" name="SOH"/>
    <tableColumn id="7" xr3:uid="{ABEF6F06-5550-46AB-BA65-153870256E72}" name="DOH"/>
    <tableColumn id="8" xr3:uid="{32DF5B3D-57D2-49CE-9CFA-D54B128AF480}" name="Section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5E4ECAA-DC8C-4730-A5BD-547D9922D022}" name="Table5" displayName="Table5" ref="U40:AE46" headerRowCount="0" totalsRowShown="0">
  <tableColumns count="11">
    <tableColumn id="1" xr3:uid="{E7D9BFE3-F52A-465D-BEA0-4CE112D5174E}" name="Column1"/>
    <tableColumn id="2" xr3:uid="{3B1068E4-D4FA-474F-8A61-9ABA196B466E}" name="Column2"/>
    <tableColumn id="3" xr3:uid="{2C2AE069-7FF9-4724-9101-8BCB6B0CE61B}" name="Column3"/>
    <tableColumn id="4" xr3:uid="{EE21B190-7D35-44F3-9840-EC7472ABF55A}" name="Column4"/>
    <tableColumn id="5" xr3:uid="{95574C27-E272-4E71-9CAF-A9A05415B743}" name="Column5"/>
    <tableColumn id="6" xr3:uid="{2956FBF5-22D3-4A07-A8C3-997A541F93F8}" name="Column6"/>
    <tableColumn id="7" xr3:uid="{A4480486-7ED4-49CB-BF58-62000CD2DE03}" name="Column7"/>
    <tableColumn id="8" xr3:uid="{0643C094-AEC5-436F-BA7F-889636FA8B48}" name="Column8"/>
    <tableColumn id="9" xr3:uid="{DD41C4B3-4C61-4BBF-AAD9-46195444B5DD}" name="Column9"/>
    <tableColumn id="10" xr3:uid="{C54058CC-E591-4A0F-BA7D-95879F4EE8BA}" name="Column10"/>
    <tableColumn id="11" xr3:uid="{F2AD32BC-C9F8-4A02-8FE0-3F45A3517A0E}" name="Column11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C0C74B7-2394-4529-A59B-479080372352}" name="tbl_Ghee_BI_Data" displayName="tbl_Ghee_BI_Data" ref="A1:AI511" totalsRowShown="0">
  <autoFilter ref="A1:AI511" xr:uid="{9A59DFDE-53FA-49E0-ABF4-804A24C4ADA4}"/>
  <tableColumns count="35">
    <tableColumn id="1" xr3:uid="{15C6631B-7618-4D20-B2B7-896CA2266336}" name="FGCode"/>
    <tableColumn id="2" xr3:uid="{94A01EDB-B075-42FE-91E9-4769884A1FB6}" name="Product"/>
    <tableColumn id="3" xr3:uid="{4C589441-137F-4037-96E2-9FACC6580FF6}" name="Section"/>
    <tableColumn id="4" xr3:uid="{FC8AB655-4E46-4B3D-9FC4-599A4BB5F0A8}" name="Plant"/>
    <tableColumn id="5" xr3:uid="{26CBC76E-AA31-4843-8BC6-5E184A669BF3}" name="UOM"/>
    <tableColumn id="6" xr3:uid="{209DED29-03A8-4F18-BE4F-D1A884AB9DC2}" name="Priority"/>
    <tableColumn id="7" xr3:uid="{060B05E1-0E24-4449-A055-ABC28593FB5C}" name="PriorityRank"/>
    <tableColumn id="8" xr3:uid="{023622D1-15F9-407A-ACDF-1752BB5B6C5A}" name="IsCritical"/>
    <tableColumn id="9" xr3:uid="{3673771F-6E9E-4E32-A2C5-1BF3CF3D817C}" name="DOHBucket"/>
    <tableColumn id="10" xr3:uid="{13B199CE-9880-43C5-870E-3F7EA039CB84}" name="FillRateBucket"/>
    <tableColumn id="11" xr3:uid="{9B4CE973-56F7-4A4E-B7F5-63E4B24E8AE5}" name="Remark"/>
    <tableColumn id="12" xr3:uid="{37611588-3D1E-4BCB-A49A-561487A2DE5A}" name="Date"/>
    <tableColumn id="13" xr3:uid="{8C82E2F5-41B4-4BF3-8906-BDE8BBD28C38}" name="DayIndex"/>
    <tableColumn id="14" xr3:uid="{2D4775A9-26B0-4F44-ADA4-8E38179A3D03}" name="DayOfMonth"/>
    <tableColumn id="15" xr3:uid="{EF04743A-61B4-4D79-9B84-8450BF554C69}" name="MonthLabel"/>
    <tableColumn id="16" xr3:uid="{6FAE50B8-6B61-4EA7-B2B7-246F124F5CCD}" name="IsElapsed"/>
    <tableColumn id="17" xr3:uid="{0C204F06-F075-4C0E-AB9F-5D6B78AF45A0}" name="DailyProducedPKT"/>
    <tableColumn id="18" xr3:uid="{E19B19F5-E5B8-4BBB-A3C6-496B275E3BE5}" name="EvenPaceTargetPKT"/>
    <tableColumn id="19" xr3:uid="{0A90DA55-92C7-440C-BBDB-57FAB548F962}" name="IsSKURow"/>
    <tableColumn id="20" xr3:uid="{9FD6127D-0E90-4958-9896-B0EF247A23FF}" name="PlanPKT"/>
    <tableColumn id="21" xr3:uid="{D5FAF330-FCE8-4ECF-BF4D-68C74889E234}" name="ProducedPKT"/>
    <tableColumn id="22" xr3:uid="{CB8278CF-C08A-4CB0-890B-F5FB4BAA249A}" name="PendingPKT"/>
    <tableColumn id="23" xr3:uid="{A1142C38-9FBF-465E-820A-B2AFD31D17EF}" name="SOHCentralWH"/>
    <tableColumn id="24" xr3:uid="{8E01C8FB-2FCE-428D-9078-F0CD41E47A93}" name="DOH"/>
    <tableColumn id="25" xr3:uid="{1D77DBE9-12DB-489D-BFC9-31AC7B69013D}" name="PlanMRPDomestic"/>
    <tableColumn id="26" xr3:uid="{DFBEA270-71A2-4937-AD99-12F375EF0F0A}" name="PlanROWManjari"/>
    <tableColumn id="27" xr3:uid="{1EF7E5D7-6D40-421D-94CF-4D48C1A105A2}" name="PlanUSASea"/>
    <tableColumn id="28" xr3:uid="{3B2D620A-D0CD-41E1-9F1F-37B24CF0D292}" name="PlanAmazonUSASea"/>
    <tableColumn id="29" xr3:uid="{CEE3F6B5-0AA3-42CC-AC89-2A4A113E7DEB}" name="PlanUSAAir"/>
    <tableColumn id="30" xr3:uid="{E40E4DFC-5FA3-446E-9D95-C31C7AE266B6}" name="PlanUSAAmazon"/>
    <tableColumn id="31" xr3:uid="{8DEE7B83-0456-4317-AEDE-E93A4E070AEF}" name="PlanUK"/>
    <tableColumn id="32" xr3:uid="{6F16494A-04A9-4B48-9D87-E6B3389C03B2}" name="PlanMENA"/>
    <tableColumn id="33" xr3:uid="{F1AFDC71-0ECA-42FC-B1D0-1FAA3A5E3AD3}" name="RiskScore"/>
    <tableColumn id="34" xr3:uid="{56F6FBCE-A384-4CA7-A6AE-4AB11F0E8BF1}" name="SrcRow"/>
    <tableColumn id="35" xr3:uid="{59BA47EE-0BFF-4B6B-9D77-DD6E0383D17F}" name="ProductFamily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AFADFE6-C257-4E79-9B15-B5B7F3763E7C}" name="tbl_Ghee_BI_Channel" displayName="tbl_Ghee_BI_Channel" ref="A1:K137" totalsRowShown="0">
  <autoFilter ref="A1:K137" xr:uid="{BF0E30F0-AC96-4208-9142-39CC9AED8C20}"/>
  <tableColumns count="11">
    <tableColumn id="1" xr3:uid="{D373BE85-6EC0-46E1-AAEC-A150C94ADB2F}" name="FGCode"/>
    <tableColumn id="2" xr3:uid="{7E82A92A-3B40-4603-9301-55763F2D4227}" name="Product"/>
    <tableColumn id="3" xr3:uid="{2D4DD6A5-42FC-420B-9005-CE06F449EC5E}" name="Section"/>
    <tableColumn id="4" xr3:uid="{A6123BF7-37B6-4C13-BC98-0C1C703CFF6D}" name="Plant"/>
    <tableColumn id="5" xr3:uid="{D91F4764-052D-4CF3-BA04-9E892D07D608}" name="Channel"/>
    <tableColumn id="6" xr3:uid="{2061E267-2B4F-4551-94AA-1C484DF2BF50}" name="PlanPKT"/>
    <tableColumn id="7" xr3:uid="{123C7315-ED0E-4966-B3DC-D08F25FC2CAD}" name="ProducedPKT"/>
    <tableColumn id="8" xr3:uid="{3DF4FD56-CCB7-4837-B989-9DF0D896A6DF}" name="PendingPKT"/>
    <tableColumn id="9" xr3:uid="{152EEDC4-9083-4091-9C86-8F60FD9AA195}" name="FillRate"/>
    <tableColumn id="10" xr3:uid="{EA774120-3D5F-49B5-B630-4719DEC64A38}" name="SrcRow"/>
    <tableColumn id="11" xr3:uid="{DBF7B014-7CC1-42CD-90A6-24D82BEBC2F0}" name="ProductFamil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B3505-FC2D-4E45-BACE-899458ABFB1D}">
  <dimension ref="A1:AI170"/>
  <sheetViews>
    <sheetView tabSelected="1" workbookViewId="0">
      <selection sqref="A1:M1"/>
    </sheetView>
  </sheetViews>
  <sheetFormatPr defaultRowHeight="12.65" outlineLevelCol="2"/>
  <cols>
    <col min="1" max="1" width="6.26953125" customWidth="1"/>
    <col min="2" max="2" width="14.1796875" customWidth="1"/>
    <col min="3" max="3" width="13.1796875" customWidth="1"/>
    <col min="4" max="4" width="41.54296875" customWidth="1"/>
    <col min="5" max="5" width="9.81640625" customWidth="1"/>
    <col min="6" max="6" width="10.36328125" customWidth="1"/>
    <col min="7" max="7" width="15.36328125" customWidth="1"/>
    <col min="8" max="8" width="13.1796875" customWidth="1"/>
    <col min="9" max="9" width="11" customWidth="1"/>
    <col min="10" max="10" width="9.08984375" customWidth="1"/>
    <col min="11" max="11" width="13.36328125" customWidth="1"/>
    <col min="12" max="12" width="36.36328125" customWidth="1"/>
    <col min="13" max="13" width="10.08984375" customWidth="1"/>
    <col min="14" max="14" width="8.7265625" hidden="1" customWidth="1" outlineLevel="1"/>
    <col min="15" max="18" width="12" hidden="1" customWidth="1" outlineLevel="2"/>
    <col min="19" max="19" width="12" hidden="1" customWidth="1" outlineLevel="1" collapsed="1"/>
    <col min="20" max="21" width="12" hidden="1" customWidth="1" outlineLevel="1"/>
    <col min="22" max="24" width="0" hidden="1" customWidth="1" outlineLevel="1"/>
    <col min="25" max="25" width="26" hidden="1" customWidth="1" outlineLevel="1"/>
    <col min="26" max="27" width="10.90625" hidden="1" customWidth="1" outlineLevel="1"/>
    <col min="28" max="28" width="0" hidden="1" customWidth="1" outlineLevel="1"/>
    <col min="29" max="31" width="15.6328125" hidden="1" customWidth="1" outlineLevel="1"/>
    <col min="32" max="32" width="8.26953125" customWidth="1" collapsed="1"/>
    <col min="33" max="33" width="8.7265625" customWidth="1"/>
  </cols>
  <sheetData>
    <row r="1" spans="1:25" ht="30" customHeight="1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Y1" t="s">
        <v>1</v>
      </c>
    </row>
    <row r="2" spans="1:25" ht="13">
      <c r="A2" s="22" t="str">
        <f>"Period "&amp;TEXT(Summary!$P$2,"0")&amp;" — "&amp;TEXT(Summary!$AT$2,"0")&amp;" of month   |   Source: Summary + channel order tabs   |   Refreshed live"</f>
        <v>Period 46258 — 46288 of month   |   Source: Summary + channel order tabs   |   Refreshed live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O2" t="s">
        <v>2</v>
      </c>
      <c r="P2" t="s">
        <v>3</v>
      </c>
      <c r="Q2" t="s">
        <v>4</v>
      </c>
      <c r="R2" t="s">
        <v>5</v>
      </c>
      <c r="S2" t="s">
        <v>6</v>
      </c>
      <c r="T2" t="s">
        <v>7</v>
      </c>
      <c r="U2" t="s">
        <v>8</v>
      </c>
      <c r="Y2" t="str">
        <f>IF(Summary!E3="","",Summary!E3)</f>
        <v>Butter/Makhan - 200 gm</v>
      </c>
    </row>
    <row r="3" spans="1:25" ht="13">
      <c r="A3" s="23" t="s">
        <v>10</v>
      </c>
      <c r="B3" s="23"/>
      <c r="C3" s="24" t="s">
        <v>1</v>
      </c>
      <c r="D3" s="24"/>
      <c r="E3" s="23" t="s">
        <v>11</v>
      </c>
      <c r="F3" s="23"/>
      <c r="G3" s="24" t="s">
        <v>1</v>
      </c>
      <c r="H3" s="24"/>
      <c r="I3" s="1"/>
      <c r="J3" s="1"/>
      <c r="K3" s="1"/>
      <c r="L3" s="1"/>
      <c r="M3" s="1"/>
      <c r="O3">
        <f t="array" ref="O3">_xlfn.SWITCH($G$3,"MRP (Domestic)",Summary!G3,"ROW Manjari",Summary!H3,"USA Sea",Summary!I3,"Amazon USA Sea",Summary!J3,"USA Air",Summary!K3,"USA Amazon",Summary!L3,"UK",Summary!M3,"MENA",Summary!N3,Summary!O3)</f>
        <v>186</v>
      </c>
      <c r="P3">
        <f>--(ISNUMBER(Summary!$A3))*--(Summary!$D3&lt;&gt;"")</f>
        <v>1</v>
      </c>
      <c r="Q3">
        <f t="shared" ref="Q3:Q26" si="0">IF($G$3="All",1,--(O3&gt;0))</f>
        <v>1</v>
      </c>
      <c r="R3">
        <f t="shared" ref="R3:R26" si="1">T3-O3</f>
        <v>-186</v>
      </c>
      <c r="S3" t="str">
        <f>IF(Summary!$D3="","",Summary!B3)</f>
        <v>Ghee</v>
      </c>
      <c r="T3">
        <f t="array" ref="T3">_xlfn.SWITCH($G$3,"MRP (Domestic)",IFERROR(_xlfn.XLOOKUP(Summary!$D3,Domestic!$C:$C,Domestic!$AU:$AU),0),"ROW Manjari",IFERROR(_xlfn.XLOOKUP(Summary!$D3,'INT-_Manjiri'!$C:$C,'INT-_Manjiri'!$AT:$AT),0),"USA Sea",IFERROR(_xlfn.XLOOKUP(Summary!$D3,'USA-_Sea_shipment'!$C:$C,'USA-_Sea_shipment'!#REF!),0),"Amazon USA Sea",IFERROR(_xlfn.XLOOKUP(Summary!$D3,Amazon_USA_Sea!$C:$C,Amazon_USA_Sea!$AT:$AT),0),"USA Air",IFERROR(_xlfn.XLOOKUP(Summary!$D3,USA_Air_Shipment!$C:$C,USA_Air_Shipment!$AS:$AS),0),"USA Amazon",IFERROR(_xlfn.XLOOKUP(Summary!$D3,Amazon_USA_Air_Shipment!$C:$C,Amazon_USA_Air_Shipment!$AS:$AS),0),"UK",IFERROR(_xlfn.XLOOKUP(Summary!$D3,UK!$C:$C,UK!$AW:$AW),0),"MENA",IFERROR(_xlfn.XLOOKUP(Summary!$D3,MENA!$C:$C,MENA!$AS:$AS),0),Summary!BB3)</f>
        <v>0</v>
      </c>
      <c r="U3">
        <f>IF($C$3="All",1,--(Summary!E3=$C$3))</f>
        <v>1</v>
      </c>
      <c r="Y3" t="str">
        <f>IF(Summary!E4="","",Summary!E4)</f>
        <v>Brahmi Ghee - 250 gm</v>
      </c>
    </row>
    <row r="4" spans="1:25" ht="1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O4">
        <f t="array" ref="O4">_xlfn.SWITCH($G$3,"MRP (Domestic)",Summary!G4,"ROW Manjari",Summary!H4,"USA Sea",Summary!I4,"Amazon USA Sea",Summary!J4,"USA Air",Summary!K4,"USA Amazon",Summary!L4,"UK",Summary!M4,"MENA",Summary!N4,Summary!O4)</f>
        <v>253</v>
      </c>
      <c r="P4">
        <f>--(ISNUMBER(Summary!$A4))*--(Summary!$D4&lt;&gt;"")</f>
        <v>1</v>
      </c>
      <c r="Q4">
        <f t="shared" si="0"/>
        <v>1</v>
      </c>
      <c r="R4">
        <f t="shared" si="1"/>
        <v>-186</v>
      </c>
      <c r="S4" t="str">
        <f>IF(Summary!$D4="","",Summary!B4)</f>
        <v>Ghee</v>
      </c>
      <c r="T4">
        <f t="array" ref="T4">_xlfn.SWITCH($G$3,"MRP (Domestic)",IFERROR(_xlfn.XLOOKUP(Summary!$D4,Domestic!$C:$C,Domestic!$AU:$AU),0),"ROW Manjari",IFERROR(_xlfn.XLOOKUP(Summary!$D4,'INT-_Manjiri'!$C:$C,'INT-_Manjiri'!$AT:$AT),0),"USA Sea",IFERROR(_xlfn.XLOOKUP(Summary!$D4,'USA-_Sea_shipment'!$C:$C,'USA-_Sea_shipment'!#REF!),0),"Amazon USA Sea",IFERROR(_xlfn.XLOOKUP(Summary!$D4,Amazon_USA_Sea!$C:$C,Amazon_USA_Sea!$AT:$AT),0),"USA Air",IFERROR(_xlfn.XLOOKUP(Summary!$D4,USA_Air_Shipment!$C:$C,USA_Air_Shipment!$AS:$AS),0),"USA Amazon",IFERROR(_xlfn.XLOOKUP(Summary!$D4,Amazon_USA_Air_Shipment!$C:$C,Amazon_USA_Air_Shipment!$AS:$AS),0),"UK",IFERROR(_xlfn.XLOOKUP(Summary!$D4,UK!$C:$C,UK!$AW:$AW),0),"MENA",IFERROR(_xlfn.XLOOKUP(Summary!$D4,MENA!$C:$C,MENA!$AS:$AS),0),Summary!BB4)</f>
        <v>67</v>
      </c>
      <c r="U4">
        <f>IF($C$3="All",1,--(Summary!E4=$C$3))</f>
        <v>1</v>
      </c>
      <c r="Y4" t="str">
        <f>IF(Summary!E5="","",Summary!E5)</f>
        <v>Tulsi Ghee - 250gm</v>
      </c>
    </row>
    <row r="5" spans="1:25" ht="13">
      <c r="A5" s="25" t="s">
        <v>15</v>
      </c>
      <c r="B5" s="25"/>
      <c r="C5" s="25" t="s">
        <v>16</v>
      </c>
      <c r="D5" s="25"/>
      <c r="E5" s="25" t="s">
        <v>17</v>
      </c>
      <c r="F5" s="25"/>
      <c r="G5" s="25" t="s">
        <v>18</v>
      </c>
      <c r="H5" s="25"/>
      <c r="I5" s="25" t="s">
        <v>19</v>
      </c>
      <c r="J5" s="25"/>
      <c r="K5" s="25" t="s">
        <v>20</v>
      </c>
      <c r="L5" s="25"/>
      <c r="M5" s="25"/>
      <c r="O5">
        <f t="array" ref="O5">_xlfn.SWITCH($G$3,"MRP (Domestic)",Summary!G5,"ROW Manjari",Summary!H5,"USA Sea",Summary!I5,"Amazon USA Sea",Summary!J5,"USA Air",Summary!K5,"USA Amazon",Summary!L5,"UK",Summary!M5,"MENA",Summary!N5,Summary!O5)</f>
        <v>75</v>
      </c>
      <c r="P5">
        <f>--(ISNUMBER(Summary!$A5))*--(Summary!$D5&lt;&gt;"")</f>
        <v>1</v>
      </c>
      <c r="Q5">
        <f t="shared" si="0"/>
        <v>1</v>
      </c>
      <c r="R5">
        <f t="shared" si="1"/>
        <v>-29</v>
      </c>
      <c r="S5" t="str">
        <f>IF(Summary!$D5="","",Summary!B5)</f>
        <v>Ghee</v>
      </c>
      <c r="T5">
        <f t="array" ref="T5">_xlfn.SWITCH($G$3,"MRP (Domestic)",IFERROR(_xlfn.XLOOKUP(Summary!$D5,Domestic!$C:$C,Domestic!$AU:$AU),0),"ROW Manjari",IFERROR(_xlfn.XLOOKUP(Summary!$D5,'INT-_Manjiri'!$C:$C,'INT-_Manjiri'!$AT:$AT),0),"USA Sea",IFERROR(_xlfn.XLOOKUP(Summary!$D5,'USA-_Sea_shipment'!$C:$C,'USA-_Sea_shipment'!#REF!),0),"Amazon USA Sea",IFERROR(_xlfn.XLOOKUP(Summary!$D5,Amazon_USA_Sea!$C:$C,Amazon_USA_Sea!$AT:$AT),0),"USA Air",IFERROR(_xlfn.XLOOKUP(Summary!$D5,USA_Air_Shipment!$C:$C,USA_Air_Shipment!$AS:$AS),0),"USA Amazon",IFERROR(_xlfn.XLOOKUP(Summary!$D5,Amazon_USA_Air_Shipment!$C:$C,Amazon_USA_Air_Shipment!$AS:$AS),0),"UK",IFERROR(_xlfn.XLOOKUP(Summary!$D5,UK!$C:$C,UK!$AW:$AW),0),"MENA",IFERROR(_xlfn.XLOOKUP(Summary!$D5,MENA!$C:$C,MENA!$AS:$AS),0),Summary!BB5)</f>
        <v>46</v>
      </c>
      <c r="U5">
        <f>IF($C$3="All",1,--(Summary!E5=$C$3))</f>
        <v>1</v>
      </c>
      <c r="Y5" t="str">
        <f>IF(Summary!E6="","",Summary!E6)</f>
        <v>Shatavari Ghee - 250 gm</v>
      </c>
    </row>
    <row r="6" spans="1:25" ht="13" customHeight="1">
      <c r="A6" s="26">
        <f>IFERROR(SUMPRODUCT($O$3:$O$70,$P$3:$P$70,$Q$3:$Q$70,$U$3:$U$70),"")</f>
        <v>129806.55</v>
      </c>
      <c r="B6" s="26"/>
      <c r="C6" s="26">
        <f>IFERROR(SUMPRODUCT($T$3:$T$70,$P$3:$P$70,$Q$3:$Q$70,$U$3:$U$70),"")</f>
        <v>73114</v>
      </c>
      <c r="D6" s="26"/>
      <c r="E6" s="27">
        <f>IFERROR(C6/A6,"")</f>
        <v>0.56325354922382576</v>
      </c>
      <c r="F6" s="27"/>
      <c r="G6" s="26">
        <f t="array" ref="G6">IFERROR(ABS(SUMPRODUCT($R$3:$R$70,--($R$3:$R$70&lt;0),$P$3:$P$70,$Q$3:$Q$70,$U$3:$U$70)),"")</f>
        <v>57528.85</v>
      </c>
      <c r="H6" s="26"/>
      <c r="I6" s="26">
        <f t="array" ref="I6">IFERROR(SUMPRODUCT(--($R$3:$R$70&lt;0),$P$3:$P$70,$Q$3:$Q$70,$U$3:$U$70),"")</f>
        <v>16</v>
      </c>
      <c r="J6" s="26"/>
      <c r="K6" s="26">
        <f t="array" ref="K6">IFERROR(SUMPRODUCT(--(Summary!$BK$3:$BK$70="P1 – Critical"),$P$3:$P$70,$Q$3:$Q$70,$U$3:$U$70),"")</f>
        <v>13</v>
      </c>
      <c r="L6" s="26"/>
      <c r="M6" s="26"/>
      <c r="O6">
        <f t="array" ref="O6">_xlfn.SWITCH($G$3,"MRP (Domestic)",Summary!G6,"ROW Manjari",Summary!H6,"USA Sea",Summary!I6,"Amazon USA Sea",Summary!J6,"USA Air",Summary!K6,"USA Amazon",Summary!L6,"UK",Summary!M6,"MENA",Summary!N6,Summary!O6)</f>
        <v>319</v>
      </c>
      <c r="P6">
        <f>--(ISNUMBER(Summary!$A6))*--(Summary!$D6&lt;&gt;"")</f>
        <v>1</v>
      </c>
      <c r="Q6">
        <f t="shared" si="0"/>
        <v>1</v>
      </c>
      <c r="R6">
        <f t="shared" si="1"/>
        <v>-255</v>
      </c>
      <c r="S6" t="str">
        <f>IF(Summary!$D6="","",Summary!B6)</f>
        <v>Ghee</v>
      </c>
      <c r="T6">
        <f t="array" ref="T6">_xlfn.SWITCH($G$3,"MRP (Domestic)",IFERROR(_xlfn.XLOOKUP(Summary!$D6,Domestic!$C:$C,Domestic!$AU:$AU),0),"ROW Manjari",IFERROR(_xlfn.XLOOKUP(Summary!$D6,'INT-_Manjiri'!$C:$C,'INT-_Manjiri'!$AT:$AT),0),"USA Sea",IFERROR(_xlfn.XLOOKUP(Summary!$D6,'USA-_Sea_shipment'!$C:$C,'USA-_Sea_shipment'!#REF!),0),"Amazon USA Sea",IFERROR(_xlfn.XLOOKUP(Summary!$D6,Amazon_USA_Sea!$C:$C,Amazon_USA_Sea!$AT:$AT),0),"USA Air",IFERROR(_xlfn.XLOOKUP(Summary!$D6,USA_Air_Shipment!$C:$C,USA_Air_Shipment!$AS:$AS),0),"USA Amazon",IFERROR(_xlfn.XLOOKUP(Summary!$D6,Amazon_USA_Air_Shipment!$C:$C,Amazon_USA_Air_Shipment!$AS:$AS),0),"UK",IFERROR(_xlfn.XLOOKUP(Summary!$D6,UK!$C:$C,UK!$AW:$AW),0),"MENA",IFERROR(_xlfn.XLOOKUP(Summary!$D6,MENA!$C:$C,MENA!$AS:$AS),0),Summary!BB6)</f>
        <v>64</v>
      </c>
      <c r="U6">
        <f>IF($C$3="All",1,--(Summary!E6=$C$3))</f>
        <v>1</v>
      </c>
      <c r="Y6" t="str">
        <f>IF(Summary!E7="","",Summary!E7)</f>
        <v>Turmeric Ghee 250gm</v>
      </c>
    </row>
    <row r="7" spans="1:25" ht="12.5">
      <c r="A7" s="26"/>
      <c r="B7" s="26"/>
      <c r="C7" s="26"/>
      <c r="D7" s="26"/>
      <c r="E7" s="27"/>
      <c r="F7" s="27"/>
      <c r="G7" s="26"/>
      <c r="H7" s="26"/>
      <c r="I7" s="26"/>
      <c r="J7" s="26"/>
      <c r="K7" s="26"/>
      <c r="L7" s="26"/>
      <c r="M7" s="26"/>
      <c r="O7">
        <f t="array" ref="O7">_xlfn.SWITCH($G$3,"MRP (Domestic)",Summary!G7,"ROW Manjari",Summary!H7,"USA Sea",Summary!I7,"Amazon USA Sea",Summary!J7,"USA Air",Summary!K7,"USA Amazon",Summary!L7,"UK",Summary!M7,"MENA",Summary!N7,Summary!O7)</f>
        <v>149</v>
      </c>
      <c r="P7">
        <f>--(ISNUMBER(Summary!$A7))*--(Summary!$D7&lt;&gt;"")</f>
        <v>1</v>
      </c>
      <c r="Q7">
        <f t="shared" si="0"/>
        <v>1</v>
      </c>
      <c r="R7">
        <f t="shared" si="1"/>
        <v>-19</v>
      </c>
      <c r="S7" t="str">
        <f>IF(Summary!$D7="","",Summary!B7)</f>
        <v>Ghee</v>
      </c>
      <c r="T7">
        <f t="array" ref="T7">_xlfn.SWITCH($G$3,"MRP (Domestic)",IFERROR(_xlfn.XLOOKUP(Summary!$D7,Domestic!$C:$C,Domestic!$AU:$AU),0),"ROW Manjari",IFERROR(_xlfn.XLOOKUP(Summary!$D7,'INT-_Manjiri'!$C:$C,'INT-_Manjiri'!$AT:$AT),0),"USA Sea",IFERROR(_xlfn.XLOOKUP(Summary!$D7,'USA-_Sea_shipment'!$C:$C,'USA-_Sea_shipment'!#REF!),0),"Amazon USA Sea",IFERROR(_xlfn.XLOOKUP(Summary!$D7,Amazon_USA_Sea!$C:$C,Amazon_USA_Sea!$AT:$AT),0),"USA Air",IFERROR(_xlfn.XLOOKUP(Summary!$D7,USA_Air_Shipment!$C:$C,USA_Air_Shipment!$AS:$AS),0),"USA Amazon",IFERROR(_xlfn.XLOOKUP(Summary!$D7,Amazon_USA_Air_Shipment!$C:$C,Amazon_USA_Air_Shipment!$AS:$AS),0),"UK",IFERROR(_xlfn.XLOOKUP(Summary!$D7,UK!$C:$C,UK!$AW:$AW),0),"MENA",IFERROR(_xlfn.XLOOKUP(Summary!$D7,MENA!$C:$C,MENA!$AS:$AS),0),Summary!BB7)</f>
        <v>130</v>
      </c>
      <c r="U7">
        <f>IF($C$3="All",1,--(Summary!E7=$C$3))</f>
        <v>1</v>
      </c>
      <c r="Y7" t="str">
        <f>IF(Summary!E8="","",Summary!E8)</f>
        <v>Buffalo Ghee - A2 Cultured 500ml</v>
      </c>
    </row>
    <row r="8" spans="1:25" ht="1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O8">
        <f t="array" ref="O8">_xlfn.SWITCH($G$3,"MRP (Domestic)",Summary!G8,"ROW Manjari",Summary!H8,"USA Sea",Summary!I8,"Amazon USA Sea",Summary!J8,"USA Air",Summary!K8,"USA Amazon",Summary!L8,"UK",Summary!M8,"MENA",Summary!N8,Summary!O8)</f>
        <v>22881</v>
      </c>
      <c r="P8">
        <f>--(ISNUMBER(Summary!$A8))*--(Summary!$D8&lt;&gt;"")</f>
        <v>1</v>
      </c>
      <c r="Q8">
        <f t="shared" si="0"/>
        <v>1</v>
      </c>
      <c r="R8">
        <f t="shared" si="1"/>
        <v>-18586</v>
      </c>
      <c r="S8" t="str">
        <f>IF(Summary!$D8="","",Summary!B8)</f>
        <v>Ghee</v>
      </c>
      <c r="T8">
        <f t="array" ref="T8">_xlfn.SWITCH($G$3,"MRP (Domestic)",IFERROR(_xlfn.XLOOKUP(Summary!$D8,Domestic!$C:$C,Domestic!$AU:$AU),0),"ROW Manjari",IFERROR(_xlfn.XLOOKUP(Summary!$D8,'INT-_Manjiri'!$C:$C,'INT-_Manjiri'!$AT:$AT),0),"USA Sea",IFERROR(_xlfn.XLOOKUP(Summary!$D8,'USA-_Sea_shipment'!$C:$C,'USA-_Sea_shipment'!#REF!),0),"Amazon USA Sea",IFERROR(_xlfn.XLOOKUP(Summary!$D8,Amazon_USA_Sea!$C:$C,Amazon_USA_Sea!$AT:$AT),0),"USA Air",IFERROR(_xlfn.XLOOKUP(Summary!$D8,USA_Air_Shipment!$C:$C,USA_Air_Shipment!$AS:$AS),0),"USA Amazon",IFERROR(_xlfn.XLOOKUP(Summary!$D8,Amazon_USA_Air_Shipment!$C:$C,Amazon_USA_Air_Shipment!$AS:$AS),0),"UK",IFERROR(_xlfn.XLOOKUP(Summary!$D8,UK!$C:$C,UK!$AW:$AW),0),"MENA",IFERROR(_xlfn.XLOOKUP(Summary!$D8,MENA!$C:$C,MENA!$AS:$AS),0),Summary!BB8)</f>
        <v>4295</v>
      </c>
      <c r="U8">
        <f>IF($C$3="All",1,--(Summary!E8=$C$3))</f>
        <v>1</v>
      </c>
      <c r="Y8" t="str">
        <f>IF(Summary!E9="","",Summary!E9)</f>
        <v>A2 Desi Cow Ghee - 500ml</v>
      </c>
    </row>
    <row r="9" spans="1:25" ht="12.5">
      <c r="A9" s="28" t="str">
        <f>IFERROR("Channel: "&amp;$G$3&amp;"   |   Product: "&amp;$C$3&amp;".  Fulfillment is "&amp;TEXT(E6,"0%")&amp;" against "&amp;TEXT(A6,"#,##0")&amp;" planned packets. Pending exposure is "&amp;TEXT(G6,"#,##0")&amp;" packets across "&amp;TEXT(I6,"#,##0")&amp;" SKUs, including "&amp;TEXT(K6,"#,##0")&amp;" critical SKUs.","")</f>
        <v>Channel: All   |   Product: All.  Fulfillment is 56% against 1,29,807 planned packets. Pending exposure is 57,529 packets across 16 SKUs, including 13 critical SKUs.</v>
      </c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O9">
        <f t="array" ref="O9">_xlfn.SWITCH($G$3,"MRP (Domestic)",Summary!G9,"ROW Manjari",Summary!H9,"USA Sea",Summary!I9,"Amazon USA Sea",Summary!J9,"USA Air",Summary!K9,"USA Amazon",Summary!L9,"UK",Summary!M9,"MENA",Summary!N9,Summary!O9)</f>
        <v>10468.700000000001</v>
      </c>
      <c r="P9">
        <f>--(ISNUMBER(Summary!$A9))*--(Summary!$D9&lt;&gt;"")</f>
        <v>1</v>
      </c>
      <c r="Q9">
        <f t="shared" si="0"/>
        <v>1</v>
      </c>
      <c r="R9">
        <f t="shared" si="1"/>
        <v>-7087.7000000000007</v>
      </c>
      <c r="S9" t="str">
        <f>IF(Summary!$D9="","",Summary!B9)</f>
        <v>Ghee</v>
      </c>
      <c r="T9">
        <f t="array" ref="T9">_xlfn.SWITCH($G$3,"MRP (Domestic)",IFERROR(_xlfn.XLOOKUP(Summary!$D9,Domestic!$C:$C,Domestic!$AU:$AU),0),"ROW Manjari",IFERROR(_xlfn.XLOOKUP(Summary!$D9,'INT-_Manjiri'!$C:$C,'INT-_Manjiri'!$AT:$AT),0),"USA Sea",IFERROR(_xlfn.XLOOKUP(Summary!$D9,'USA-_Sea_shipment'!$C:$C,'USA-_Sea_shipment'!#REF!),0),"Amazon USA Sea",IFERROR(_xlfn.XLOOKUP(Summary!$D9,Amazon_USA_Sea!$C:$C,Amazon_USA_Sea!$AT:$AT),0),"USA Air",IFERROR(_xlfn.XLOOKUP(Summary!$D9,USA_Air_Shipment!$C:$C,USA_Air_Shipment!$AS:$AS),0),"USA Amazon",IFERROR(_xlfn.XLOOKUP(Summary!$D9,Amazon_USA_Air_Shipment!$C:$C,Amazon_USA_Air_Shipment!$AS:$AS),0),"UK",IFERROR(_xlfn.XLOOKUP(Summary!$D9,UK!$C:$C,UK!$AW:$AW),0),"MENA",IFERROR(_xlfn.XLOOKUP(Summary!$D9,MENA!$C:$C,MENA!$AS:$AS),0),Summary!BB9)</f>
        <v>3381</v>
      </c>
      <c r="U9">
        <f>IF($C$3="All",1,--(Summary!E9=$C$3))</f>
        <v>1</v>
      </c>
      <c r="Y9" t="str">
        <f>IF(Summary!E10="","",Summary!E10)</f>
        <v>Colostrum Powder, Desi Gir Cow - 100 gm</v>
      </c>
    </row>
    <row r="10" spans="1:25" ht="12.5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O10">
        <f t="array" ref="O10">_xlfn.SWITCH($G$3,"MRP (Domestic)",Summary!G10,"ROW Manjari",Summary!H10,"USA Sea",Summary!I10,"Amazon USA Sea",Summary!J10,"USA Air",Summary!K10,"USA Amazon",Summary!L10,"UK",Summary!M10,"MENA",Summary!N10,Summary!O10)</f>
        <v>1712</v>
      </c>
      <c r="P10">
        <f>--(ISNUMBER(Summary!$A10))*--(Summary!$D10&lt;&gt;"")</f>
        <v>1</v>
      </c>
      <c r="Q10">
        <f t="shared" si="0"/>
        <v>1</v>
      </c>
      <c r="R10">
        <f t="shared" si="1"/>
        <v>-799</v>
      </c>
      <c r="S10" t="str">
        <f>IF(Summary!$D10="","",Summary!B10)</f>
        <v>Ghee</v>
      </c>
      <c r="T10">
        <f t="array" ref="T10">_xlfn.SWITCH($G$3,"MRP (Domestic)",IFERROR(_xlfn.XLOOKUP(Summary!$D10,Domestic!$C:$C,Domestic!$AU:$AU),0),"ROW Manjari",IFERROR(_xlfn.XLOOKUP(Summary!$D10,'INT-_Manjiri'!$C:$C,'INT-_Manjiri'!$AT:$AT),0),"USA Sea",IFERROR(_xlfn.XLOOKUP(Summary!$D10,'USA-_Sea_shipment'!$C:$C,'USA-_Sea_shipment'!#REF!),0),"Amazon USA Sea",IFERROR(_xlfn.XLOOKUP(Summary!$D10,Amazon_USA_Sea!$C:$C,Amazon_USA_Sea!$AT:$AT),0),"USA Air",IFERROR(_xlfn.XLOOKUP(Summary!$D10,USA_Air_Shipment!$C:$C,USA_Air_Shipment!$AS:$AS),0),"USA Amazon",IFERROR(_xlfn.XLOOKUP(Summary!$D10,Amazon_USA_Air_Shipment!$C:$C,Amazon_USA_Air_Shipment!$AS:$AS),0),"UK",IFERROR(_xlfn.XLOOKUP(Summary!$D10,UK!$C:$C,UK!$AW:$AW),0),"MENA",IFERROR(_xlfn.XLOOKUP(Summary!$D10,MENA!$C:$C,MENA!$AS:$AS),0),Summary!BB10)</f>
        <v>913</v>
      </c>
      <c r="U10">
        <f>IF($C$3="All",1,--(Summary!E10=$C$3))</f>
        <v>1</v>
      </c>
      <c r="Y10" t="str">
        <f>IF(Summary!E11="","",Summary!E11)</f>
        <v>Full Moon Cultured Ghee - 500 ml</v>
      </c>
    </row>
    <row r="11" spans="1:25" ht="13">
      <c r="A11" s="29" t="s">
        <v>27</v>
      </c>
      <c r="B11" s="29"/>
      <c r="C11" s="29"/>
      <c r="D11" s="29"/>
      <c r="E11" s="29"/>
      <c r="F11" s="29"/>
      <c r="G11" s="1"/>
      <c r="H11" s="29" t="s">
        <v>28</v>
      </c>
      <c r="I11" s="29"/>
      <c r="J11" s="29"/>
      <c r="K11" s="1"/>
      <c r="L11" s="1"/>
      <c r="M11" s="1"/>
      <c r="O11">
        <f t="array" ref="O11">_xlfn.SWITCH($G$3,"MRP (Domestic)",Summary!G11,"ROW Manjari",Summary!H11,"USA Sea",Summary!I11,"Amazon USA Sea",Summary!J11,"USA Air",Summary!K11,"USA Amazon",Summary!L11,"UK",Summary!M11,"MENA",Summary!N11,Summary!O11)</f>
        <v>3303.3</v>
      </c>
      <c r="P11">
        <f>--(ISNUMBER(Summary!$A11))*--(Summary!$D11&lt;&gt;"")</f>
        <v>1</v>
      </c>
      <c r="Q11">
        <f t="shared" si="0"/>
        <v>1</v>
      </c>
      <c r="R11">
        <f t="shared" si="1"/>
        <v>-1701.3000000000002</v>
      </c>
      <c r="S11" t="str">
        <f>IF(Summary!$D11="","",Summary!B11)</f>
        <v>Ghee</v>
      </c>
      <c r="T11">
        <f t="array" ref="T11">_xlfn.SWITCH($G$3,"MRP (Domestic)",IFERROR(_xlfn.XLOOKUP(Summary!$D11,Domestic!$C:$C,Domestic!$AU:$AU),0),"ROW Manjari",IFERROR(_xlfn.XLOOKUP(Summary!$D11,'INT-_Manjiri'!$C:$C,'INT-_Manjiri'!$AT:$AT),0),"USA Sea",IFERROR(_xlfn.XLOOKUP(Summary!$D11,'USA-_Sea_shipment'!$C:$C,'USA-_Sea_shipment'!#REF!),0),"Amazon USA Sea",IFERROR(_xlfn.XLOOKUP(Summary!$D11,Amazon_USA_Sea!$C:$C,Amazon_USA_Sea!$AT:$AT),0),"USA Air",IFERROR(_xlfn.XLOOKUP(Summary!$D11,USA_Air_Shipment!$C:$C,USA_Air_Shipment!$AS:$AS),0),"USA Amazon",IFERROR(_xlfn.XLOOKUP(Summary!$D11,Amazon_USA_Air_Shipment!$C:$C,Amazon_USA_Air_Shipment!$AS:$AS),0),"UK",IFERROR(_xlfn.XLOOKUP(Summary!$D11,UK!$C:$C,UK!$AW:$AW),0),"MENA",IFERROR(_xlfn.XLOOKUP(Summary!$D11,MENA!$C:$C,MENA!$AS:$AS),0),Summary!BB11)</f>
        <v>1602</v>
      </c>
      <c r="U11">
        <f>IF($C$3="All",1,--(Summary!E11=$C$3))</f>
        <v>1</v>
      </c>
      <c r="Y11" t="str">
        <f>IF(Summary!E12="","",Summary!E12)</f>
        <v>Non cultured ghee 1l</v>
      </c>
    </row>
    <row r="12" spans="1:25" ht="28" customHeight="1">
      <c r="A12" s="2" t="s">
        <v>6</v>
      </c>
      <c r="B12" s="2" t="s">
        <v>30</v>
      </c>
      <c r="C12" s="2" t="s">
        <v>31</v>
      </c>
      <c r="D12" s="2" t="s">
        <v>32</v>
      </c>
      <c r="E12" s="2" t="s">
        <v>19</v>
      </c>
      <c r="F12" s="2" t="s">
        <v>20</v>
      </c>
      <c r="G12" s="1"/>
      <c r="H12" s="2" t="s">
        <v>33</v>
      </c>
      <c r="I12" s="2" t="s">
        <v>30</v>
      </c>
      <c r="J12" s="2" t="s">
        <v>34</v>
      </c>
      <c r="K12" s="1"/>
      <c r="L12" s="1"/>
      <c r="M12" s="1"/>
      <c r="O12">
        <f t="array" ref="O12">_xlfn.SWITCH($G$3,"MRP (Domestic)",Summary!G12,"ROW Manjari",Summary!H12,"USA Sea",Summary!I12,"Amazon USA Sea",Summary!J12,"USA Air",Summary!K12,"USA Amazon",Summary!L12,"UK",Summary!M12,"MENA",Summary!N12,Summary!O12)</f>
        <v>6049</v>
      </c>
      <c r="P12">
        <f>--(ISNUMBER(Summary!$A12))*--(Summary!$D12&lt;&gt;"")</f>
        <v>1</v>
      </c>
      <c r="Q12">
        <f t="shared" si="0"/>
        <v>1</v>
      </c>
      <c r="R12">
        <f t="shared" si="1"/>
        <v>-3718</v>
      </c>
      <c r="S12" t="str">
        <f>IF(Summary!$D12="","",Summary!B12)</f>
        <v>Ghee</v>
      </c>
      <c r="T12">
        <f t="array" ref="T12">_xlfn.SWITCH($G$3,"MRP (Domestic)",IFERROR(_xlfn.XLOOKUP(Summary!$D12,Domestic!$C:$C,Domestic!$AU:$AU),0),"ROW Manjari",IFERROR(_xlfn.XLOOKUP(Summary!$D12,'INT-_Manjiri'!$C:$C,'INT-_Manjiri'!$AT:$AT),0),"USA Sea",IFERROR(_xlfn.XLOOKUP(Summary!$D12,'USA-_Sea_shipment'!$C:$C,'USA-_Sea_shipment'!#REF!),0),"Amazon USA Sea",IFERROR(_xlfn.XLOOKUP(Summary!$D12,Amazon_USA_Sea!$C:$C,Amazon_USA_Sea!$AT:$AT),0),"USA Air",IFERROR(_xlfn.XLOOKUP(Summary!$D12,USA_Air_Shipment!$C:$C,USA_Air_Shipment!$AS:$AS),0),"USA Amazon",IFERROR(_xlfn.XLOOKUP(Summary!$D12,Amazon_USA_Air_Shipment!$C:$C,Amazon_USA_Air_Shipment!$AS:$AS),0),"UK",IFERROR(_xlfn.XLOOKUP(Summary!$D12,UK!$C:$C,UK!$AW:$AW),0),"MENA",IFERROR(_xlfn.XLOOKUP(Summary!$D12,MENA!$C:$C,MENA!$AS:$AS),0),Summary!BB12)</f>
        <v>2331</v>
      </c>
      <c r="U12">
        <f>IF($C$3="All",1,--(Summary!E12=$C$3))</f>
        <v>1</v>
      </c>
      <c r="Y12" t="str">
        <f>IF(Summary!E13="","",Summary!E13)</f>
        <v>Ashwagandha Ghee - 250 gm</v>
      </c>
    </row>
    <row r="13" spans="1:25" ht="13">
      <c r="A13" s="3" t="s">
        <v>12</v>
      </c>
      <c r="B13" s="4">
        <f t="array" ref="B13">IF($A13="","",IFERROR(SUMPRODUCT(--($S$3:$S$70=$A13),$O$3:$O$70,$P$3:$P$70,$Q$3:$Q$70,$U$3:$U$70),""))</f>
        <v>129806.55</v>
      </c>
      <c r="C13" s="4">
        <f t="array" ref="C13">IF($A13="","",IFERROR(SUMPRODUCT(--($S$3:$S$70=$A13),$T$3:$T$70,$P$3:$P$70,$Q$3:$Q$70,$U$3:$U$70),""))</f>
        <v>73114</v>
      </c>
      <c r="D13" s="5">
        <f t="shared" ref="D13:D18" si="2">IFERROR(C13/B13,"")</f>
        <v>0.56325354922382576</v>
      </c>
      <c r="E13" s="4">
        <f t="array" ref="E13">IF($A13="","",IFERROR(SUMPRODUCT(--($S$3:$S$70=$A13),--($R$3:$R$70&lt;0),$P$3:$P$70,$Q$3:$Q$70,$U$3:$U$70),""))</f>
        <v>16</v>
      </c>
      <c r="F13" s="4">
        <f t="array" ref="F13">IF($A13="","",IFERROR(SUMPRODUCT(--($S$3:$S$70=$A13),--(Summary!$BK$3:$BK$70="P1 – Critical"),$P$3:$P$70,$Q$3:$Q$70,$U$3:$U$70),""))</f>
        <v>13</v>
      </c>
      <c r="G13" s="1"/>
      <c r="H13" s="1" t="str">
        <f>Summary!G2</f>
        <v>MRP (Domestic)</v>
      </c>
      <c r="I13" s="4">
        <f>IFERROR(SUMPRODUCT($P$3:$P$70,$U$3:$U$70,INDEX(Summary!$G$3:$N$70,0,ROW()-12)),"")</f>
        <v>113086.55</v>
      </c>
      <c r="J13" s="6">
        <f t="shared" ref="J13:J20" si="3">IFERROR(I13/SUM($I$13:$I$20),"")</f>
        <v>0.87119294057195107</v>
      </c>
      <c r="K13" s="1"/>
      <c r="L13" s="1"/>
      <c r="M13" s="1"/>
      <c r="O13">
        <f t="array" ref="O13">_xlfn.SWITCH($G$3,"MRP (Domestic)",Summary!G13,"ROW Manjari",Summary!H13,"USA Sea",Summary!I13,"Amazon USA Sea",Summary!J13,"USA Air",Summary!K13,"USA Amazon",Summary!L13,"UK",Summary!M13,"MENA",Summary!N13,Summary!O13)</f>
        <v>309</v>
      </c>
      <c r="P13">
        <f>--(ISNUMBER(Summary!$A13))*--(Summary!$D13&lt;&gt;"")</f>
        <v>1</v>
      </c>
      <c r="Q13">
        <f t="shared" si="0"/>
        <v>1</v>
      </c>
      <c r="R13">
        <f t="shared" si="1"/>
        <v>-121</v>
      </c>
      <c r="S13" t="str">
        <f>IF(Summary!$D13="","",Summary!B13)</f>
        <v>Ghee</v>
      </c>
      <c r="T13">
        <f t="array" ref="T13">_xlfn.SWITCH($G$3,"MRP (Domestic)",IFERROR(_xlfn.XLOOKUP(Summary!$D13,Domestic!$C:$C,Domestic!$AU:$AU),0),"ROW Manjari",IFERROR(_xlfn.XLOOKUP(Summary!$D13,'INT-_Manjiri'!$C:$C,'INT-_Manjiri'!$AT:$AT),0),"USA Sea",IFERROR(_xlfn.XLOOKUP(Summary!$D13,'USA-_Sea_shipment'!$C:$C,'USA-_Sea_shipment'!#REF!),0),"Amazon USA Sea",IFERROR(_xlfn.XLOOKUP(Summary!$D13,Amazon_USA_Sea!$C:$C,Amazon_USA_Sea!$AT:$AT),0),"USA Air",IFERROR(_xlfn.XLOOKUP(Summary!$D13,USA_Air_Shipment!$C:$C,USA_Air_Shipment!$AS:$AS),0),"USA Amazon",IFERROR(_xlfn.XLOOKUP(Summary!$D13,Amazon_USA_Air_Shipment!$C:$C,Amazon_USA_Air_Shipment!$AS:$AS),0),"UK",IFERROR(_xlfn.XLOOKUP(Summary!$D13,UK!$C:$C,UK!$AW:$AW),0),"MENA",IFERROR(_xlfn.XLOOKUP(Summary!$D13,MENA!$C:$C,MENA!$AS:$AS),0),Summary!BB13)</f>
        <v>188</v>
      </c>
      <c r="U13">
        <f>IF($C$3="All",1,--(Summary!E13=$C$3))</f>
        <v>1</v>
      </c>
      <c r="Y13" t="str">
        <f>IF(Summary!E14="","",Summary!E14)</f>
        <v>A2 Cultured Ghee - 500 ml</v>
      </c>
    </row>
    <row r="14" spans="1:25" ht="13">
      <c r="A14" s="3"/>
      <c r="B14" s="4" t="str">
        <f t="array" ref="B14">IF($A14="","",IFERROR(SUMPRODUCT(--($S$3:$S$70=$A14),$O$3:$O$70,$P$3:$P$70,$Q$3:$Q$70,$U$3:$U$70),""))</f>
        <v/>
      </c>
      <c r="C14" s="4" t="str">
        <f t="array" ref="C14">IF($A14="","",IFERROR(SUMPRODUCT(--($S$3:$S$70=$A14),$T$3:$T$70,$P$3:$P$70,$Q$3:$Q$70,$U$3:$U$70),""))</f>
        <v/>
      </c>
      <c r="D14" s="5" t="str">
        <f t="shared" si="2"/>
        <v/>
      </c>
      <c r="E14" s="4" t="str">
        <f t="array" ref="E14">IF($A14="","",IFERROR(SUMPRODUCT(--($S$3:$S$70=$A14),--($R$3:$R$70&lt;0),$P$3:$P$70,$Q$3:$Q$70,$U$3:$U$70),""))</f>
        <v/>
      </c>
      <c r="F14" s="4" t="str">
        <f t="array" ref="F14">IF($A14="","",IFERROR(SUMPRODUCT(--($S$3:$S$70=$A14),--(Summary!$BK$3:$BK$70="P1 – Critical"),$P$3:$P$70,$Q$3:$Q$70,$U$3:$U$70),""))</f>
        <v/>
      </c>
      <c r="G14" s="1"/>
      <c r="H14" s="1" t="str">
        <f>Summary!H2</f>
        <v>ROW Manjari</v>
      </c>
      <c r="I14" s="4">
        <f>IFERROR(SUMPRODUCT($P$3:$P$70,$U$3:$U$70,INDEX(Summary!$G$3:$N$70,0,ROW()-12)),"")</f>
        <v>0</v>
      </c>
      <c r="J14" s="6">
        <f t="shared" si="3"/>
        <v>0</v>
      </c>
      <c r="K14" s="1"/>
      <c r="L14" s="1"/>
      <c r="M14" s="1"/>
      <c r="O14">
        <f t="array" ref="O14">_xlfn.SWITCH($G$3,"MRP (Domestic)",Summary!G14,"ROW Manjari",Summary!H14,"USA Sea",Summary!I14,"Amazon USA Sea",Summary!J14,"USA Air",Summary!K14,"USA Amazon",Summary!L14,"UK",Summary!M14,"MENA",Summary!N14,Summary!O14)</f>
        <v>37298.25</v>
      </c>
      <c r="P14">
        <f>--(ISNUMBER(Summary!$A14))*--(Summary!$D14&lt;&gt;"")</f>
        <v>1</v>
      </c>
      <c r="Q14">
        <f t="shared" si="0"/>
        <v>1</v>
      </c>
      <c r="R14">
        <f t="shared" si="1"/>
        <v>-14481.25</v>
      </c>
      <c r="S14" t="str">
        <f>IF(Summary!$D14="","",Summary!B14)</f>
        <v>Ghee</v>
      </c>
      <c r="T14">
        <f t="array" ref="T14">_xlfn.SWITCH($G$3,"MRP (Domestic)",IFERROR(_xlfn.XLOOKUP(Summary!$D14,Domestic!$C:$C,Domestic!$AU:$AU),0),"ROW Manjari",IFERROR(_xlfn.XLOOKUP(Summary!$D14,'INT-_Manjiri'!$C:$C,'INT-_Manjiri'!$AT:$AT),0),"USA Sea",IFERROR(_xlfn.XLOOKUP(Summary!$D14,'USA-_Sea_shipment'!$C:$C,'USA-_Sea_shipment'!#REF!),0),"Amazon USA Sea",IFERROR(_xlfn.XLOOKUP(Summary!$D14,Amazon_USA_Sea!$C:$C,Amazon_USA_Sea!$AT:$AT),0),"USA Air",IFERROR(_xlfn.XLOOKUP(Summary!$D14,USA_Air_Shipment!$C:$C,USA_Air_Shipment!$AS:$AS),0),"USA Amazon",IFERROR(_xlfn.XLOOKUP(Summary!$D14,Amazon_USA_Air_Shipment!$C:$C,Amazon_USA_Air_Shipment!$AS:$AS),0),"UK",IFERROR(_xlfn.XLOOKUP(Summary!$D14,UK!$C:$C,UK!$AW:$AW),0),"MENA",IFERROR(_xlfn.XLOOKUP(Summary!$D14,MENA!$C:$C,MENA!$AS:$AS),0),Summary!BB14)</f>
        <v>22817</v>
      </c>
      <c r="U14">
        <f>IF($C$3="All",1,--(Summary!E14=$C$3))</f>
        <v>1</v>
      </c>
      <c r="Y14" t="str">
        <f>IF(Summary!E15="","",Summary!E15)</f>
        <v xml:space="preserve">A2 Cultured Ghee - 5 Ltr </v>
      </c>
    </row>
    <row r="15" spans="1:25" ht="13">
      <c r="A15" s="3"/>
      <c r="B15" s="4" t="str">
        <f t="array" ref="B15">IF($A15="","",IFERROR(SUMPRODUCT(--($S$3:$S$70=$A15),$O$3:$O$70,$P$3:$P$70,$Q$3:$Q$70,$U$3:$U$70),""))</f>
        <v/>
      </c>
      <c r="C15" s="4" t="str">
        <f t="array" ref="C15">IF($A15="","",IFERROR(SUMPRODUCT(--($S$3:$S$70=$A15),$T$3:$T$70,$P$3:$P$70,$Q$3:$Q$70,$U$3:$U$70),""))</f>
        <v/>
      </c>
      <c r="D15" s="5" t="str">
        <f t="shared" si="2"/>
        <v/>
      </c>
      <c r="E15" s="4" t="str">
        <f t="array" ref="E15">IF($A15="","",IFERROR(SUMPRODUCT(--($S$3:$S$70=$A15),--($R$3:$R$70&lt;0),$P$3:$P$70,$Q$3:$Q$70,$U$3:$U$70),""))</f>
        <v/>
      </c>
      <c r="F15" s="4" t="str">
        <f t="array" ref="F15">IF($A15="","",IFERROR(SUMPRODUCT(--($S$3:$S$70=$A15),--(Summary!$BK$3:$BK$70="P1 – Critical"),$P$3:$P$70,$Q$3:$Q$70,$U$3:$U$70),""))</f>
        <v/>
      </c>
      <c r="G15" s="1"/>
      <c r="H15" s="1" t="str">
        <f>Summary!I2</f>
        <v>USA Sea</v>
      </c>
      <c r="I15" s="4">
        <f>IFERROR(SUMPRODUCT($P$3:$P$70,$U$3:$U$70,INDEX(Summary!$G$3:$N$70,0,ROW()-12)),"")</f>
        <v>2171</v>
      </c>
      <c r="J15" s="6">
        <f t="shared" si="3"/>
        <v>1.6724887919754433E-2</v>
      </c>
      <c r="K15" s="1"/>
      <c r="L15" s="1"/>
      <c r="M15" s="1"/>
      <c r="O15">
        <f t="array" ref="O15">_xlfn.SWITCH($G$3,"MRP (Domestic)",Summary!G15,"ROW Manjari",Summary!H15,"USA Sea",Summary!I15,"Amazon USA Sea",Summary!J15,"USA Air",Summary!K15,"USA Amazon",Summary!L15,"UK",Summary!M15,"MENA",Summary!N15,Summary!O15)</f>
        <v>1035.25</v>
      </c>
      <c r="P15">
        <f>--(ISNUMBER(Summary!$A15))*--(Summary!$D15&lt;&gt;"")</f>
        <v>1</v>
      </c>
      <c r="Q15">
        <f t="shared" si="0"/>
        <v>1</v>
      </c>
      <c r="R15">
        <f t="shared" si="1"/>
        <v>-441.25</v>
      </c>
      <c r="S15" t="str">
        <f>IF(Summary!$D15="","",Summary!B15)</f>
        <v>Ghee</v>
      </c>
      <c r="T15">
        <f t="array" ref="T15">_xlfn.SWITCH($G$3,"MRP (Domestic)",IFERROR(_xlfn.XLOOKUP(Summary!$D15,Domestic!$C:$C,Domestic!$AU:$AU),0),"ROW Manjari",IFERROR(_xlfn.XLOOKUP(Summary!$D15,'INT-_Manjiri'!$C:$C,'INT-_Manjiri'!$AT:$AT),0),"USA Sea",IFERROR(_xlfn.XLOOKUP(Summary!$D15,'USA-_Sea_shipment'!$C:$C,'USA-_Sea_shipment'!#REF!),0),"Amazon USA Sea",IFERROR(_xlfn.XLOOKUP(Summary!$D15,Amazon_USA_Sea!$C:$C,Amazon_USA_Sea!$AT:$AT),0),"USA Air",IFERROR(_xlfn.XLOOKUP(Summary!$D15,USA_Air_Shipment!$C:$C,USA_Air_Shipment!$AS:$AS),0),"USA Amazon",IFERROR(_xlfn.XLOOKUP(Summary!$D15,Amazon_USA_Air_Shipment!$C:$C,Amazon_USA_Air_Shipment!$AS:$AS),0),"UK",IFERROR(_xlfn.XLOOKUP(Summary!$D15,UK!$C:$C,UK!$AW:$AW),0),"MENA",IFERROR(_xlfn.XLOOKUP(Summary!$D15,MENA!$C:$C,MENA!$AS:$AS),0),Summary!BB15)</f>
        <v>594</v>
      </c>
      <c r="U15">
        <f>IF($C$3="All",1,--(Summary!E15=$C$3))</f>
        <v>1</v>
      </c>
      <c r="Y15" t="str">
        <f>IF(Summary!E16="","",Summary!E16)</f>
        <v>Steel Can Ghee 1 Ltr</v>
      </c>
    </row>
    <row r="16" spans="1:25" ht="13">
      <c r="A16" s="3"/>
      <c r="B16" s="4" t="str">
        <f t="array" ref="B16">IF($A16="","",IFERROR(SUMPRODUCT(--($S$3:$S$70=$A16),$O$3:$O$70,$P$3:$P$70,$Q$3:$Q$70,$U$3:$U$70),""))</f>
        <v/>
      </c>
      <c r="C16" s="4" t="str">
        <f t="array" ref="C16">IF($A16="","",IFERROR(SUMPRODUCT(--($S$3:$S$70=$A16),$T$3:$T$70,$P$3:$P$70,$Q$3:$Q$70,$U$3:$U$70),""))</f>
        <v/>
      </c>
      <c r="D16" s="5" t="str">
        <f t="shared" si="2"/>
        <v/>
      </c>
      <c r="E16" s="4" t="str">
        <f t="array" ref="E16">IF($A16="","",IFERROR(SUMPRODUCT(--($S$3:$S$70=$A16),--($R$3:$R$70&lt;0),$P$3:$P$70,$Q$3:$Q$70,$U$3:$U$70),""))</f>
        <v/>
      </c>
      <c r="F16" s="4" t="str">
        <f t="array" ref="F16">IF($A16="","",IFERROR(SUMPRODUCT(--($S$3:$S$70=$A16),--(Summary!$BK$3:$BK$70="P1 – Critical"),$P$3:$P$70,$Q$3:$Q$70,$U$3:$U$70),""))</f>
        <v/>
      </c>
      <c r="G16" s="1"/>
      <c r="H16" s="1" t="str">
        <f>Summary!J2</f>
        <v>Amazon USA Sea</v>
      </c>
      <c r="I16" s="4">
        <f>IFERROR(SUMPRODUCT($P$3:$P$70,$U$3:$U$70,INDEX(Summary!$G$3:$N$70,0,ROW()-12)),"")</f>
        <v>6819</v>
      </c>
      <c r="J16" s="6">
        <f t="shared" si="3"/>
        <v>5.2532017837312525E-2</v>
      </c>
      <c r="K16" s="1"/>
      <c r="L16" s="1"/>
      <c r="M16" s="1"/>
      <c r="O16">
        <f t="array" ref="O16">_xlfn.SWITCH($G$3,"MRP (Domestic)",Summary!G16,"ROW Manjari",Summary!H16,"USA Sea",Summary!I16,"Amazon USA Sea",Summary!J16,"USA Air",Summary!K16,"USA Amazon",Summary!L16,"UK",Summary!M16,"MENA",Summary!N16,Summary!O16)</f>
        <v>413.05</v>
      </c>
      <c r="P16">
        <f>--(ISNUMBER(Summary!$A16))*--(Summary!$D16&lt;&gt;"")</f>
        <v>1</v>
      </c>
      <c r="Q16">
        <f t="shared" si="0"/>
        <v>1</v>
      </c>
      <c r="R16">
        <f t="shared" si="1"/>
        <v>-43.050000000000011</v>
      </c>
      <c r="S16" t="str">
        <f>IF(Summary!$D16="","",Summary!B16)</f>
        <v>Ghee</v>
      </c>
      <c r="T16">
        <f t="array" ref="T16">_xlfn.SWITCH($G$3,"MRP (Domestic)",IFERROR(_xlfn.XLOOKUP(Summary!$D16,Domestic!$C:$C,Domestic!$AU:$AU),0),"ROW Manjari",IFERROR(_xlfn.XLOOKUP(Summary!$D16,'INT-_Manjiri'!$C:$C,'INT-_Manjiri'!$AT:$AT),0),"USA Sea",IFERROR(_xlfn.XLOOKUP(Summary!$D16,'USA-_Sea_shipment'!$C:$C,'USA-_Sea_shipment'!#REF!),0),"Amazon USA Sea",IFERROR(_xlfn.XLOOKUP(Summary!$D16,Amazon_USA_Sea!$C:$C,Amazon_USA_Sea!$AT:$AT),0),"USA Air",IFERROR(_xlfn.XLOOKUP(Summary!$D16,USA_Air_Shipment!$C:$C,USA_Air_Shipment!$AS:$AS),0),"USA Amazon",IFERROR(_xlfn.XLOOKUP(Summary!$D16,Amazon_USA_Air_Shipment!$C:$C,Amazon_USA_Air_Shipment!$AS:$AS),0),"UK",IFERROR(_xlfn.XLOOKUP(Summary!$D16,UK!$C:$C,UK!$AW:$AW),0),"MENA",IFERROR(_xlfn.XLOOKUP(Summary!$D16,MENA!$C:$C,MENA!$AS:$AS),0),Summary!BB16)</f>
        <v>370</v>
      </c>
      <c r="U16">
        <f>IF($C$3="All",1,--(Summary!E16=$C$3))</f>
        <v>1</v>
      </c>
      <c r="Y16" t="str">
        <f>IF(Summary!E17="","",Summary!E17)</f>
        <v>A2 Cultured Ghee - 250 ml</v>
      </c>
    </row>
    <row r="17" spans="1:27" ht="13">
      <c r="A17" s="3"/>
      <c r="B17" s="4" t="str">
        <f t="array" ref="B17">IF($A17="","",IFERROR(SUMPRODUCT(--($S$3:$S$70=$A17),$O$3:$O$70,$P$3:$P$70,$Q$3:$Q$70,$U$3:$U$70),""))</f>
        <v/>
      </c>
      <c r="C17" s="4" t="str">
        <f t="array" ref="C17">IF($A17="","",IFERROR(SUMPRODUCT(--($S$3:$S$70=$A17),$T$3:$T$70,$P$3:$P$70,$Q$3:$Q$70,$U$3:$U$70),""))</f>
        <v/>
      </c>
      <c r="D17" s="5" t="str">
        <f t="shared" si="2"/>
        <v/>
      </c>
      <c r="E17" s="4" t="str">
        <f t="array" ref="E17">IF($A17="","",IFERROR(SUMPRODUCT(--($S$3:$S$70=$A17),--($R$3:$R$70&lt;0),$P$3:$P$70,$Q$3:$Q$70,$U$3:$U$70),""))</f>
        <v/>
      </c>
      <c r="F17" s="4" t="str">
        <f t="array" ref="F17">IF($A17="","",IFERROR(SUMPRODUCT(--($S$3:$S$70=$A17),--(Summary!$BK$3:$BK$70="P1 – Critical"),$P$3:$P$70,$Q$3:$Q$70,$U$3:$U$70),""))</f>
        <v/>
      </c>
      <c r="G17" s="1"/>
      <c r="H17" s="1" t="str">
        <f>Summary!K2</f>
        <v>USA Air</v>
      </c>
      <c r="I17" s="4">
        <f>IFERROR(SUMPRODUCT($P$3:$P$70,$U$3:$U$70,INDEX(Summary!$G$3:$N$70,0,ROW()-12)),"")</f>
        <v>0</v>
      </c>
      <c r="J17" s="6">
        <f t="shared" si="3"/>
        <v>0</v>
      </c>
      <c r="K17" s="1"/>
      <c r="L17" s="1"/>
      <c r="M17" s="1"/>
      <c r="O17">
        <f t="array" ref="O17">_xlfn.SWITCH($G$3,"MRP (Domestic)",Summary!G17,"ROW Manjari",Summary!H17,"USA Sea",Summary!I17,"Amazon USA Sea",Summary!J17,"USA Air",Summary!K17,"USA Amazon",Summary!L17,"UK",Summary!M17,"MENA",Summary!N17,Summary!O17)</f>
        <v>20236.7</v>
      </c>
      <c r="P17">
        <f>--(ISNUMBER(Summary!$A17))*--(Summary!$D17&lt;&gt;"")</f>
        <v>1</v>
      </c>
      <c r="Q17">
        <f t="shared" si="0"/>
        <v>1</v>
      </c>
      <c r="R17">
        <f t="shared" si="1"/>
        <v>-6541.7000000000007</v>
      </c>
      <c r="S17" t="str">
        <f>IF(Summary!$D17="","",Summary!B17)</f>
        <v>Ghee</v>
      </c>
      <c r="T17">
        <f t="array" ref="T17">_xlfn.SWITCH($G$3,"MRP (Domestic)",IFERROR(_xlfn.XLOOKUP(Summary!$D17,Domestic!$C:$C,Domestic!$AU:$AU),0),"ROW Manjari",IFERROR(_xlfn.XLOOKUP(Summary!$D17,'INT-_Manjiri'!$C:$C,'INT-_Manjiri'!$AT:$AT),0),"USA Sea",IFERROR(_xlfn.XLOOKUP(Summary!$D17,'USA-_Sea_shipment'!$C:$C,'USA-_Sea_shipment'!#REF!),0),"Amazon USA Sea",IFERROR(_xlfn.XLOOKUP(Summary!$D17,Amazon_USA_Sea!$C:$C,Amazon_USA_Sea!$AT:$AT),0),"USA Air",IFERROR(_xlfn.XLOOKUP(Summary!$D17,USA_Air_Shipment!$C:$C,USA_Air_Shipment!$AS:$AS),0),"USA Amazon",IFERROR(_xlfn.XLOOKUP(Summary!$D17,Amazon_USA_Air_Shipment!$C:$C,Amazon_USA_Air_Shipment!$AS:$AS),0),"UK",IFERROR(_xlfn.XLOOKUP(Summary!$D17,UK!$C:$C,UK!$AW:$AW),0),"MENA",IFERROR(_xlfn.XLOOKUP(Summary!$D17,MENA!$C:$C,MENA!$AS:$AS),0),Summary!BB17)</f>
        <v>13695</v>
      </c>
      <c r="U17">
        <f>IF($C$3="All",1,--(Summary!E17=$C$3))</f>
        <v>1</v>
      </c>
      <c r="Y17" t="str">
        <f>IF(Summary!E18="","",Summary!E18)</f>
        <v>A2 Cultured Ghee - 100 ml</v>
      </c>
    </row>
    <row r="18" spans="1:27" ht="13">
      <c r="A18" s="3"/>
      <c r="B18" s="4" t="str">
        <f t="array" ref="B18">IF($A18="","",IFERROR(SUMPRODUCT(--($S$3:$S$70=$A18),$O$3:$O$70,$P$3:$P$70,$Q$3:$Q$70,$U$3:$U$70),""))</f>
        <v/>
      </c>
      <c r="C18" s="4" t="str">
        <f t="array" ref="C18">IF($A18="","",IFERROR(SUMPRODUCT(--($S$3:$S$70=$A18),$T$3:$T$70,$P$3:$P$70,$Q$3:$Q$70,$U$3:$U$70),""))</f>
        <v/>
      </c>
      <c r="D18" s="5" t="str">
        <f t="shared" si="2"/>
        <v/>
      </c>
      <c r="E18" s="4" t="str">
        <f t="array" ref="E18">IF($A18="","",IFERROR(SUMPRODUCT(--($S$3:$S$70=$A18),--($R$3:$R$70&lt;0),$P$3:$P$70,$Q$3:$Q$70,$U$3:$U$70),""))</f>
        <v/>
      </c>
      <c r="F18" s="4" t="str">
        <f t="array" ref="F18">IF($A18="","",IFERROR(SUMPRODUCT(--($S$3:$S$70=$A18),--(Summary!$BK$3:$BK$70="P1 – Critical"),$P$3:$P$70,$Q$3:$Q$70,$U$3:$U$70),""))</f>
        <v/>
      </c>
      <c r="G18" s="1"/>
      <c r="H18" s="1" t="str">
        <f>Summary!L2</f>
        <v>USA Amazon</v>
      </c>
      <c r="I18" s="4">
        <f>IFERROR(SUMPRODUCT($P$3:$P$70,$U$3:$U$70,INDEX(Summary!$G$3:$N$70,0,ROW()-12)),"")</f>
        <v>735</v>
      </c>
      <c r="J18" s="6">
        <f t="shared" si="3"/>
        <v>5.6622720502162638E-3</v>
      </c>
      <c r="K18" s="1"/>
      <c r="L18" s="1"/>
      <c r="M18" s="1"/>
      <c r="O18">
        <f t="array" ref="O18">_xlfn.SWITCH($G$3,"MRP (Domestic)",Summary!G18,"ROW Manjari",Summary!H18,"USA Sea",Summary!I18,"Amazon USA Sea",Summary!J18,"USA Air",Summary!K18,"USA Amazon",Summary!L18,"UK",Summary!M18,"MENA",Summary!N18,Summary!O18)</f>
        <v>14077.7</v>
      </c>
      <c r="P18">
        <f>--(ISNUMBER(Summary!$A18))*--(Summary!$D18&lt;&gt;"")</f>
        <v>1</v>
      </c>
      <c r="Q18">
        <f t="shared" si="0"/>
        <v>1</v>
      </c>
      <c r="R18">
        <f t="shared" si="1"/>
        <v>836.29999999999927</v>
      </c>
      <c r="S18" t="str">
        <f>IF(Summary!$D18="","",Summary!B18)</f>
        <v>Ghee</v>
      </c>
      <c r="T18">
        <f t="array" ref="T18">_xlfn.SWITCH($G$3,"MRP (Domestic)",IFERROR(_xlfn.XLOOKUP(Summary!$D18,Domestic!$C:$C,Domestic!$AU:$AU),0),"ROW Manjari",IFERROR(_xlfn.XLOOKUP(Summary!$D18,'INT-_Manjiri'!$C:$C,'INT-_Manjiri'!$AT:$AT),0),"USA Sea",IFERROR(_xlfn.XLOOKUP(Summary!$D18,'USA-_Sea_shipment'!$C:$C,'USA-_Sea_shipment'!#REF!),0),"Amazon USA Sea",IFERROR(_xlfn.XLOOKUP(Summary!$D18,Amazon_USA_Sea!$C:$C,Amazon_USA_Sea!$AT:$AT),0),"USA Air",IFERROR(_xlfn.XLOOKUP(Summary!$D18,USA_Air_Shipment!$C:$C,USA_Air_Shipment!$AS:$AS),0),"USA Amazon",IFERROR(_xlfn.XLOOKUP(Summary!$D18,Amazon_USA_Air_Shipment!$C:$C,Amazon_USA_Air_Shipment!$AS:$AS),0),"UK",IFERROR(_xlfn.XLOOKUP(Summary!$D18,UK!$C:$C,UK!$AW:$AW),0),"MENA",IFERROR(_xlfn.XLOOKUP(Summary!$D18,MENA!$C:$C,MENA!$AS:$AS),0),Summary!BB18)</f>
        <v>14914</v>
      </c>
      <c r="U18">
        <f>IF($C$3="All",1,--(Summary!E18=$C$3))</f>
        <v>1</v>
      </c>
      <c r="Y18" t="str">
        <f>IF(Summary!E19="","",Summary!E19)</f>
        <v>A2 Cultured Ghee - 1000 ml</v>
      </c>
    </row>
    <row r="19" spans="1:27" ht="13">
      <c r="A19" s="1"/>
      <c r="B19" s="1"/>
      <c r="C19" s="1"/>
      <c r="D19" s="1"/>
      <c r="E19" s="1"/>
      <c r="F19" s="1"/>
      <c r="G19" s="1"/>
      <c r="H19" s="1" t="str">
        <f>Summary!M2</f>
        <v>UK</v>
      </c>
      <c r="I19" s="4">
        <f>IFERROR(SUMPRODUCT($P$3:$P$70,$U$3:$U$70,INDEX(Summary!$G$3:$N$70,0,ROW()-12)),"")</f>
        <v>0</v>
      </c>
      <c r="J19" s="6">
        <f t="shared" si="3"/>
        <v>0</v>
      </c>
      <c r="K19" s="1"/>
      <c r="L19" s="1"/>
      <c r="M19" s="1"/>
      <c r="O19">
        <f t="array" ref="O19">_xlfn.SWITCH($G$3,"MRP (Domestic)",Summary!G19,"ROW Manjari",Summary!H19,"USA Sea",Summary!I19,"Amazon USA Sea",Summary!J19,"USA Air",Summary!K19,"USA Amazon",Summary!L19,"UK",Summary!M19,"MENA",Summary!N19,Summary!O19)</f>
        <v>11040.6</v>
      </c>
      <c r="P19">
        <f>--(ISNUMBER(Summary!$A19))*--(Summary!$D19&lt;&gt;"")</f>
        <v>1</v>
      </c>
      <c r="Q19">
        <f t="shared" si="0"/>
        <v>1</v>
      </c>
      <c r="R19">
        <f t="shared" si="1"/>
        <v>-3333.6000000000004</v>
      </c>
      <c r="S19" t="str">
        <f>IF(Summary!$D19="","",Summary!B19)</f>
        <v>Ghee</v>
      </c>
      <c r="T19">
        <f t="array" ref="T19">_xlfn.SWITCH($G$3,"MRP (Domestic)",IFERROR(_xlfn.XLOOKUP(Summary!$D19,Domestic!$C:$C,Domestic!$AU:$AU),0),"ROW Manjari",IFERROR(_xlfn.XLOOKUP(Summary!$D19,'INT-_Manjiri'!$C:$C,'INT-_Manjiri'!$AT:$AT),0),"USA Sea",IFERROR(_xlfn.XLOOKUP(Summary!$D19,'USA-_Sea_shipment'!$C:$C,'USA-_Sea_shipment'!#REF!),0),"Amazon USA Sea",IFERROR(_xlfn.XLOOKUP(Summary!$D19,Amazon_USA_Sea!$C:$C,Amazon_USA_Sea!$AT:$AT),0),"USA Air",IFERROR(_xlfn.XLOOKUP(Summary!$D19,USA_Air_Shipment!$C:$C,USA_Air_Shipment!$AS:$AS),0),"USA Amazon",IFERROR(_xlfn.XLOOKUP(Summary!$D19,Amazon_USA_Air_Shipment!$C:$C,Amazon_USA_Air_Shipment!$AS:$AS),0),"UK",IFERROR(_xlfn.XLOOKUP(Summary!$D19,UK!$C:$C,UK!$AW:$AW),0),"MENA",IFERROR(_xlfn.XLOOKUP(Summary!$D19,MENA!$C:$C,MENA!$AS:$AS),0),Summary!BB19)</f>
        <v>7707</v>
      </c>
      <c r="U19">
        <f>IF($C$3="All",1,--(Summary!E19=$C$3))</f>
        <v>1</v>
      </c>
      <c r="Y19" t="str">
        <f>IF(Summary!E20="","",Summary!E20)</f>
        <v/>
      </c>
    </row>
    <row r="20" spans="1:27" ht="13">
      <c r="A20" s="30" t="s">
        <v>50</v>
      </c>
      <c r="B20" s="30"/>
      <c r="C20" s="30"/>
      <c r="D20" s="30"/>
      <c r="E20" s="30"/>
      <c r="F20" s="30"/>
      <c r="G20" s="1"/>
      <c r="H20" s="1" t="str">
        <f>Summary!N2</f>
        <v>MENA</v>
      </c>
      <c r="I20" s="4">
        <f>IFERROR(SUMPRODUCT($P$3:$P$70,$U$3:$U$70,INDEX(Summary!$G$3:$N$70,0,ROW()-12)),"")</f>
        <v>6995</v>
      </c>
      <c r="J20" s="6">
        <f t="shared" si="3"/>
        <v>5.3887881620765667E-2</v>
      </c>
      <c r="K20" s="1"/>
      <c r="L20" s="1"/>
      <c r="M20" s="1"/>
      <c r="O20">
        <f t="array" ref="O20">_xlfn.SWITCH($G$3,"MRP (Domestic)",Summary!G20,"ROW Manjari",Summary!H20,"USA Sea",Summary!I20,"Amazon USA Sea",Summary!J20,"USA Air",Summary!K20,"USA Amazon",Summary!L20,"UK",Summary!M20,"MENA",Summary!N20,Summary!O20)</f>
        <v>129806.55</v>
      </c>
      <c r="P20">
        <f>--(ISNUMBER(Summary!$A20))*--(Summary!$D20&lt;&gt;"")</f>
        <v>0</v>
      </c>
      <c r="Q20">
        <f t="shared" si="0"/>
        <v>1</v>
      </c>
      <c r="R20">
        <f t="shared" si="1"/>
        <v>-56692.55</v>
      </c>
      <c r="S20" t="str">
        <f>IF(Summary!$D20="","",Summary!B20)</f>
        <v/>
      </c>
      <c r="T20">
        <f t="array" ref="T20">_xlfn.SWITCH($G$3,"MRP (Domestic)",IFERROR(_xlfn.XLOOKUP(Summary!$D20,Domestic!$C:$C,Domestic!$AU:$AU),0),"ROW Manjari",IFERROR(_xlfn.XLOOKUP(Summary!$D20,'INT-_Manjiri'!$C:$C,'INT-_Manjiri'!$AT:$AT),0),"USA Sea",IFERROR(_xlfn.XLOOKUP(Summary!$D20,'USA-_Sea_shipment'!$C:$C,'USA-_Sea_shipment'!#REF!),0),"Amazon USA Sea",IFERROR(_xlfn.XLOOKUP(Summary!$D20,Amazon_USA_Sea!$C:$C,Amazon_USA_Sea!$AT:$AT),0),"USA Air",IFERROR(_xlfn.XLOOKUP(Summary!$D20,USA_Air_Shipment!$C:$C,USA_Air_Shipment!$AS:$AS),0),"USA Amazon",IFERROR(_xlfn.XLOOKUP(Summary!$D20,Amazon_USA_Air_Shipment!$C:$C,Amazon_USA_Air_Shipment!$AS:$AS),0),"UK",IFERROR(_xlfn.XLOOKUP(Summary!$D20,UK!$C:$C,UK!$AW:$AW),0),"MENA",IFERROR(_xlfn.XLOOKUP(Summary!$D20,MENA!$C:$C,MENA!$AS:$AS),0),Summary!BB20)</f>
        <v>73114</v>
      </c>
      <c r="U20">
        <f>IF($C$3="All",1,--(Summary!E20=$C$3))</f>
        <v>1</v>
      </c>
      <c r="Y20" t="str">
        <f>IF(Summary!E21="","",Summary!E21)</f>
        <v/>
      </c>
    </row>
    <row r="21" spans="1:27" ht="13">
      <c r="A21" s="31" t="str">
        <f>IF($A$6="","No data for the current selection.","Overall fulfillment "&amp;TEXT($E$6,"0%")&amp;" — "&amp;TEXT($G$6,"#,##0")&amp;" packets pending across "&amp;TEXT($I$6,"#,##0")&amp;" SKUs.")</f>
        <v>Overall fulfillment 56% — 57,529 packets pending across 16 SKUs.</v>
      </c>
      <c r="B21" s="31"/>
      <c r="C21" s="31"/>
      <c r="D21" s="31"/>
      <c r="E21" s="31"/>
      <c r="F21" s="31"/>
      <c r="G21" s="1"/>
      <c r="H21" s="2" t="s">
        <v>52</v>
      </c>
      <c r="I21" s="2" t="s">
        <v>53</v>
      </c>
      <c r="J21" s="1"/>
      <c r="K21" s="1"/>
      <c r="L21" s="1"/>
      <c r="M21" s="1"/>
      <c r="O21">
        <f t="array" ref="O21">_xlfn.SWITCH($G$3,"MRP (Domestic)",Summary!G21,"ROW Manjari",Summary!H21,"USA Sea",Summary!I21,"Amazon USA Sea",Summary!J21,"USA Air",Summary!K21,"USA Amazon",Summary!L21,"UK",Summary!M21,"MENA",Summary!N21,Summary!O21)</f>
        <v>0</v>
      </c>
      <c r="P21">
        <f>--(ISNUMBER(Summary!$A21))*--(Summary!$D21&lt;&gt;"")</f>
        <v>0</v>
      </c>
      <c r="Q21">
        <f t="shared" si="0"/>
        <v>1</v>
      </c>
      <c r="R21">
        <f t="shared" si="1"/>
        <v>0</v>
      </c>
      <c r="S21" t="str">
        <f>IF(Summary!$D21="","",Summary!B21)</f>
        <v/>
      </c>
      <c r="T21">
        <f t="array" ref="T21">_xlfn.SWITCH($G$3,"MRP (Domestic)",IFERROR(_xlfn.XLOOKUP(Summary!$D21,Domestic!$C:$C,Domestic!$AU:$AU),0),"ROW Manjari",IFERROR(_xlfn.XLOOKUP(Summary!$D21,'INT-_Manjiri'!$C:$C,'INT-_Manjiri'!$AT:$AT),0),"USA Sea",IFERROR(_xlfn.XLOOKUP(Summary!$D21,'USA-_Sea_shipment'!$C:$C,'USA-_Sea_shipment'!#REF!),0),"Amazon USA Sea",IFERROR(_xlfn.XLOOKUP(Summary!$D21,Amazon_USA_Sea!$C:$C,Amazon_USA_Sea!$AT:$AT),0),"USA Air",IFERROR(_xlfn.XLOOKUP(Summary!$D21,USA_Air_Shipment!$C:$C,USA_Air_Shipment!$AS:$AS),0),"USA Amazon",IFERROR(_xlfn.XLOOKUP(Summary!$D21,Amazon_USA_Air_Shipment!$C:$C,Amazon_USA_Air_Shipment!$AS:$AS),0),"UK",IFERROR(_xlfn.XLOOKUP(Summary!$D21,UK!$C:$C,UK!$AW:$AW),0),"MENA",IFERROR(_xlfn.XLOOKUP(Summary!$D21,MENA!$C:$C,MENA!$AS:$AS),0),Summary!BB21)</f>
        <v>0</v>
      </c>
      <c r="U21">
        <f>IF($C$3="All",1,--(Summary!E21=$C$3))</f>
        <v>1</v>
      </c>
      <c r="Y21" t="str">
        <f>IF(Summary!E22="","",Summary!E22)</f>
        <v/>
      </c>
    </row>
    <row r="22" spans="1:27" ht="13">
      <c r="A22" s="31" t="str">
        <f>IF($I$6="","",TEXT($K$6,"#,##0")&amp;" of "&amp;TEXT($I$6,"#,##0")&amp;" pending SKUs are P1–Critical ("&amp;IFERROR(TEXT($K$6/$I$6,"0%"),"0%")&amp;" of pending).")</f>
        <v>13 of 16 pending SKUs are P1–Critical (81% of pending).</v>
      </c>
      <c r="B22" s="31"/>
      <c r="C22" s="31"/>
      <c r="D22" s="31"/>
      <c r="E22" s="31"/>
      <c r="F22" s="31"/>
      <c r="G22" s="1"/>
      <c r="H22" s="1" t="s">
        <v>54</v>
      </c>
      <c r="I22" s="4">
        <f t="array" ref="I22">IFERROR(SUMPRODUCT(--(Summary!$BK$3:$BK$70=$H22),$P$3:$P$70,$Q$3:$Q$70,$U$3:$U$70),"")</f>
        <v>13</v>
      </c>
      <c r="J22" s="1"/>
      <c r="K22" s="1"/>
      <c r="L22" s="1"/>
      <c r="M22" s="1"/>
      <c r="O22">
        <f t="array" ref="O22">_xlfn.SWITCH($G$3,"MRP (Domestic)",Summary!G22,"ROW Manjari",Summary!H22,"USA Sea",Summary!I22,"Amazon USA Sea",Summary!J22,"USA Air",Summary!K22,"USA Amazon",Summary!L22,"UK",Summary!M22,"MENA",Summary!N22,Summary!O22)</f>
        <v>0</v>
      </c>
      <c r="P22">
        <f>--(ISNUMBER(Summary!$A22))*--(Summary!$D22&lt;&gt;"")</f>
        <v>0</v>
      </c>
      <c r="Q22">
        <f t="shared" si="0"/>
        <v>1</v>
      </c>
      <c r="R22">
        <f t="shared" si="1"/>
        <v>0</v>
      </c>
      <c r="S22" t="str">
        <f>IF(Summary!$D22="","",Summary!B22)</f>
        <v/>
      </c>
      <c r="T22">
        <f t="array" ref="T22">_xlfn.SWITCH($G$3,"MRP (Domestic)",IFERROR(_xlfn.XLOOKUP(Summary!$D22,Domestic!$C:$C,Domestic!$AU:$AU),0),"ROW Manjari",IFERROR(_xlfn.XLOOKUP(Summary!$D22,'INT-_Manjiri'!$C:$C,'INT-_Manjiri'!$AT:$AT),0),"USA Sea",IFERROR(_xlfn.XLOOKUP(Summary!$D22,'USA-_Sea_shipment'!$C:$C,'USA-_Sea_shipment'!#REF!),0),"Amazon USA Sea",IFERROR(_xlfn.XLOOKUP(Summary!$D22,Amazon_USA_Sea!$C:$C,Amazon_USA_Sea!$AT:$AT),0),"USA Air",IFERROR(_xlfn.XLOOKUP(Summary!$D22,USA_Air_Shipment!$C:$C,USA_Air_Shipment!$AS:$AS),0),"USA Amazon",IFERROR(_xlfn.XLOOKUP(Summary!$D22,Amazon_USA_Air_Shipment!$C:$C,Amazon_USA_Air_Shipment!$AS:$AS),0),"UK",IFERROR(_xlfn.XLOOKUP(Summary!$D22,UK!$C:$C,UK!$AW:$AW),0),"MENA",IFERROR(_xlfn.XLOOKUP(Summary!$D22,MENA!$C:$C,MENA!$AS:$AS),0),Summary!BB22)</f>
        <v>0</v>
      </c>
      <c r="U22">
        <f>IF($C$3="All",1,--(Summary!E22=$C$3))</f>
        <v>1</v>
      </c>
      <c r="Y22" t="str">
        <f>IF(Summary!E23="","",Summary!E23)</f>
        <v/>
      </c>
    </row>
    <row r="23" spans="1:27" ht="13">
      <c r="A23" s="31" t="str">
        <f>IFERROR(IF($A$6="","","Biggest single gap: "&amp;INDEX($D$28:$D$95,MATCH(MIN($G$28:$G$95),$G$28:$G$95,0))&amp;" ("&amp;INDEX($B$28:$B$95,MATCH(MIN($G$28:$G$95),$G$28:$G$95,0))&amp;") — "&amp;TEXT(-MIN($G$28:$G$95),"#,##0")&amp;" pkt pending."),"")</f>
        <v>Biggest single gap: Buffalo Ghee - A2 Cultured 500ml (Ghee) — 18,586 pkt pending.</v>
      </c>
      <c r="B23" s="31"/>
      <c r="C23" s="31"/>
      <c r="D23" s="31"/>
      <c r="E23" s="31"/>
      <c r="F23" s="31"/>
      <c r="G23" s="1"/>
      <c r="H23" s="1" t="s">
        <v>55</v>
      </c>
      <c r="I23" s="4">
        <f t="array" ref="I23">IFERROR(SUMPRODUCT(--(Summary!$BK$3:$BK$70=$H23),$P$3:$P$70,$Q$3:$Q$70,$U$3:$U$70),"")</f>
        <v>2</v>
      </c>
      <c r="J23" s="1"/>
      <c r="K23" s="1"/>
      <c r="L23" s="1"/>
      <c r="M23" s="1"/>
      <c r="O23">
        <f t="array" ref="O23">_xlfn.SWITCH($G$3,"MRP (Domestic)",Summary!G23,"ROW Manjari",Summary!H23,"USA Sea",Summary!I23,"Amazon USA Sea",Summary!J23,"USA Air",Summary!K23,"USA Amazon",Summary!L23,"UK",Summary!M23,"MENA",Summary!N23,Summary!O23)</f>
        <v>0</v>
      </c>
      <c r="P23">
        <f>--(ISNUMBER(Summary!$A23))*--(Summary!$D23&lt;&gt;"")</f>
        <v>0</v>
      </c>
      <c r="Q23">
        <f t="shared" si="0"/>
        <v>1</v>
      </c>
      <c r="R23">
        <f t="shared" si="1"/>
        <v>0</v>
      </c>
      <c r="S23" t="str">
        <f>IF(Summary!$D23="","",Summary!B23)</f>
        <v/>
      </c>
      <c r="T23">
        <f t="array" ref="T23">_xlfn.SWITCH($G$3,"MRP (Domestic)",IFERROR(_xlfn.XLOOKUP(Summary!$D23,Domestic!$C:$C,Domestic!$AU:$AU),0),"ROW Manjari",IFERROR(_xlfn.XLOOKUP(Summary!$D23,'INT-_Manjiri'!$C:$C,'INT-_Manjiri'!$AT:$AT),0),"USA Sea",IFERROR(_xlfn.XLOOKUP(Summary!$D23,'USA-_Sea_shipment'!$C:$C,'USA-_Sea_shipment'!#REF!),0),"Amazon USA Sea",IFERROR(_xlfn.XLOOKUP(Summary!$D23,Amazon_USA_Sea!$C:$C,Amazon_USA_Sea!$AT:$AT),0),"USA Air",IFERROR(_xlfn.XLOOKUP(Summary!$D23,USA_Air_Shipment!$C:$C,USA_Air_Shipment!$AS:$AS),0),"USA Amazon",IFERROR(_xlfn.XLOOKUP(Summary!$D23,Amazon_USA_Air_Shipment!$C:$C,Amazon_USA_Air_Shipment!$AS:$AS),0),"UK",IFERROR(_xlfn.XLOOKUP(Summary!$D23,UK!$C:$C,UK!$AW:$AW),0),"MENA",IFERROR(_xlfn.XLOOKUP(Summary!$D23,MENA!$C:$C,MENA!$AS:$AS),0),Summary!BB23)</f>
        <v>0</v>
      </c>
      <c r="U23">
        <f>IF($C$3="All",1,--(Summary!E23=$C$3))</f>
        <v>1</v>
      </c>
      <c r="Y23" t="str">
        <f>IF(Summary!E24="","",Summary!E24)</f>
        <v/>
      </c>
    </row>
    <row r="24" spans="1:27" ht="13">
      <c r="A24" s="31" t="str">
        <f t="array" ref="A24">IF($A$6="","","Sections at 0% fulfillment: "&amp;TEXT(SUMPRODUCT(--($B$13:$B$18&gt;0),--($C$13:$C$18=0)),"0")&amp;" of "&amp;TEXT(COUNTA($A$13:$A$18),"0")&amp;".")</f>
        <v>Sections at 0% fulfillment: 0 of 1.</v>
      </c>
      <c r="B24" s="31"/>
      <c r="C24" s="31"/>
      <c r="D24" s="31"/>
      <c r="E24" s="31"/>
      <c r="F24" s="31"/>
      <c r="G24" s="1"/>
      <c r="H24" s="1" t="s">
        <v>56</v>
      </c>
      <c r="I24" s="4">
        <f t="array" ref="I24">IFERROR(SUMPRODUCT(--(Summary!$BK$3:$BK$70=$H24),$P$3:$P$70,$Q$3:$Q$70,$U$3:$U$70),"")</f>
        <v>2</v>
      </c>
      <c r="J24" s="1"/>
      <c r="K24" s="1"/>
      <c r="L24" s="1"/>
      <c r="M24" s="1"/>
      <c r="O24">
        <f t="array" ref="O24">_xlfn.SWITCH($G$3,"MRP (Domestic)",Summary!G24,"ROW Manjari",Summary!H24,"USA Sea",Summary!I24,"Amazon USA Sea",Summary!J24,"USA Air",Summary!K24,"USA Amazon",Summary!L24,"UK",Summary!M24,"MENA",Summary!N24,Summary!O24)</f>
        <v>0</v>
      </c>
      <c r="P24">
        <f>--(ISNUMBER(Summary!$A24))*--(Summary!$D24&lt;&gt;"")</f>
        <v>0</v>
      </c>
      <c r="Q24">
        <f t="shared" si="0"/>
        <v>1</v>
      </c>
      <c r="R24">
        <f t="shared" si="1"/>
        <v>0</v>
      </c>
      <c r="S24" t="str">
        <f>IF(Summary!$D24="","",Summary!B24)</f>
        <v/>
      </c>
      <c r="T24">
        <f t="array" ref="T24">_xlfn.SWITCH($G$3,"MRP (Domestic)",IFERROR(_xlfn.XLOOKUP(Summary!$D24,Domestic!$C:$C,Domestic!$AU:$AU),0),"ROW Manjari",IFERROR(_xlfn.XLOOKUP(Summary!$D24,'INT-_Manjiri'!$C:$C,'INT-_Manjiri'!$AT:$AT),0),"USA Sea",IFERROR(_xlfn.XLOOKUP(Summary!$D24,'USA-_Sea_shipment'!$C:$C,'USA-_Sea_shipment'!#REF!),0),"Amazon USA Sea",IFERROR(_xlfn.XLOOKUP(Summary!$D24,Amazon_USA_Sea!$C:$C,Amazon_USA_Sea!$AT:$AT),0),"USA Air",IFERROR(_xlfn.XLOOKUP(Summary!$D24,USA_Air_Shipment!$C:$C,USA_Air_Shipment!$AS:$AS),0),"USA Amazon",IFERROR(_xlfn.XLOOKUP(Summary!$D24,Amazon_USA_Air_Shipment!$C:$C,Amazon_USA_Air_Shipment!$AS:$AS),0),"UK",IFERROR(_xlfn.XLOOKUP(Summary!$D24,UK!$C:$C,UK!$AW:$AW),0),"MENA",IFERROR(_xlfn.XLOOKUP(Summary!$D24,MENA!$C:$C,MENA!$AS:$AS),0),Summary!BB24)</f>
        <v>0</v>
      </c>
      <c r="U24">
        <f>IF($C$3="All",1,--(Summary!E24=$C$3))</f>
        <v>1</v>
      </c>
      <c r="Y24" t="str">
        <f>IF(Summary!E25="","",Summary!E25)</f>
        <v/>
      </c>
    </row>
    <row r="25" spans="1:27" ht="1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O25">
        <f t="array" ref="O25">_xlfn.SWITCH($G$3,"MRP (Domestic)",Summary!G25,"ROW Manjari",Summary!H25,"USA Sea",Summary!I25,"Amazon USA Sea",Summary!J25,"USA Air",Summary!K25,"USA Amazon",Summary!L25,"UK",Summary!M25,"MENA",Summary!N25,Summary!O25)</f>
        <v>0</v>
      </c>
      <c r="P25">
        <f>--(ISNUMBER(Summary!$A25))*--(Summary!$D25&lt;&gt;"")</f>
        <v>0</v>
      </c>
      <c r="Q25">
        <f t="shared" si="0"/>
        <v>1</v>
      </c>
      <c r="R25">
        <f t="shared" si="1"/>
        <v>0</v>
      </c>
      <c r="S25" t="str">
        <f>IF(Summary!$D25="","",Summary!B25)</f>
        <v/>
      </c>
      <c r="T25">
        <f t="array" ref="T25">_xlfn.SWITCH($G$3,"MRP (Domestic)",IFERROR(_xlfn.XLOOKUP(Summary!$D25,Domestic!$C:$C,Domestic!$AU:$AU),0),"ROW Manjari",IFERROR(_xlfn.XLOOKUP(Summary!$D25,'INT-_Manjiri'!$C:$C,'INT-_Manjiri'!$AT:$AT),0),"USA Sea",IFERROR(_xlfn.XLOOKUP(Summary!$D25,'USA-_Sea_shipment'!$C:$C,'USA-_Sea_shipment'!#REF!),0),"Amazon USA Sea",IFERROR(_xlfn.XLOOKUP(Summary!$D25,Amazon_USA_Sea!$C:$C,Amazon_USA_Sea!$AT:$AT),0),"USA Air",IFERROR(_xlfn.XLOOKUP(Summary!$D25,USA_Air_Shipment!$C:$C,USA_Air_Shipment!$AS:$AS),0),"USA Amazon",IFERROR(_xlfn.XLOOKUP(Summary!$D25,Amazon_USA_Air_Shipment!$C:$C,Amazon_USA_Air_Shipment!$AS:$AS),0),"UK",IFERROR(_xlfn.XLOOKUP(Summary!$D25,UK!$C:$C,UK!$AW:$AW),0),"MENA",IFERROR(_xlfn.XLOOKUP(Summary!$D25,MENA!$C:$C,MENA!$AS:$AS),0),Summary!BB25)</f>
        <v>0</v>
      </c>
      <c r="U25">
        <f>IF($C$3="All",1,--(Summary!E25=$C$3))</f>
        <v>1</v>
      </c>
      <c r="Y25" t="str">
        <f>IF(Summary!E26="","",Summary!E26)</f>
        <v/>
      </c>
    </row>
    <row r="26" spans="1:27" ht="13">
      <c r="A26" s="29" t="s">
        <v>57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O26">
        <f t="array" ref="O26">_xlfn.SWITCH($G$3,"MRP (Domestic)",Summary!G26,"ROW Manjari",Summary!H26,"USA Sea",Summary!I26,"Amazon USA Sea",Summary!J26,"USA Air",Summary!K26,"USA Amazon",Summary!L26,"UK",Summary!M26,"MENA",Summary!N26,Summary!O26)</f>
        <v>0</v>
      </c>
      <c r="P26">
        <f>--(ISNUMBER(Summary!$A26))*--(Summary!$D26&lt;&gt;"")</f>
        <v>0</v>
      </c>
      <c r="Q26">
        <f t="shared" si="0"/>
        <v>1</v>
      </c>
      <c r="R26">
        <f t="shared" si="1"/>
        <v>0</v>
      </c>
      <c r="S26" t="str">
        <f>IF(Summary!$D26="","",Summary!B26)</f>
        <v/>
      </c>
      <c r="T26">
        <f t="array" ref="T26">_xlfn.SWITCH($G$3,"MRP (Domestic)",IFERROR(_xlfn.XLOOKUP(Summary!$D26,Domestic!$C:$C,Domestic!$AU:$AU),0),"ROW Manjari",IFERROR(_xlfn.XLOOKUP(Summary!$D26,'INT-_Manjiri'!$C:$C,'INT-_Manjiri'!$AT:$AT),0),"USA Sea",IFERROR(_xlfn.XLOOKUP(Summary!$D26,'USA-_Sea_shipment'!$C:$C,'USA-_Sea_shipment'!#REF!),0),"Amazon USA Sea",IFERROR(_xlfn.XLOOKUP(Summary!$D26,Amazon_USA_Sea!$C:$C,Amazon_USA_Sea!$AT:$AT),0),"USA Air",IFERROR(_xlfn.XLOOKUP(Summary!$D26,USA_Air_Shipment!$C:$C,USA_Air_Shipment!$AS:$AS),0),"USA Amazon",IFERROR(_xlfn.XLOOKUP(Summary!$D26,Amazon_USA_Air_Shipment!$C:$C,Amazon_USA_Air_Shipment!$AS:$AS),0),"UK",IFERROR(_xlfn.XLOOKUP(Summary!$D26,UK!$C:$C,UK!$AW:$AW),0),"MENA",IFERROR(_xlfn.XLOOKUP(Summary!$D26,MENA!$C:$C,MENA!$AS:$AS),0),Summary!BB26)</f>
        <v>0</v>
      </c>
      <c r="U26">
        <f>IF($C$3="All",1,--(Summary!E26=$C$3))</f>
        <v>1</v>
      </c>
      <c r="Y26" t="str">
        <f>IF(Summary!E27="","",Summary!E27)</f>
        <v/>
      </c>
    </row>
    <row r="27" spans="1:27" ht="28" customHeight="1">
      <c r="A27" s="2" t="s">
        <v>58</v>
      </c>
      <c r="B27" s="2" t="s">
        <v>6</v>
      </c>
      <c r="C27" s="2" t="s">
        <v>59</v>
      </c>
      <c r="D27" s="2" t="s">
        <v>60</v>
      </c>
      <c r="E27" s="2" t="s">
        <v>30</v>
      </c>
      <c r="F27" s="2" t="s">
        <v>31</v>
      </c>
      <c r="G27" s="2" t="s">
        <v>18</v>
      </c>
      <c r="H27" s="2" t="s">
        <v>32</v>
      </c>
      <c r="I27" s="2" t="s">
        <v>61</v>
      </c>
      <c r="J27" s="2" t="s">
        <v>62</v>
      </c>
      <c r="K27" s="2" t="s">
        <v>52</v>
      </c>
      <c r="L27" s="2" t="s">
        <v>63</v>
      </c>
      <c r="M27" s="1"/>
      <c r="N27" t="s">
        <v>64</v>
      </c>
      <c r="Z27" t="s">
        <v>65</v>
      </c>
      <c r="AA27" t="s">
        <v>66</v>
      </c>
    </row>
    <row r="28" spans="1:27" ht="13">
      <c r="A28" s="7">
        <f t="shared" ref="A28:A59" si="4">IF($N28="","",ROW()-27)</f>
        <v>1</v>
      </c>
      <c r="B28" s="7" t="str">
        <f t="array" ref="B28">IF($N28="","",INDEX(Summary!$B:$B,$N28))</f>
        <v>Ghee</v>
      </c>
      <c r="C28" s="7" t="str">
        <f t="array" ref="C28">IF($N28="","",INDEX(Summary!$D:$D,$N28))</f>
        <v>FG00005</v>
      </c>
      <c r="D28" s="7" t="str">
        <f t="array" ref="D28">IF($N28="","",INDEX(Summary!$E:$E,$N28))</f>
        <v>Butter/Makhan - 200 gm</v>
      </c>
      <c r="E28" s="8">
        <f t="array" ref="E28">IF($N28="","",INDEX($O:$O,$N28))</f>
        <v>186</v>
      </c>
      <c r="F28" s="8">
        <f t="array" ref="F28">IF($N28="","",INDEX($T:$T,$N28))</f>
        <v>0</v>
      </c>
      <c r="G28" s="8">
        <f t="array" ref="G28">IF($N28="","",INDEX($R:$R,$N28))</f>
        <v>-186</v>
      </c>
      <c r="H28" s="9">
        <f t="array" ref="H28">IF($N28="","",IFERROR(INDEX($T:$T,$N28)/INDEX($O:$O,$N28),""))</f>
        <v>0</v>
      </c>
      <c r="I28" s="10">
        <f t="array" ref="I28">IF($N28="","",INDEX(Summary!$BI:$BI,$N28))</f>
        <v>0.32258064516129031</v>
      </c>
      <c r="J28" s="10">
        <f t="array" ref="J28">IF($N28="","",INDEX(Summary!$BJ:$BJ,$N28))</f>
        <v>10</v>
      </c>
      <c r="K28" s="7" t="str">
        <f t="array" ref="K28">IF($N28="","",INDEX(Summary!$BK:$BK,$N28))</f>
        <v>P1 – Critical</v>
      </c>
      <c r="L28" s="7" t="str">
        <f t="array" ref="L28">IF($N28="","",INDEX(Summary!$BG:$BG,$N28))</f>
        <v/>
      </c>
      <c r="M28" s="1"/>
      <c r="N28">
        <f t="array" ref="N28">IFERROR(_xlfn.AGGREGATE(15,6,ROW(Summary!$D$3:$D$70)/(($R$3:$R$70&lt;0)*$P$3:$P$70*$Q$3:$Q$70*$U$3:$U$70),ROW()-27),"")</f>
        <v>3</v>
      </c>
      <c r="O28">
        <f t="array" ref="O28">_xlfn.SWITCH($G$3,"MRP (Domestic)",Summary!G28,"ROW Manjari",Summary!H28,"USA Sea",Summary!I28,"Amazon USA Sea",Summary!J28,"USA Air",Summary!K28,"USA Amazon",Summary!L28,"UK",Summary!M28,"MENA",Summary!N28,Summary!O28)</f>
        <v>0</v>
      </c>
      <c r="P28">
        <f>--(ISNUMBER(Summary!$A28))*--(Summary!$D28&lt;&gt;"")</f>
        <v>0</v>
      </c>
      <c r="Q28">
        <f t="shared" ref="Q28:Q70" si="5">IF($G$3="All",1,--(O28&gt;0))</f>
        <v>1</v>
      </c>
      <c r="R28">
        <f t="shared" ref="R28:R70" si="6">T28-O28</f>
        <v>0</v>
      </c>
      <c r="S28" t="str">
        <f>IF(Summary!$D28="","",Summary!B28)</f>
        <v/>
      </c>
      <c r="T28">
        <f t="array" ref="T28">_xlfn.SWITCH($G$3,"MRP (Domestic)",IFERROR(_xlfn.XLOOKUP(Summary!$D28,Domestic!$C:$C,Domestic!$AU:$AU),0),"ROW Manjari",IFERROR(_xlfn.XLOOKUP(Summary!$D28,'INT-_Manjiri'!$C:$C,'INT-_Manjiri'!$AT:$AT),0),"USA Sea",IFERROR(_xlfn.XLOOKUP(Summary!$D28,'USA-_Sea_shipment'!$C:$C,'USA-_Sea_shipment'!#REF!),0),"Amazon USA Sea",IFERROR(_xlfn.XLOOKUP(Summary!$D28,Amazon_USA_Sea!$C:$C,Amazon_USA_Sea!$AT:$AT),0),"USA Air",IFERROR(_xlfn.XLOOKUP(Summary!$D28,USA_Air_Shipment!$C:$C,USA_Air_Shipment!$AS:$AS),0),"USA Amazon",IFERROR(_xlfn.XLOOKUP(Summary!$D28,Amazon_USA_Air_Shipment!$C:$C,Amazon_USA_Air_Shipment!$AS:$AS),0),"UK",IFERROR(_xlfn.XLOOKUP(Summary!$D28,UK!$C:$C,UK!$AW:$AW),0),"MENA",IFERROR(_xlfn.XLOOKUP(Summary!$D28,MENA!$C:$C,MENA!$AS:$AS),0),Summary!BB28)</f>
        <v>0</v>
      </c>
      <c r="U28">
        <f>IF($C$3="All",1,--(Summary!E28=$C$3))</f>
        <v>1</v>
      </c>
      <c r="Y28" t="str">
        <f>IF(Summary!E29="","",Summary!E29)</f>
        <v/>
      </c>
      <c r="Z28">
        <f t="shared" ref="Z28:Z59" si="7">IF(AND($G28&lt;0,ISNUMBER(SEARCH("P1",$K28))),-$G28,"")</f>
        <v>186</v>
      </c>
      <c r="AA28">
        <f t="shared" ref="AA28:AA59" si="8">IF($G28&lt;0,-$G28,"")</f>
        <v>186</v>
      </c>
    </row>
    <row r="29" spans="1:27" ht="13">
      <c r="A29" s="7">
        <f t="shared" si="4"/>
        <v>2</v>
      </c>
      <c r="B29" s="7" t="str">
        <f t="array" ref="B29">IF($N29="","",INDEX(Summary!$B:$B,$N29))</f>
        <v>Ghee</v>
      </c>
      <c r="C29" s="7" t="str">
        <f t="array" ref="C29">IF($N29="","",INDEX(Summary!$D:$D,$N29))</f>
        <v>FG00039</v>
      </c>
      <c r="D29" s="7" t="str">
        <f t="array" ref="D29">IF($N29="","",INDEX(Summary!$E:$E,$N29))</f>
        <v>Brahmi Ghee - 250 gm</v>
      </c>
      <c r="E29" s="8">
        <f t="array" ref="E29">IF($N29="","",INDEX($O:$O,$N29))</f>
        <v>253</v>
      </c>
      <c r="F29" s="8">
        <f t="array" ref="F29">IF($N29="","",INDEX($T:$T,$N29))</f>
        <v>67</v>
      </c>
      <c r="G29" s="8">
        <f t="array" ref="G29">IF($N29="","",INDEX($R:$R,$N29))</f>
        <v>-186</v>
      </c>
      <c r="H29" s="9">
        <f t="array" ref="H29">IF($N29="","",IFERROR(INDEX($T:$T,$N29)/INDEX($O:$O,$N29),""))</f>
        <v>0.2648221343873518</v>
      </c>
      <c r="I29" s="10">
        <f t="array" ref="I29">IF($N29="","",INDEX(Summary!$BI:$BI,$N29))</f>
        <v>1.3043478260869565</v>
      </c>
      <c r="J29" s="10">
        <f t="array" ref="J29">IF($N29="","",INDEX(Summary!$BJ:$BJ,$N29))</f>
        <v>10</v>
      </c>
      <c r="K29" s="7" t="str">
        <f t="array" ref="K29">IF($N29="","",INDEX(Summary!$BK:$BK,$N29))</f>
        <v>P1 – Critical</v>
      </c>
      <c r="L29" s="7" t="str">
        <f t="array" ref="L29">IF($N29="","",INDEX(Summary!$BG:$BG,$N29))</f>
        <v>WIP</v>
      </c>
      <c r="M29" s="1"/>
      <c r="N29">
        <f t="array" ref="N29">IFERROR(_xlfn.AGGREGATE(15,6,ROW(Summary!$D$3:$D$70)/(($R$3:$R$70&lt;0)*$P$3:$P$70*$Q$3:$Q$70*$U$3:$U$70),ROW()-27),"")</f>
        <v>4</v>
      </c>
      <c r="O29">
        <f t="array" ref="O29">_xlfn.SWITCH($G$3,"MRP (Domestic)",Summary!G29,"ROW Manjari",Summary!H29,"USA Sea",Summary!I29,"Amazon USA Sea",Summary!J29,"USA Air",Summary!K29,"USA Amazon",Summary!L29,"UK",Summary!M29,"MENA",Summary!N29,Summary!O29)</f>
        <v>0</v>
      </c>
      <c r="P29">
        <f>--(ISNUMBER(Summary!$A29))*--(Summary!$D29&lt;&gt;"")</f>
        <v>0</v>
      </c>
      <c r="Q29">
        <f t="shared" si="5"/>
        <v>1</v>
      </c>
      <c r="R29">
        <f t="shared" si="6"/>
        <v>0</v>
      </c>
      <c r="S29" t="str">
        <f>IF(Summary!$D29="","",Summary!B29)</f>
        <v/>
      </c>
      <c r="T29">
        <f t="array" ref="T29">_xlfn.SWITCH($G$3,"MRP (Domestic)",IFERROR(_xlfn.XLOOKUP(Summary!$D29,Domestic!$C:$C,Domestic!$AU:$AU),0),"ROW Manjari",IFERROR(_xlfn.XLOOKUP(Summary!$D29,'INT-_Manjiri'!$C:$C,'INT-_Manjiri'!$AT:$AT),0),"USA Sea",IFERROR(_xlfn.XLOOKUP(Summary!$D29,'USA-_Sea_shipment'!$C:$C,'USA-_Sea_shipment'!#REF!),0),"Amazon USA Sea",IFERROR(_xlfn.XLOOKUP(Summary!$D29,Amazon_USA_Sea!$C:$C,Amazon_USA_Sea!$AT:$AT),0),"USA Air",IFERROR(_xlfn.XLOOKUP(Summary!$D29,USA_Air_Shipment!$C:$C,USA_Air_Shipment!$AS:$AS),0),"USA Amazon",IFERROR(_xlfn.XLOOKUP(Summary!$D29,Amazon_USA_Air_Shipment!$C:$C,Amazon_USA_Air_Shipment!$AS:$AS),0),"UK",IFERROR(_xlfn.XLOOKUP(Summary!$D29,UK!$C:$C,UK!$AW:$AW),0),"MENA",IFERROR(_xlfn.XLOOKUP(Summary!$D29,MENA!$C:$C,MENA!$AS:$AS),0),Summary!BB29)</f>
        <v>0</v>
      </c>
      <c r="U29">
        <f>IF($C$3="All",1,--(Summary!E29=$C$3))</f>
        <v>1</v>
      </c>
      <c r="Y29" t="str">
        <f>IF(Summary!E30="","",Summary!E30)</f>
        <v/>
      </c>
      <c r="Z29">
        <f t="shared" si="7"/>
        <v>186</v>
      </c>
      <c r="AA29">
        <f t="shared" si="8"/>
        <v>186</v>
      </c>
    </row>
    <row r="30" spans="1:27" ht="13">
      <c r="A30" s="7">
        <f t="shared" si="4"/>
        <v>3</v>
      </c>
      <c r="B30" s="7" t="str">
        <f t="array" ref="B30">IF($N30="","",INDEX(Summary!$B:$B,$N30))</f>
        <v>Ghee</v>
      </c>
      <c r="C30" s="7" t="str">
        <f t="array" ref="C30">IF($N30="","",INDEX(Summary!$D:$D,$N30))</f>
        <v>FG00596</v>
      </c>
      <c r="D30" s="7" t="str">
        <f t="array" ref="D30">IF($N30="","",INDEX(Summary!$E:$E,$N30))</f>
        <v>Tulsi Ghee - 250gm</v>
      </c>
      <c r="E30" s="8">
        <f t="array" ref="E30">IF($N30="","",INDEX($O:$O,$N30))</f>
        <v>75</v>
      </c>
      <c r="F30" s="8">
        <f t="array" ref="F30">IF($N30="","",INDEX($T:$T,$N30))</f>
        <v>46</v>
      </c>
      <c r="G30" s="8">
        <f t="array" ref="G30">IF($N30="","",INDEX($R:$R,$N30))</f>
        <v>-29</v>
      </c>
      <c r="H30" s="9">
        <f t="array" ref="H30">IF($N30="","",IFERROR(INDEX($T:$T,$N30)/INDEX($O:$O,$N30),""))</f>
        <v>0.61333333333333329</v>
      </c>
      <c r="I30" s="10">
        <f t="array" ref="I30">IF($N30="","",INDEX(Summary!$BI:$BI,$N30))</f>
        <v>21.6</v>
      </c>
      <c r="J30" s="10">
        <f t="array" ref="J30">IF($N30="","",INDEX(Summary!$BJ:$BJ,$N30))</f>
        <v>3</v>
      </c>
      <c r="K30" s="7" t="str">
        <f t="array" ref="K30">IF($N30="","",INDEX(Summary!$BK:$BK,$N30))</f>
        <v>P3 – Normal</v>
      </c>
      <c r="L30" s="7" t="str">
        <f t="array" ref="L30">IF($N30="","",INDEX(Summary!$BG:$BG,$N30))</f>
        <v/>
      </c>
      <c r="M30" s="1"/>
      <c r="N30">
        <f t="array" ref="N30">IFERROR(_xlfn.AGGREGATE(15,6,ROW(Summary!$D$3:$D$70)/(($R$3:$R$70&lt;0)*$P$3:$P$70*$Q$3:$Q$70*$U$3:$U$70),ROW()-27),"")</f>
        <v>5</v>
      </c>
      <c r="O30">
        <f t="array" ref="O30">_xlfn.SWITCH($G$3,"MRP (Domestic)",Summary!G30,"ROW Manjari",Summary!H30,"USA Sea",Summary!I30,"Amazon USA Sea",Summary!J30,"USA Air",Summary!K30,"USA Amazon",Summary!L30,"UK",Summary!M30,"MENA",Summary!N30,Summary!O30)</f>
        <v>0</v>
      </c>
      <c r="P30">
        <f>--(ISNUMBER(Summary!$A30))*--(Summary!$D30&lt;&gt;"")</f>
        <v>0</v>
      </c>
      <c r="Q30">
        <f t="shared" si="5"/>
        <v>1</v>
      </c>
      <c r="R30">
        <f t="shared" si="6"/>
        <v>0</v>
      </c>
      <c r="S30" t="str">
        <f>IF(Summary!$D30="","",Summary!B30)</f>
        <v/>
      </c>
      <c r="T30">
        <f t="array" ref="T30">_xlfn.SWITCH($G$3,"MRP (Domestic)",IFERROR(_xlfn.XLOOKUP(Summary!$D30,Domestic!$C:$C,Domestic!$AU:$AU),0),"ROW Manjari",IFERROR(_xlfn.XLOOKUP(Summary!$D30,'INT-_Manjiri'!$C:$C,'INT-_Manjiri'!$AT:$AT),0),"USA Sea",IFERROR(_xlfn.XLOOKUP(Summary!$D30,'USA-_Sea_shipment'!$C:$C,'USA-_Sea_shipment'!#REF!),0),"Amazon USA Sea",IFERROR(_xlfn.XLOOKUP(Summary!$D30,Amazon_USA_Sea!$C:$C,Amazon_USA_Sea!$AT:$AT),0),"USA Air",IFERROR(_xlfn.XLOOKUP(Summary!$D30,USA_Air_Shipment!$C:$C,USA_Air_Shipment!$AS:$AS),0),"USA Amazon",IFERROR(_xlfn.XLOOKUP(Summary!$D30,Amazon_USA_Air_Shipment!$C:$C,Amazon_USA_Air_Shipment!$AS:$AS),0),"UK",IFERROR(_xlfn.XLOOKUP(Summary!$D30,UK!$C:$C,UK!$AW:$AW),0),"MENA",IFERROR(_xlfn.XLOOKUP(Summary!$D30,MENA!$C:$C,MENA!$AS:$AS),0),Summary!BB30)</f>
        <v>0</v>
      </c>
      <c r="U30">
        <f>IF($C$3="All",1,--(Summary!E30=$C$3))</f>
        <v>1</v>
      </c>
      <c r="Y30" t="str">
        <f>IF(Summary!E31="","",Summary!E31)</f>
        <v/>
      </c>
      <c r="Z30" t="str">
        <f t="shared" si="7"/>
        <v/>
      </c>
      <c r="AA30">
        <f t="shared" si="8"/>
        <v>29</v>
      </c>
    </row>
    <row r="31" spans="1:27" ht="13">
      <c r="A31" s="7">
        <f t="shared" si="4"/>
        <v>4</v>
      </c>
      <c r="B31" s="7" t="str">
        <f t="array" ref="B31">IF($N31="","",INDEX(Summary!$B:$B,$N31))</f>
        <v>Ghee</v>
      </c>
      <c r="C31" s="7" t="str">
        <f t="array" ref="C31">IF($N31="","",INDEX(Summary!$D:$D,$N31))</f>
        <v>FG00227</v>
      </c>
      <c r="D31" s="7" t="str">
        <f t="array" ref="D31">IF($N31="","",INDEX(Summary!$E:$E,$N31))</f>
        <v>Shatavari Ghee - 250 gm</v>
      </c>
      <c r="E31" s="8">
        <f t="array" ref="E31">IF($N31="","",INDEX($O:$O,$N31))</f>
        <v>319</v>
      </c>
      <c r="F31" s="8">
        <f t="array" ref="F31">IF($N31="","",INDEX($T:$T,$N31))</f>
        <v>64</v>
      </c>
      <c r="G31" s="8">
        <f t="array" ref="G31">IF($N31="","",INDEX($R:$R,$N31))</f>
        <v>-255</v>
      </c>
      <c r="H31" s="9">
        <f t="array" ref="H31">IF($N31="","",IFERROR(INDEX($T:$T,$N31)/INDEX($O:$O,$N31),""))</f>
        <v>0.20062695924764889</v>
      </c>
      <c r="I31" s="10">
        <f t="array" ref="I31">IF($N31="","",INDEX(Summary!$BI:$BI,$N31))</f>
        <v>4.3260188087774294</v>
      </c>
      <c r="J31" s="10">
        <f t="array" ref="J31">IF($N31="","",INDEX(Summary!$BJ:$BJ,$N31))</f>
        <v>10</v>
      </c>
      <c r="K31" s="7" t="str">
        <f t="array" ref="K31">IF($N31="","",INDEX(Summary!$BK:$BK,$N31))</f>
        <v>P1 – Critical</v>
      </c>
      <c r="L31" s="7" t="str">
        <f t="array" ref="L31">IF($N31="","",INDEX(Summary!$BG:$BG,$N31))</f>
        <v>WIP</v>
      </c>
      <c r="M31" s="1"/>
      <c r="N31">
        <f t="array" ref="N31">IFERROR(_xlfn.AGGREGATE(15,6,ROW(Summary!$D$3:$D$70)/(($R$3:$R$70&lt;0)*$P$3:$P$70*$Q$3:$Q$70*$U$3:$U$70),ROW()-27),"")</f>
        <v>6</v>
      </c>
      <c r="O31">
        <f t="array" ref="O31">_xlfn.SWITCH($G$3,"MRP (Domestic)",Summary!G31,"ROW Manjari",Summary!H31,"USA Sea",Summary!I31,"Amazon USA Sea",Summary!J31,"USA Air",Summary!K31,"USA Amazon",Summary!L31,"UK",Summary!M31,"MENA",Summary!N31,Summary!O31)</f>
        <v>0</v>
      </c>
      <c r="P31">
        <f>--(ISNUMBER(Summary!$A31))*--(Summary!$D31&lt;&gt;"")</f>
        <v>0</v>
      </c>
      <c r="Q31">
        <f t="shared" si="5"/>
        <v>1</v>
      </c>
      <c r="R31">
        <f t="shared" si="6"/>
        <v>0</v>
      </c>
      <c r="S31" t="str">
        <f>IF(Summary!$D31="","",Summary!B31)</f>
        <v/>
      </c>
      <c r="T31">
        <f t="array" ref="T31">_xlfn.SWITCH($G$3,"MRP (Domestic)",IFERROR(_xlfn.XLOOKUP(Summary!$D31,Domestic!$C:$C,Domestic!$AU:$AU),0),"ROW Manjari",IFERROR(_xlfn.XLOOKUP(Summary!$D31,'INT-_Manjiri'!$C:$C,'INT-_Manjiri'!$AT:$AT),0),"USA Sea",IFERROR(_xlfn.XLOOKUP(Summary!$D31,'USA-_Sea_shipment'!$C:$C,'USA-_Sea_shipment'!#REF!),0),"Amazon USA Sea",IFERROR(_xlfn.XLOOKUP(Summary!$D31,Amazon_USA_Sea!$C:$C,Amazon_USA_Sea!$AT:$AT),0),"USA Air",IFERROR(_xlfn.XLOOKUP(Summary!$D31,USA_Air_Shipment!$C:$C,USA_Air_Shipment!$AS:$AS),0),"USA Amazon",IFERROR(_xlfn.XLOOKUP(Summary!$D31,Amazon_USA_Air_Shipment!$C:$C,Amazon_USA_Air_Shipment!$AS:$AS),0),"UK",IFERROR(_xlfn.XLOOKUP(Summary!$D31,UK!$C:$C,UK!$AW:$AW),0),"MENA",IFERROR(_xlfn.XLOOKUP(Summary!$D31,MENA!$C:$C,MENA!$AS:$AS),0),Summary!BB31)</f>
        <v>0</v>
      </c>
      <c r="U31">
        <f>IF($C$3="All",1,--(Summary!E31=$C$3))</f>
        <v>1</v>
      </c>
      <c r="Y31" t="str">
        <f>IF(Summary!E32="","",Summary!E32)</f>
        <v/>
      </c>
      <c r="Z31">
        <f t="shared" si="7"/>
        <v>255</v>
      </c>
      <c r="AA31">
        <f t="shared" si="8"/>
        <v>255</v>
      </c>
    </row>
    <row r="32" spans="1:27" ht="13">
      <c r="A32" s="7">
        <f t="shared" si="4"/>
        <v>5</v>
      </c>
      <c r="B32" s="7" t="str">
        <f t="array" ref="B32">IF($N32="","",INDEX(Summary!$B:$B,$N32))</f>
        <v>Ghee</v>
      </c>
      <c r="C32" s="7" t="str">
        <f t="array" ref="C32">IF($N32="","",INDEX(Summary!$D:$D,$N32))</f>
        <v>FG00265</v>
      </c>
      <c r="D32" s="7" t="str">
        <f t="array" ref="D32">IF($N32="","",INDEX(Summary!$E:$E,$N32))</f>
        <v>Turmeric Ghee 250gm</v>
      </c>
      <c r="E32" s="8">
        <f t="array" ref="E32">IF($N32="","",INDEX($O:$O,$N32))</f>
        <v>149</v>
      </c>
      <c r="F32" s="8">
        <f t="array" ref="F32">IF($N32="","",INDEX($T:$T,$N32))</f>
        <v>130</v>
      </c>
      <c r="G32" s="8">
        <f t="array" ref="G32">IF($N32="","",INDEX($R:$R,$N32))</f>
        <v>-19</v>
      </c>
      <c r="H32" s="9">
        <f t="array" ref="H32">IF($N32="","",IFERROR(INDEX($T:$T,$N32)/INDEX($O:$O,$N32),""))</f>
        <v>0.87248322147651003</v>
      </c>
      <c r="I32" s="10">
        <f t="array" ref="I32">IF($N32="","",INDEX(Summary!$BI:$BI,$N32))</f>
        <v>15.302013422818792</v>
      </c>
      <c r="J32" s="10">
        <f t="array" ref="J32">IF($N32="","",INDEX(Summary!$BJ:$BJ,$N32))</f>
        <v>5</v>
      </c>
      <c r="K32" s="7" t="str">
        <f t="array" ref="K32">IF($N32="","",INDEX(Summary!$BK:$BK,$N32))</f>
        <v>P3 – Normal</v>
      </c>
      <c r="L32" s="7" t="str">
        <f t="array" ref="L32">IF($N32="","",INDEX(Summary!$BG:$BG,$N32))</f>
        <v>WIP</v>
      </c>
      <c r="M32" s="1"/>
      <c r="N32">
        <f t="array" ref="N32">IFERROR(_xlfn.AGGREGATE(15,6,ROW(Summary!$D$3:$D$70)/(($R$3:$R$70&lt;0)*$P$3:$P$70*$Q$3:$Q$70*$U$3:$U$70),ROW()-27),"")</f>
        <v>7</v>
      </c>
      <c r="O32">
        <f t="array" ref="O32">_xlfn.SWITCH($G$3,"MRP (Domestic)",Summary!G32,"ROW Manjari",Summary!H32,"USA Sea",Summary!I32,"Amazon USA Sea",Summary!J32,"USA Air",Summary!K32,"USA Amazon",Summary!L32,"UK",Summary!M32,"MENA",Summary!N32,Summary!O32)</f>
        <v>0</v>
      </c>
      <c r="P32">
        <f>--(ISNUMBER(Summary!$A32))*--(Summary!$D32&lt;&gt;"")</f>
        <v>0</v>
      </c>
      <c r="Q32">
        <f t="shared" si="5"/>
        <v>1</v>
      </c>
      <c r="R32">
        <f t="shared" si="6"/>
        <v>0</v>
      </c>
      <c r="S32" t="str">
        <f>IF(Summary!$D32="","",Summary!B32)</f>
        <v/>
      </c>
      <c r="T32">
        <f t="array" ref="T32">_xlfn.SWITCH($G$3,"MRP (Domestic)",IFERROR(_xlfn.XLOOKUP(Summary!$D32,Domestic!$C:$C,Domestic!$AU:$AU),0),"ROW Manjari",IFERROR(_xlfn.XLOOKUP(Summary!$D32,'INT-_Manjiri'!$C:$C,'INT-_Manjiri'!$AT:$AT),0),"USA Sea",IFERROR(_xlfn.XLOOKUP(Summary!$D32,'USA-_Sea_shipment'!$C:$C,'USA-_Sea_shipment'!#REF!),0),"Amazon USA Sea",IFERROR(_xlfn.XLOOKUP(Summary!$D32,Amazon_USA_Sea!$C:$C,Amazon_USA_Sea!$AT:$AT),0),"USA Air",IFERROR(_xlfn.XLOOKUP(Summary!$D32,USA_Air_Shipment!$C:$C,USA_Air_Shipment!$AS:$AS),0),"USA Amazon",IFERROR(_xlfn.XLOOKUP(Summary!$D32,Amazon_USA_Air_Shipment!$C:$C,Amazon_USA_Air_Shipment!$AS:$AS),0),"UK",IFERROR(_xlfn.XLOOKUP(Summary!$D32,UK!$C:$C,UK!$AW:$AW),0),"MENA",IFERROR(_xlfn.XLOOKUP(Summary!$D32,MENA!$C:$C,MENA!$AS:$AS),0),Summary!BB32)</f>
        <v>0</v>
      </c>
      <c r="U32">
        <f>IF($C$3="All",1,--(Summary!E32=$C$3))</f>
        <v>1</v>
      </c>
      <c r="Y32" t="str">
        <f>IF(Summary!E33="","",Summary!E33)</f>
        <v/>
      </c>
      <c r="Z32" t="str">
        <f t="shared" si="7"/>
        <v/>
      </c>
      <c r="AA32">
        <f t="shared" si="8"/>
        <v>19</v>
      </c>
    </row>
    <row r="33" spans="1:27" ht="13">
      <c r="A33" s="7">
        <f t="shared" si="4"/>
        <v>6</v>
      </c>
      <c r="B33" s="7" t="str">
        <f t="array" ref="B33">IF($N33="","",INDEX(Summary!$B:$B,$N33))</f>
        <v>Ghee</v>
      </c>
      <c r="C33" s="7" t="str">
        <f t="array" ref="C33">IF($N33="","",INDEX(Summary!$D:$D,$N33))</f>
        <v>FG00043</v>
      </c>
      <c r="D33" s="7" t="str">
        <f t="array" ref="D33">IF($N33="","",INDEX(Summary!$E:$E,$N33))</f>
        <v>Buffalo Ghee - A2 Cultured 500ml</v>
      </c>
      <c r="E33" s="8">
        <f t="array" ref="E33">IF($N33="","",INDEX($O:$O,$N33))</f>
        <v>22881</v>
      </c>
      <c r="F33" s="8">
        <f t="array" ref="F33">IF($N33="","",INDEX($T:$T,$N33))</f>
        <v>4295</v>
      </c>
      <c r="G33" s="8">
        <f t="array" ref="G33">IF($N33="","",INDEX($R:$R,$N33))</f>
        <v>-18586</v>
      </c>
      <c r="H33" s="9">
        <f t="array" ref="H33">IF($N33="","",IFERROR(INDEX($T:$T,$N33)/INDEX($O:$O,$N33),""))</f>
        <v>0.18771032734583279</v>
      </c>
      <c r="I33" s="10">
        <f t="array" ref="I33">IF($N33="","",INDEX(Summary!$BI:$BI,$N33))</f>
        <v>1.2770420873213582</v>
      </c>
      <c r="J33" s="10">
        <f t="array" ref="J33">IF($N33="","",INDEX(Summary!$BJ:$BJ,$N33))</f>
        <v>10</v>
      </c>
      <c r="K33" s="7" t="str">
        <f t="array" ref="K33">IF($N33="","",INDEX(Summary!$BK:$BK,$N33))</f>
        <v>P1 – Critical</v>
      </c>
      <c r="L33" s="7" t="str">
        <f t="array" ref="L33">IF($N33="","",INDEX(Summary!$BG:$BG,$N33))</f>
        <v>WIP</v>
      </c>
      <c r="M33" s="1"/>
      <c r="N33">
        <f t="array" ref="N33">IFERROR(_xlfn.AGGREGATE(15,6,ROW(Summary!$D$3:$D$70)/(($R$3:$R$70&lt;0)*$P$3:$P$70*$Q$3:$Q$70*$U$3:$U$70),ROW()-27),"")</f>
        <v>8</v>
      </c>
      <c r="O33">
        <f t="array" ref="O33">_xlfn.SWITCH($G$3,"MRP (Domestic)",Summary!G33,"ROW Manjari",Summary!H33,"USA Sea",Summary!I33,"Amazon USA Sea",Summary!J33,"USA Air",Summary!K33,"USA Amazon",Summary!L33,"UK",Summary!M33,"MENA",Summary!N33,Summary!O33)</f>
        <v>0</v>
      </c>
      <c r="P33">
        <f>--(ISNUMBER(Summary!$A33))*--(Summary!$D33&lt;&gt;"")</f>
        <v>0</v>
      </c>
      <c r="Q33">
        <f t="shared" si="5"/>
        <v>1</v>
      </c>
      <c r="R33">
        <f t="shared" si="6"/>
        <v>0</v>
      </c>
      <c r="S33" t="str">
        <f>IF(Summary!$D33="","",Summary!B33)</f>
        <v/>
      </c>
      <c r="T33">
        <f t="array" ref="T33">_xlfn.SWITCH($G$3,"MRP (Domestic)",IFERROR(_xlfn.XLOOKUP(Summary!$D33,Domestic!$C:$C,Domestic!$AU:$AU),0),"ROW Manjari",IFERROR(_xlfn.XLOOKUP(Summary!$D33,'INT-_Manjiri'!$C:$C,'INT-_Manjiri'!$AT:$AT),0),"USA Sea",IFERROR(_xlfn.XLOOKUP(Summary!$D33,'USA-_Sea_shipment'!$C:$C,'USA-_Sea_shipment'!#REF!),0),"Amazon USA Sea",IFERROR(_xlfn.XLOOKUP(Summary!$D33,Amazon_USA_Sea!$C:$C,Amazon_USA_Sea!$AT:$AT),0),"USA Air",IFERROR(_xlfn.XLOOKUP(Summary!$D33,USA_Air_Shipment!$C:$C,USA_Air_Shipment!$AS:$AS),0),"USA Amazon",IFERROR(_xlfn.XLOOKUP(Summary!$D33,Amazon_USA_Air_Shipment!$C:$C,Amazon_USA_Air_Shipment!$AS:$AS),0),"UK",IFERROR(_xlfn.XLOOKUP(Summary!$D33,UK!$C:$C,UK!$AW:$AW),0),"MENA",IFERROR(_xlfn.XLOOKUP(Summary!$D33,MENA!$C:$C,MENA!$AS:$AS),0),Summary!BB33)</f>
        <v>0</v>
      </c>
      <c r="U33">
        <f>IF($C$3="All",1,--(Summary!E33=$C$3))</f>
        <v>1</v>
      </c>
      <c r="Y33" t="str">
        <f>IF(Summary!E34="","",Summary!E34)</f>
        <v/>
      </c>
      <c r="Z33">
        <f t="shared" si="7"/>
        <v>18586</v>
      </c>
      <c r="AA33">
        <f t="shared" si="8"/>
        <v>18586</v>
      </c>
    </row>
    <row r="34" spans="1:27" ht="13">
      <c r="A34" s="7">
        <f t="shared" si="4"/>
        <v>7</v>
      </c>
      <c r="B34" s="7" t="str">
        <f t="array" ref="B34">IF($N34="","",INDEX(Summary!$B:$B,$N34))</f>
        <v>Ghee</v>
      </c>
      <c r="C34" s="7" t="str">
        <f t="array" ref="C34">IF($N34="","",INDEX(Summary!$D:$D,$N34))</f>
        <v>FG00904</v>
      </c>
      <c r="D34" s="7" t="str">
        <f t="array" ref="D34">IF($N34="","",INDEX(Summary!$E:$E,$N34))</f>
        <v>A2 Desi Cow Ghee - 500ml</v>
      </c>
      <c r="E34" s="8">
        <f t="array" ref="E34">IF($N34="","",INDEX($O:$O,$N34))</f>
        <v>10468.700000000001</v>
      </c>
      <c r="F34" s="8">
        <f t="array" ref="F34">IF($N34="","",INDEX($T:$T,$N34))</f>
        <v>3381</v>
      </c>
      <c r="G34" s="8">
        <f t="array" ref="G34">IF($N34="","",INDEX($R:$R,$N34))</f>
        <v>-7087.7000000000007</v>
      </c>
      <c r="H34" s="9">
        <f t="array" ref="H34">IF($N34="","",IFERROR(INDEX($T:$T,$N34)/INDEX($O:$O,$N34),""))</f>
        <v>0.32296273653844315</v>
      </c>
      <c r="I34" s="10">
        <f t="array" ref="I34">IF($N34="","",INDEX(Summary!$BI:$BI,$N34))</f>
        <v>2.5046089772369058</v>
      </c>
      <c r="J34" s="10">
        <f t="array" ref="J34">IF($N34="","",INDEX(Summary!$BJ:$BJ,$N34))</f>
        <v>10</v>
      </c>
      <c r="K34" s="7" t="str">
        <f t="array" ref="K34">IF($N34="","",INDEX(Summary!$BK:$BK,$N34))</f>
        <v>P1 – Critical</v>
      </c>
      <c r="L34" s="7" t="str">
        <f t="array" ref="L34">IF($N34="","",INDEX(Summary!$BG:$BG,$N34))</f>
        <v/>
      </c>
      <c r="M34" s="1"/>
      <c r="N34">
        <f t="array" ref="N34">IFERROR(_xlfn.AGGREGATE(15,6,ROW(Summary!$D$3:$D$70)/(($R$3:$R$70&lt;0)*$P$3:$P$70*$Q$3:$Q$70*$U$3:$U$70),ROW()-27),"")</f>
        <v>9</v>
      </c>
      <c r="O34">
        <f t="array" ref="O34">_xlfn.SWITCH($G$3,"MRP (Domestic)",Summary!G34,"ROW Manjari",Summary!H34,"USA Sea",Summary!I34,"Amazon USA Sea",Summary!J34,"USA Air",Summary!K34,"USA Amazon",Summary!L34,"UK",Summary!M34,"MENA",Summary!N34,Summary!O34)</f>
        <v>0</v>
      </c>
      <c r="P34">
        <f>--(ISNUMBER(Summary!$A34))*--(Summary!$D34&lt;&gt;"")</f>
        <v>0</v>
      </c>
      <c r="Q34">
        <f t="shared" si="5"/>
        <v>1</v>
      </c>
      <c r="R34">
        <f t="shared" si="6"/>
        <v>0</v>
      </c>
      <c r="S34" t="str">
        <f>IF(Summary!$D34="","",Summary!B34)</f>
        <v/>
      </c>
      <c r="T34">
        <f t="array" ref="T34">_xlfn.SWITCH($G$3,"MRP (Domestic)",IFERROR(_xlfn.XLOOKUP(Summary!$D34,Domestic!$C:$C,Domestic!$AU:$AU),0),"ROW Manjari",IFERROR(_xlfn.XLOOKUP(Summary!$D34,'INT-_Manjiri'!$C:$C,'INT-_Manjiri'!$AT:$AT),0),"USA Sea",IFERROR(_xlfn.XLOOKUP(Summary!$D34,'USA-_Sea_shipment'!$C:$C,'USA-_Sea_shipment'!#REF!),0),"Amazon USA Sea",IFERROR(_xlfn.XLOOKUP(Summary!$D34,Amazon_USA_Sea!$C:$C,Amazon_USA_Sea!$AT:$AT),0),"USA Air",IFERROR(_xlfn.XLOOKUP(Summary!$D34,USA_Air_Shipment!$C:$C,USA_Air_Shipment!$AS:$AS),0),"USA Amazon",IFERROR(_xlfn.XLOOKUP(Summary!$D34,Amazon_USA_Air_Shipment!$C:$C,Amazon_USA_Air_Shipment!$AS:$AS),0),"UK",IFERROR(_xlfn.XLOOKUP(Summary!$D34,UK!$C:$C,UK!$AW:$AW),0),"MENA",IFERROR(_xlfn.XLOOKUP(Summary!$D34,MENA!$C:$C,MENA!$AS:$AS),0),Summary!BB34)</f>
        <v>0</v>
      </c>
      <c r="U34">
        <f>IF($C$3="All",1,--(Summary!E34=$C$3))</f>
        <v>1</v>
      </c>
      <c r="Y34" t="str">
        <f>IF(Summary!E35="","",Summary!E35)</f>
        <v/>
      </c>
      <c r="Z34">
        <f t="shared" si="7"/>
        <v>7087.7000000000007</v>
      </c>
      <c r="AA34">
        <f t="shared" si="8"/>
        <v>7087.7000000000007</v>
      </c>
    </row>
    <row r="35" spans="1:27" ht="13">
      <c r="A35" s="7">
        <f t="shared" si="4"/>
        <v>8</v>
      </c>
      <c r="B35" s="7" t="str">
        <f t="array" ref="B35">IF($N35="","",INDEX(Summary!$B:$B,$N35))</f>
        <v>Ghee</v>
      </c>
      <c r="C35" s="7" t="str">
        <f t="array" ref="C35">IF($N35="","",INDEX(Summary!$D:$D,$N35))</f>
        <v>FG00052</v>
      </c>
      <c r="D35" s="7" t="str">
        <f t="array" ref="D35">IF($N35="","",INDEX(Summary!$E:$E,$N35))</f>
        <v>Colostrum Powder, Desi Gir Cow - 100 gm</v>
      </c>
      <c r="E35" s="8">
        <f t="array" ref="E35">IF($N35="","",INDEX($O:$O,$N35))</f>
        <v>1712</v>
      </c>
      <c r="F35" s="8">
        <f t="array" ref="F35">IF($N35="","",INDEX($T:$T,$N35))</f>
        <v>913</v>
      </c>
      <c r="G35" s="8">
        <f t="array" ref="G35">IF($N35="","",INDEX($R:$R,$N35))</f>
        <v>-799</v>
      </c>
      <c r="H35" s="9">
        <f t="array" ref="H35">IF($N35="","",IFERROR(INDEX($T:$T,$N35)/INDEX($O:$O,$N35),""))</f>
        <v>0.53329439252336452</v>
      </c>
      <c r="I35" s="10">
        <f t="array" ref="I35">IF($N35="","",INDEX(Summary!$BI:$BI,$N35))</f>
        <v>2.0327102803738315</v>
      </c>
      <c r="J35" s="10">
        <f t="array" ref="J35">IF($N35="","",INDEX(Summary!$BJ:$BJ,$N35))</f>
        <v>10</v>
      </c>
      <c r="K35" s="7" t="str">
        <f t="array" ref="K35">IF($N35="","",INDEX(Summary!$BK:$BK,$N35))</f>
        <v>P1 – Critical</v>
      </c>
      <c r="L35" s="7" t="str">
        <f t="array" ref="L35">IF($N35="","",INDEX(Summary!$BG:$BG,$N35))</f>
        <v/>
      </c>
      <c r="M35" s="1"/>
      <c r="N35">
        <f t="array" ref="N35">IFERROR(_xlfn.AGGREGATE(15,6,ROW(Summary!$D$3:$D$70)/(($R$3:$R$70&lt;0)*$P$3:$P$70*$Q$3:$Q$70*$U$3:$U$70),ROW()-27),"")</f>
        <v>10</v>
      </c>
      <c r="O35">
        <f t="array" ref="O35">_xlfn.SWITCH($G$3,"MRP (Domestic)",Summary!G35,"ROW Manjari",Summary!H35,"USA Sea",Summary!I35,"Amazon USA Sea",Summary!J35,"USA Air",Summary!K35,"USA Amazon",Summary!L35,"UK",Summary!M35,"MENA",Summary!N35,Summary!O35)</f>
        <v>0</v>
      </c>
      <c r="P35">
        <f>--(ISNUMBER(Summary!$A35))*--(Summary!$D35&lt;&gt;"")</f>
        <v>0</v>
      </c>
      <c r="Q35">
        <f t="shared" si="5"/>
        <v>1</v>
      </c>
      <c r="R35">
        <f t="shared" si="6"/>
        <v>0</v>
      </c>
      <c r="S35" t="str">
        <f>IF(Summary!$D35="","",Summary!B35)</f>
        <v/>
      </c>
      <c r="T35">
        <f t="array" ref="T35">_xlfn.SWITCH($G$3,"MRP (Domestic)",IFERROR(_xlfn.XLOOKUP(Summary!$D35,Domestic!$C:$C,Domestic!$AU:$AU),0),"ROW Manjari",IFERROR(_xlfn.XLOOKUP(Summary!$D35,'INT-_Manjiri'!$C:$C,'INT-_Manjiri'!$AT:$AT),0),"USA Sea",IFERROR(_xlfn.XLOOKUP(Summary!$D35,'USA-_Sea_shipment'!$C:$C,'USA-_Sea_shipment'!#REF!),0),"Amazon USA Sea",IFERROR(_xlfn.XLOOKUP(Summary!$D35,Amazon_USA_Sea!$C:$C,Amazon_USA_Sea!$AT:$AT),0),"USA Air",IFERROR(_xlfn.XLOOKUP(Summary!$D35,USA_Air_Shipment!$C:$C,USA_Air_Shipment!$AS:$AS),0),"USA Amazon",IFERROR(_xlfn.XLOOKUP(Summary!$D35,Amazon_USA_Air_Shipment!$C:$C,Amazon_USA_Air_Shipment!$AS:$AS),0),"UK",IFERROR(_xlfn.XLOOKUP(Summary!$D35,UK!$C:$C,UK!$AW:$AW),0),"MENA",IFERROR(_xlfn.XLOOKUP(Summary!$D35,MENA!$C:$C,MENA!$AS:$AS),0),Summary!BB35)</f>
        <v>0</v>
      </c>
      <c r="U35">
        <f>IF($C$3="All",1,--(Summary!E35=$C$3))</f>
        <v>1</v>
      </c>
      <c r="Y35" t="str">
        <f>IF(Summary!E36="","",Summary!E36)</f>
        <v/>
      </c>
      <c r="Z35">
        <f t="shared" si="7"/>
        <v>799</v>
      </c>
      <c r="AA35">
        <f t="shared" si="8"/>
        <v>799</v>
      </c>
    </row>
    <row r="36" spans="1:27" ht="13">
      <c r="A36" s="7">
        <f t="shared" si="4"/>
        <v>9</v>
      </c>
      <c r="B36" s="7" t="str">
        <f t="array" ref="B36">IF($N36="","",INDEX(Summary!$B:$B,$N36))</f>
        <v>Ghee</v>
      </c>
      <c r="C36" s="7" t="str">
        <f t="array" ref="C36">IF($N36="","",INDEX(Summary!$D:$D,$N36))</f>
        <v>FG00097</v>
      </c>
      <c r="D36" s="7" t="str">
        <f t="array" ref="D36">IF($N36="","",INDEX(Summary!$E:$E,$N36))</f>
        <v>Full Moon Cultured Ghee - 500 ml</v>
      </c>
      <c r="E36" s="8">
        <f t="array" ref="E36">IF($N36="","",INDEX($O:$O,$N36))</f>
        <v>3303.3</v>
      </c>
      <c r="F36" s="8">
        <f t="array" ref="F36">IF($N36="","",INDEX($T:$T,$N36))</f>
        <v>1602</v>
      </c>
      <c r="G36" s="8">
        <f t="array" ref="G36">IF($N36="","",INDEX($R:$R,$N36))</f>
        <v>-1701.3000000000002</v>
      </c>
      <c r="H36" s="9">
        <f t="array" ref="H36">IF($N36="","",IFERROR(INDEX($T:$T,$N36)/INDEX($O:$O,$N36),""))</f>
        <v>0.48496957587866674</v>
      </c>
      <c r="I36" s="10">
        <f t="array" ref="I36">IF($N36="","",INDEX(Summary!$BI:$BI,$N36))</f>
        <v>8.0737444373808014</v>
      </c>
      <c r="J36" s="10">
        <f t="array" ref="J36">IF($N36="","",INDEX(Summary!$BJ:$BJ,$N36))</f>
        <v>7</v>
      </c>
      <c r="K36" s="7" t="str">
        <f t="array" ref="K36">IF($N36="","",INDEX(Summary!$BK:$BK,$N36))</f>
        <v>P2 – High</v>
      </c>
      <c r="L36" s="7" t="str">
        <f t="array" ref="L36">IF($N36="","",INDEX(Summary!$BG:$BG,$N36))</f>
        <v>WIP</v>
      </c>
      <c r="M36" s="1"/>
      <c r="N36">
        <f t="array" ref="N36">IFERROR(_xlfn.AGGREGATE(15,6,ROW(Summary!$D$3:$D$70)/(($R$3:$R$70&lt;0)*$P$3:$P$70*$Q$3:$Q$70*$U$3:$U$70),ROW()-27),"")</f>
        <v>11</v>
      </c>
      <c r="O36">
        <f t="array" ref="O36">_xlfn.SWITCH($G$3,"MRP (Domestic)",Summary!G36,"ROW Manjari",Summary!H36,"USA Sea",Summary!I36,"Amazon USA Sea",Summary!J36,"USA Air",Summary!K36,"USA Amazon",Summary!L36,"UK",Summary!M36,"MENA",Summary!N36,Summary!O36)</f>
        <v>0</v>
      </c>
      <c r="P36">
        <f>--(ISNUMBER(Summary!$A36))*--(Summary!$D36&lt;&gt;"")</f>
        <v>0</v>
      </c>
      <c r="Q36">
        <f t="shared" si="5"/>
        <v>1</v>
      </c>
      <c r="R36">
        <f t="shared" si="6"/>
        <v>0</v>
      </c>
      <c r="S36" t="str">
        <f>IF(Summary!$D36="","",Summary!B36)</f>
        <v/>
      </c>
      <c r="T36">
        <f t="array" ref="T36">_xlfn.SWITCH($G$3,"MRP (Domestic)",IFERROR(_xlfn.XLOOKUP(Summary!$D36,Domestic!$C:$C,Domestic!$AU:$AU),0),"ROW Manjari",IFERROR(_xlfn.XLOOKUP(Summary!$D36,'INT-_Manjiri'!$C:$C,'INT-_Manjiri'!$AT:$AT),0),"USA Sea",IFERROR(_xlfn.XLOOKUP(Summary!$D36,'USA-_Sea_shipment'!$C:$C,'USA-_Sea_shipment'!#REF!),0),"Amazon USA Sea",IFERROR(_xlfn.XLOOKUP(Summary!$D36,Amazon_USA_Sea!$C:$C,Amazon_USA_Sea!$AT:$AT),0),"USA Air",IFERROR(_xlfn.XLOOKUP(Summary!$D36,USA_Air_Shipment!$C:$C,USA_Air_Shipment!$AS:$AS),0),"USA Amazon",IFERROR(_xlfn.XLOOKUP(Summary!$D36,Amazon_USA_Air_Shipment!$C:$C,Amazon_USA_Air_Shipment!$AS:$AS),0),"UK",IFERROR(_xlfn.XLOOKUP(Summary!$D36,UK!$C:$C,UK!$AW:$AW),0),"MENA",IFERROR(_xlfn.XLOOKUP(Summary!$D36,MENA!$C:$C,MENA!$AS:$AS),0),Summary!BB36)</f>
        <v>0</v>
      </c>
      <c r="U36">
        <f>IF($C$3="All",1,--(Summary!E36=$C$3))</f>
        <v>1</v>
      </c>
      <c r="Y36" t="str">
        <f>IF(Summary!E37="","",Summary!E37)</f>
        <v/>
      </c>
      <c r="Z36" t="str">
        <f t="shared" si="7"/>
        <v/>
      </c>
      <c r="AA36">
        <f t="shared" si="8"/>
        <v>1701.3000000000002</v>
      </c>
    </row>
    <row r="37" spans="1:27" ht="13">
      <c r="A37" s="7">
        <f t="shared" si="4"/>
        <v>10</v>
      </c>
      <c r="B37" s="7" t="str">
        <f t="array" ref="B37">IF($N37="","",INDEX(Summary!$B:$B,$N37))</f>
        <v>Ghee</v>
      </c>
      <c r="C37" s="7" t="str">
        <f t="array" ref="C37">IF($N37="","",INDEX(Summary!$D:$D,$N37))</f>
        <v>FG01068</v>
      </c>
      <c r="D37" s="7" t="str">
        <f t="array" ref="D37">IF($N37="","",INDEX(Summary!$E:$E,$N37))</f>
        <v>Non cultured ghee 1l</v>
      </c>
      <c r="E37" s="8">
        <f t="array" ref="E37">IF($N37="","",INDEX($O:$O,$N37))</f>
        <v>6049</v>
      </c>
      <c r="F37" s="8">
        <f t="array" ref="F37">IF($N37="","",INDEX($T:$T,$N37))</f>
        <v>2331</v>
      </c>
      <c r="G37" s="8">
        <f t="array" ref="G37">IF($N37="","",INDEX($R:$R,$N37))</f>
        <v>-3718</v>
      </c>
      <c r="H37" s="9">
        <f t="array" ref="H37">IF($N37="","",IFERROR(INDEX($T:$T,$N37)/INDEX($O:$O,$N37),""))</f>
        <v>0.38535295090097538</v>
      </c>
      <c r="I37" s="10">
        <f t="array" ref="I37">IF($N37="","",INDEX(Summary!$BI:$BI,$N37))</f>
        <v>4.6668870887750042</v>
      </c>
      <c r="J37" s="10">
        <f t="array" ref="J37">IF($N37="","",INDEX(Summary!$BJ:$BJ,$N37))</f>
        <v>10</v>
      </c>
      <c r="K37" s="7" t="str">
        <f t="array" ref="K37">IF($N37="","",INDEX(Summary!$BK:$BK,$N37))</f>
        <v>P1 – Critical</v>
      </c>
      <c r="L37" s="7" t="str">
        <f t="array" ref="L37">IF($N37="","",INDEX(Summary!$BG:$BG,$N37))</f>
        <v/>
      </c>
      <c r="M37" s="1"/>
      <c r="N37">
        <f t="array" ref="N37">IFERROR(_xlfn.AGGREGATE(15,6,ROW(Summary!$D$3:$D$70)/(($R$3:$R$70&lt;0)*$P$3:$P$70*$Q$3:$Q$70*$U$3:$U$70),ROW()-27),"")</f>
        <v>12</v>
      </c>
      <c r="O37">
        <f t="array" ref="O37">_xlfn.SWITCH($G$3,"MRP (Domestic)",Summary!G37,"ROW Manjari",Summary!H37,"USA Sea",Summary!I37,"Amazon USA Sea",Summary!J37,"USA Air",Summary!K37,"USA Amazon",Summary!L37,"UK",Summary!M37,"MENA",Summary!N37,Summary!O37)</f>
        <v>0</v>
      </c>
      <c r="P37">
        <f>--(ISNUMBER(Summary!$A37))*--(Summary!$D37&lt;&gt;"")</f>
        <v>0</v>
      </c>
      <c r="Q37">
        <f t="shared" si="5"/>
        <v>1</v>
      </c>
      <c r="R37">
        <f t="shared" si="6"/>
        <v>0</v>
      </c>
      <c r="S37" t="str">
        <f>IF(Summary!$D37="","",Summary!B37)</f>
        <v/>
      </c>
      <c r="T37">
        <f t="array" ref="T37">_xlfn.SWITCH($G$3,"MRP (Domestic)",IFERROR(_xlfn.XLOOKUP(Summary!$D37,Domestic!$C:$C,Domestic!$AU:$AU),0),"ROW Manjari",IFERROR(_xlfn.XLOOKUP(Summary!$D37,'INT-_Manjiri'!$C:$C,'INT-_Manjiri'!$AT:$AT),0),"USA Sea",IFERROR(_xlfn.XLOOKUP(Summary!$D37,'USA-_Sea_shipment'!$C:$C,'USA-_Sea_shipment'!#REF!),0),"Amazon USA Sea",IFERROR(_xlfn.XLOOKUP(Summary!$D37,Amazon_USA_Sea!$C:$C,Amazon_USA_Sea!$AT:$AT),0),"USA Air",IFERROR(_xlfn.XLOOKUP(Summary!$D37,USA_Air_Shipment!$C:$C,USA_Air_Shipment!$AS:$AS),0),"USA Amazon",IFERROR(_xlfn.XLOOKUP(Summary!$D37,Amazon_USA_Air_Shipment!$C:$C,Amazon_USA_Air_Shipment!$AS:$AS),0),"UK",IFERROR(_xlfn.XLOOKUP(Summary!$D37,UK!$C:$C,UK!$AW:$AW),0),"MENA",IFERROR(_xlfn.XLOOKUP(Summary!$D37,MENA!$C:$C,MENA!$AS:$AS),0),Summary!BB37)</f>
        <v>0</v>
      </c>
      <c r="U37">
        <f>IF($C$3="All",1,--(Summary!E37=$C$3))</f>
        <v>1</v>
      </c>
      <c r="Y37" t="str">
        <f>IF(Summary!E38="","",Summary!E38)</f>
        <v/>
      </c>
      <c r="Z37">
        <f t="shared" si="7"/>
        <v>3718</v>
      </c>
      <c r="AA37">
        <f t="shared" si="8"/>
        <v>3718</v>
      </c>
    </row>
    <row r="38" spans="1:27" ht="13">
      <c r="A38" s="7">
        <f t="shared" si="4"/>
        <v>11</v>
      </c>
      <c r="B38" s="7" t="str">
        <f t="array" ref="B38">IF($N38="","",INDEX(Summary!$B:$B,$N38))</f>
        <v>Ghee</v>
      </c>
      <c r="C38" s="7" t="str">
        <f t="array" ref="C38">IF($N38="","",INDEX(Summary!$D:$D,$N38))</f>
        <v>FG00024</v>
      </c>
      <c r="D38" s="7" t="str">
        <f t="array" ref="D38">IF($N38="","",INDEX(Summary!$E:$E,$N38))</f>
        <v>Ashwagandha Ghee - 250 gm</v>
      </c>
      <c r="E38" s="8">
        <f t="array" ref="E38">IF($N38="","",INDEX($O:$O,$N38))</f>
        <v>309</v>
      </c>
      <c r="F38" s="8">
        <f t="array" ref="F38">IF($N38="","",INDEX($T:$T,$N38))</f>
        <v>188</v>
      </c>
      <c r="G38" s="8">
        <f t="array" ref="G38">IF($N38="","",INDEX($R:$R,$N38))</f>
        <v>-121</v>
      </c>
      <c r="H38" s="9">
        <f t="array" ref="H38">IF($N38="","",IFERROR(INDEX($T:$T,$N38)/INDEX($O:$O,$N38),""))</f>
        <v>0.60841423948220064</v>
      </c>
      <c r="I38" s="10">
        <f t="array" ref="I38">IF($N38="","",INDEX(Summary!$BI:$BI,$N38))</f>
        <v>1.9417475728155338</v>
      </c>
      <c r="J38" s="10">
        <f t="array" ref="J38">IF($N38="","",INDEX(Summary!$BJ:$BJ,$N38))</f>
        <v>10</v>
      </c>
      <c r="K38" s="7" t="str">
        <f t="array" ref="K38">IF($N38="","",INDEX(Summary!$BK:$BK,$N38))</f>
        <v>P1 – Critical</v>
      </c>
      <c r="L38" s="7" t="str">
        <f t="array" ref="L38">IF($N38="","",INDEX(Summary!$BG:$BG,$N38))</f>
        <v>WIP</v>
      </c>
      <c r="M38" s="1"/>
      <c r="N38">
        <f t="array" ref="N38">IFERROR(_xlfn.AGGREGATE(15,6,ROW(Summary!$D$3:$D$70)/(($R$3:$R$70&lt;0)*$P$3:$P$70*$Q$3:$Q$70*$U$3:$U$70),ROW()-27),"")</f>
        <v>13</v>
      </c>
      <c r="O38">
        <f t="array" ref="O38">_xlfn.SWITCH($G$3,"MRP (Domestic)",Summary!G38,"ROW Manjari",Summary!H38,"USA Sea",Summary!I38,"Amazon USA Sea",Summary!J38,"USA Air",Summary!K38,"USA Amazon",Summary!L38,"UK",Summary!M38,"MENA",Summary!N38,Summary!O38)</f>
        <v>0</v>
      </c>
      <c r="P38">
        <f>--(ISNUMBER(Summary!$A38))*--(Summary!$D38&lt;&gt;"")</f>
        <v>0</v>
      </c>
      <c r="Q38">
        <f t="shared" si="5"/>
        <v>1</v>
      </c>
      <c r="R38">
        <f t="shared" si="6"/>
        <v>0</v>
      </c>
      <c r="S38" t="str">
        <f>IF(Summary!$D38="","",Summary!B38)</f>
        <v/>
      </c>
      <c r="T38">
        <f t="array" ref="T38">_xlfn.SWITCH($G$3,"MRP (Domestic)",IFERROR(_xlfn.XLOOKUP(Summary!$D38,Domestic!$C:$C,Domestic!$AU:$AU),0),"ROW Manjari",IFERROR(_xlfn.XLOOKUP(Summary!$D38,'INT-_Manjiri'!$C:$C,'INT-_Manjiri'!$AT:$AT),0),"USA Sea",IFERROR(_xlfn.XLOOKUP(Summary!$D38,'USA-_Sea_shipment'!$C:$C,'USA-_Sea_shipment'!#REF!),0),"Amazon USA Sea",IFERROR(_xlfn.XLOOKUP(Summary!$D38,Amazon_USA_Sea!$C:$C,Amazon_USA_Sea!$AT:$AT),0),"USA Air",IFERROR(_xlfn.XLOOKUP(Summary!$D38,USA_Air_Shipment!$C:$C,USA_Air_Shipment!$AS:$AS),0),"USA Amazon",IFERROR(_xlfn.XLOOKUP(Summary!$D38,Amazon_USA_Air_Shipment!$C:$C,Amazon_USA_Air_Shipment!$AS:$AS),0),"UK",IFERROR(_xlfn.XLOOKUP(Summary!$D38,UK!$C:$C,UK!$AW:$AW),0),"MENA",IFERROR(_xlfn.XLOOKUP(Summary!$D38,MENA!$C:$C,MENA!$AS:$AS),0),Summary!BB38)</f>
        <v>0</v>
      </c>
      <c r="U38">
        <f>IF($C$3="All",1,--(Summary!E38=$C$3))</f>
        <v>1</v>
      </c>
      <c r="Y38" t="str">
        <f>IF(Summary!E39="","",Summary!E39)</f>
        <v/>
      </c>
      <c r="Z38">
        <f t="shared" si="7"/>
        <v>121</v>
      </c>
      <c r="AA38">
        <f t="shared" si="8"/>
        <v>121</v>
      </c>
    </row>
    <row r="39" spans="1:27" ht="13">
      <c r="A39" s="7">
        <f t="shared" si="4"/>
        <v>12</v>
      </c>
      <c r="B39" s="7" t="str">
        <f t="array" ref="B39">IF($N39="","",INDEX(Summary!$B:$B,$N39))</f>
        <v>Ghee</v>
      </c>
      <c r="C39" s="7" t="str">
        <f t="array" ref="C39">IF($N39="","",INDEX(Summary!$D:$D,$N39))</f>
        <v>FG00002</v>
      </c>
      <c r="D39" s="7" t="str">
        <f t="array" ref="D39">IF($N39="","",INDEX(Summary!$E:$E,$N39))</f>
        <v>A2 Cultured Ghee - 500 ml</v>
      </c>
      <c r="E39" s="8">
        <f t="array" ref="E39">IF($N39="","",INDEX($O:$O,$N39))</f>
        <v>37298.25</v>
      </c>
      <c r="F39" s="8">
        <f t="array" ref="F39">IF($N39="","",INDEX($T:$T,$N39))</f>
        <v>22817</v>
      </c>
      <c r="G39" s="8">
        <f t="array" ref="G39">IF($N39="","",INDEX($R:$R,$N39))</f>
        <v>-14481.25</v>
      </c>
      <c r="H39" s="9">
        <f t="array" ref="H39">IF($N39="","",IFERROR(INDEX($T:$T,$N39)/INDEX($O:$O,$N39),""))</f>
        <v>0.61174451884471792</v>
      </c>
      <c r="I39" s="10">
        <f t="array" ref="I39">IF($N39="","",INDEX(Summary!$BI:$BI,$N39))</f>
        <v>1.0319519012286098</v>
      </c>
      <c r="J39" s="10">
        <f t="array" ref="J39">IF($N39="","",INDEX(Summary!$BJ:$BJ,$N39))</f>
        <v>10</v>
      </c>
      <c r="K39" s="7" t="str">
        <f t="array" ref="K39">IF($N39="","",INDEX(Summary!$BK:$BK,$N39))</f>
        <v>P1 – Critical</v>
      </c>
      <c r="L39" s="7" t="str">
        <f t="array" ref="L39">IF($N39="","",INDEX(Summary!$BG:$BG,$N39))</f>
        <v>WIP</v>
      </c>
      <c r="M39" s="1"/>
      <c r="N39">
        <f t="array" ref="N39">IFERROR(_xlfn.AGGREGATE(15,6,ROW(Summary!$D$3:$D$70)/(($R$3:$R$70&lt;0)*$P$3:$P$70*$Q$3:$Q$70*$U$3:$U$70),ROW()-27),"")</f>
        <v>14</v>
      </c>
      <c r="O39">
        <f t="array" ref="O39">_xlfn.SWITCH($G$3,"MRP (Domestic)",Summary!G39,"ROW Manjari",Summary!H39,"USA Sea",Summary!I39,"Amazon USA Sea",Summary!J39,"USA Air",Summary!K39,"USA Amazon",Summary!L39,"UK",Summary!M39,"MENA",Summary!N39,Summary!O39)</f>
        <v>0</v>
      </c>
      <c r="P39">
        <f>--(ISNUMBER(Summary!$A39))*--(Summary!$D39&lt;&gt;"")</f>
        <v>0</v>
      </c>
      <c r="Q39">
        <f t="shared" si="5"/>
        <v>1</v>
      </c>
      <c r="R39">
        <f t="shared" si="6"/>
        <v>0</v>
      </c>
      <c r="S39" t="str">
        <f>IF(Summary!$D39="","",Summary!B39)</f>
        <v/>
      </c>
      <c r="T39">
        <f t="array" ref="T39">_xlfn.SWITCH($G$3,"MRP (Domestic)",IFERROR(_xlfn.XLOOKUP(Summary!$D39,Domestic!$C:$C,Domestic!$AU:$AU),0),"ROW Manjari",IFERROR(_xlfn.XLOOKUP(Summary!$D39,'INT-_Manjiri'!$C:$C,'INT-_Manjiri'!$AT:$AT),0),"USA Sea",IFERROR(_xlfn.XLOOKUP(Summary!$D39,'USA-_Sea_shipment'!$C:$C,'USA-_Sea_shipment'!#REF!),0),"Amazon USA Sea",IFERROR(_xlfn.XLOOKUP(Summary!$D39,Amazon_USA_Sea!$C:$C,Amazon_USA_Sea!$AT:$AT),0),"USA Air",IFERROR(_xlfn.XLOOKUP(Summary!$D39,USA_Air_Shipment!$C:$C,USA_Air_Shipment!$AS:$AS),0),"USA Amazon",IFERROR(_xlfn.XLOOKUP(Summary!$D39,Amazon_USA_Air_Shipment!$C:$C,Amazon_USA_Air_Shipment!$AS:$AS),0),"UK",IFERROR(_xlfn.XLOOKUP(Summary!$D39,UK!$C:$C,UK!$AW:$AW),0),"MENA",IFERROR(_xlfn.XLOOKUP(Summary!$D39,MENA!$C:$C,MENA!$AS:$AS),0),Summary!BB39)</f>
        <v>0</v>
      </c>
      <c r="U39">
        <f>IF($C$3="All",1,--(Summary!E39=$C$3))</f>
        <v>1</v>
      </c>
      <c r="Y39" t="str">
        <f>IF(Summary!E40="","",Summary!E40)</f>
        <v/>
      </c>
      <c r="Z39">
        <f t="shared" si="7"/>
        <v>14481.25</v>
      </c>
      <c r="AA39">
        <f t="shared" si="8"/>
        <v>14481.25</v>
      </c>
    </row>
    <row r="40" spans="1:27" ht="13">
      <c r="A40" s="7">
        <f t="shared" si="4"/>
        <v>13</v>
      </c>
      <c r="B40" s="7" t="str">
        <f t="array" ref="B40">IF($N40="","",INDEX(Summary!$B:$B,$N40))</f>
        <v>Ghee</v>
      </c>
      <c r="C40" s="7" t="str">
        <f t="array" ref="C40">IF($N40="","",INDEX(Summary!$D:$D,$N40))</f>
        <v>FG00566</v>
      </c>
      <c r="D40" s="7" t="str">
        <f t="array" ref="D40">IF($N40="","",INDEX(Summary!$E:$E,$N40))</f>
        <v xml:space="preserve">A2 Cultured Ghee - 5 Ltr </v>
      </c>
      <c r="E40" s="8">
        <f t="array" ref="E40">IF($N40="","",INDEX($O:$O,$N40))</f>
        <v>1035.25</v>
      </c>
      <c r="F40" s="8">
        <f t="array" ref="F40">IF($N40="","",INDEX($T:$T,$N40))</f>
        <v>594</v>
      </c>
      <c r="G40" s="8">
        <f t="array" ref="G40">IF($N40="","",INDEX($R:$R,$N40))</f>
        <v>-441.25</v>
      </c>
      <c r="H40" s="9">
        <f t="array" ref="H40">IF($N40="","",IFERROR(INDEX($T:$T,$N40)/INDEX($O:$O,$N40),""))</f>
        <v>0.57377445061579324</v>
      </c>
      <c r="I40" s="10">
        <f t="array" ref="I40">IF($N40="","",INDEX(Summary!$BI:$BI,$N40))</f>
        <v>0.23182806085486599</v>
      </c>
      <c r="J40" s="10">
        <f t="array" ref="J40">IF($N40="","",INDEX(Summary!$BJ:$BJ,$N40))</f>
        <v>10</v>
      </c>
      <c r="K40" s="7" t="str">
        <f t="array" ref="K40">IF($N40="","",INDEX(Summary!$BK:$BK,$N40))</f>
        <v>P1 – Critical</v>
      </c>
      <c r="L40" s="7" t="str">
        <f t="array" ref="L40">IF($N40="","",INDEX(Summary!$BG:$BG,$N40))</f>
        <v>WIP</v>
      </c>
      <c r="M40" s="1"/>
      <c r="N40">
        <f t="array" ref="N40">IFERROR(_xlfn.AGGREGATE(15,6,ROW(Summary!$D$3:$D$70)/(($R$3:$R$70&lt;0)*$P$3:$P$70*$Q$3:$Q$70*$U$3:$U$70),ROW()-27),"")</f>
        <v>15</v>
      </c>
      <c r="O40">
        <f t="array" ref="O40">_xlfn.SWITCH($G$3,"MRP (Domestic)",Summary!G40,"ROW Manjari",Summary!H40,"USA Sea",Summary!I40,"Amazon USA Sea",Summary!J40,"USA Air",Summary!K40,"USA Amazon",Summary!L40,"UK",Summary!M40,"MENA",Summary!N40,Summary!O40)</f>
        <v>0</v>
      </c>
      <c r="P40">
        <f>--(ISNUMBER(Summary!$A40))*--(Summary!$D40&lt;&gt;"")</f>
        <v>0</v>
      </c>
      <c r="Q40">
        <f t="shared" si="5"/>
        <v>1</v>
      </c>
      <c r="R40">
        <f t="shared" si="6"/>
        <v>0</v>
      </c>
      <c r="S40" t="str">
        <f>IF(Summary!$D40="","",Summary!B40)</f>
        <v/>
      </c>
      <c r="T40">
        <f t="array" ref="T40">_xlfn.SWITCH($G$3,"MRP (Domestic)",IFERROR(_xlfn.XLOOKUP(Summary!$D40,Domestic!$C:$C,Domestic!$AU:$AU),0),"ROW Manjari",IFERROR(_xlfn.XLOOKUP(Summary!$D40,'INT-_Manjiri'!$C:$C,'INT-_Manjiri'!$AT:$AT),0),"USA Sea",IFERROR(_xlfn.XLOOKUP(Summary!$D40,'USA-_Sea_shipment'!$C:$C,'USA-_Sea_shipment'!#REF!),0),"Amazon USA Sea",IFERROR(_xlfn.XLOOKUP(Summary!$D40,Amazon_USA_Sea!$C:$C,Amazon_USA_Sea!$AT:$AT),0),"USA Air",IFERROR(_xlfn.XLOOKUP(Summary!$D40,USA_Air_Shipment!$C:$C,USA_Air_Shipment!$AS:$AS),0),"USA Amazon",IFERROR(_xlfn.XLOOKUP(Summary!$D40,Amazon_USA_Air_Shipment!$C:$C,Amazon_USA_Air_Shipment!$AS:$AS),0),"UK",IFERROR(_xlfn.XLOOKUP(Summary!$D40,UK!$C:$C,UK!$AW:$AW),0),"MENA",IFERROR(_xlfn.XLOOKUP(Summary!$D40,MENA!$C:$C,MENA!$AS:$AS),0),Summary!BB40)</f>
        <v>0</v>
      </c>
      <c r="U40">
        <f>IF($C$3="All",1,--(Summary!E40=$C$3))</f>
        <v>1</v>
      </c>
      <c r="Y40" t="str">
        <f>IF(Summary!E41="","",Summary!E41)</f>
        <v/>
      </c>
      <c r="Z40">
        <f t="shared" si="7"/>
        <v>441.25</v>
      </c>
      <c r="AA40">
        <f t="shared" si="8"/>
        <v>441.25</v>
      </c>
    </row>
    <row r="41" spans="1:27" ht="13">
      <c r="A41" s="7">
        <f t="shared" si="4"/>
        <v>14</v>
      </c>
      <c r="B41" s="7" t="str">
        <f t="array" ref="B41">IF($N41="","",INDEX(Summary!$B:$B,$N41))</f>
        <v>Ghee</v>
      </c>
      <c r="C41" s="7" t="str">
        <f t="array" ref="C41">IF($N41="","",INDEX(Summary!$D:$D,$N41))</f>
        <v>GHEE1000_STEEL_CAN</v>
      </c>
      <c r="D41" s="7" t="str">
        <f t="array" ref="D41">IF($N41="","",INDEX(Summary!$E:$E,$N41))</f>
        <v>Steel Can Ghee 1 Ltr</v>
      </c>
      <c r="E41" s="8">
        <f t="array" ref="E41">IF($N41="","",INDEX($O:$O,$N41))</f>
        <v>413.05</v>
      </c>
      <c r="F41" s="8">
        <f t="array" ref="F41">IF($N41="","",INDEX($T:$T,$N41))</f>
        <v>370</v>
      </c>
      <c r="G41" s="8">
        <f t="array" ref="G41">IF($N41="","",INDEX($R:$R,$N41))</f>
        <v>-43.050000000000011</v>
      </c>
      <c r="H41" s="9">
        <f t="array" ref="H41">IF($N41="","",IFERROR(INDEX($T:$T,$N41)/INDEX($O:$O,$N41),""))</f>
        <v>0.89577532986321262</v>
      </c>
      <c r="I41" s="10">
        <f t="array" ref="I41">IF($N41="","",INDEX(Summary!$BI:$BI,$N41))</f>
        <v>1.1620869144171406</v>
      </c>
      <c r="J41" s="10">
        <f t="array" ref="J41">IF($N41="","",INDEX(Summary!$BJ:$BJ,$N41))</f>
        <v>10</v>
      </c>
      <c r="K41" s="7" t="str">
        <f t="array" ref="K41">IF($N41="","",INDEX(Summary!$BK:$BK,$N41))</f>
        <v>P1 – Critical</v>
      </c>
      <c r="L41" s="7" t="str">
        <f t="array" ref="L41">IF($N41="","",INDEX(Summary!$BG:$BG,$N41))</f>
        <v/>
      </c>
      <c r="M41" s="1"/>
      <c r="N41">
        <f t="array" ref="N41">IFERROR(_xlfn.AGGREGATE(15,6,ROW(Summary!$D$3:$D$70)/(($R$3:$R$70&lt;0)*$P$3:$P$70*$Q$3:$Q$70*$U$3:$U$70),ROW()-27),"")</f>
        <v>16</v>
      </c>
      <c r="O41">
        <f t="array" ref="O41">_xlfn.SWITCH($G$3,"MRP (Domestic)",Summary!G41,"ROW Manjari",Summary!H41,"USA Sea",Summary!I41,"Amazon USA Sea",Summary!J41,"USA Air",Summary!K41,"USA Amazon",Summary!L41,"UK",Summary!M41,"MENA",Summary!N41,Summary!O41)</f>
        <v>0</v>
      </c>
      <c r="P41">
        <f>--(ISNUMBER(Summary!$A41))*--(Summary!$D41&lt;&gt;"")</f>
        <v>0</v>
      </c>
      <c r="Q41">
        <f t="shared" si="5"/>
        <v>1</v>
      </c>
      <c r="R41">
        <f t="shared" si="6"/>
        <v>0</v>
      </c>
      <c r="S41" t="str">
        <f>IF(Summary!$D41="","",Summary!B41)</f>
        <v/>
      </c>
      <c r="T41">
        <f t="array" ref="T41">_xlfn.SWITCH($G$3,"MRP (Domestic)",IFERROR(_xlfn.XLOOKUP(Summary!$D41,Domestic!$C:$C,Domestic!$AU:$AU),0),"ROW Manjari",IFERROR(_xlfn.XLOOKUP(Summary!$D41,'INT-_Manjiri'!$C:$C,'INT-_Manjiri'!$AT:$AT),0),"USA Sea",IFERROR(_xlfn.XLOOKUP(Summary!$D41,'USA-_Sea_shipment'!$C:$C,'USA-_Sea_shipment'!#REF!),0),"Amazon USA Sea",IFERROR(_xlfn.XLOOKUP(Summary!$D41,Amazon_USA_Sea!$C:$C,Amazon_USA_Sea!$AT:$AT),0),"USA Air",IFERROR(_xlfn.XLOOKUP(Summary!$D41,USA_Air_Shipment!$C:$C,USA_Air_Shipment!$AS:$AS),0),"USA Amazon",IFERROR(_xlfn.XLOOKUP(Summary!$D41,Amazon_USA_Air_Shipment!$C:$C,Amazon_USA_Air_Shipment!$AS:$AS),0),"UK",IFERROR(_xlfn.XLOOKUP(Summary!$D41,UK!$C:$C,UK!$AW:$AW),0),"MENA",IFERROR(_xlfn.XLOOKUP(Summary!$D41,MENA!$C:$C,MENA!$AS:$AS),0),Summary!BB41)</f>
        <v>0</v>
      </c>
      <c r="U41">
        <f>IF($C$3="All",1,--(Summary!E41=$C$3))</f>
        <v>1</v>
      </c>
      <c r="Y41" t="str">
        <f>IF(Summary!E42="","",Summary!E42)</f>
        <v/>
      </c>
      <c r="Z41">
        <f t="shared" si="7"/>
        <v>43.050000000000011</v>
      </c>
      <c r="AA41">
        <f t="shared" si="8"/>
        <v>43.050000000000011</v>
      </c>
    </row>
    <row r="42" spans="1:27" ht="13">
      <c r="A42" s="7">
        <f t="shared" si="4"/>
        <v>15</v>
      </c>
      <c r="B42" s="7" t="str">
        <f t="array" ref="B42">IF($N42="","",INDEX(Summary!$B:$B,$N42))</f>
        <v>Ghee</v>
      </c>
      <c r="C42" s="7" t="str">
        <f t="array" ref="C42">IF($N42="","",INDEX(Summary!$D:$D,$N42))</f>
        <v>FG00562</v>
      </c>
      <c r="D42" s="7" t="str">
        <f t="array" ref="D42">IF($N42="","",INDEX(Summary!$E:$E,$N42))</f>
        <v>A2 Cultured Ghee - 250 ml</v>
      </c>
      <c r="E42" s="8">
        <f t="array" ref="E42">IF($N42="","",INDEX($O:$O,$N42))</f>
        <v>20236.7</v>
      </c>
      <c r="F42" s="8">
        <f t="array" ref="F42">IF($N42="","",INDEX($T:$T,$N42))</f>
        <v>13695</v>
      </c>
      <c r="G42" s="8">
        <f t="array" ref="G42">IF($N42="","",INDEX($R:$R,$N42))</f>
        <v>-6541.7000000000007</v>
      </c>
      <c r="H42" s="9">
        <f t="array" ref="H42">IF($N42="","",IFERROR(INDEX($T:$T,$N42)/INDEX($O:$O,$N42),""))</f>
        <v>0.67674077295211177</v>
      </c>
      <c r="I42" s="10">
        <f t="array" ref="I42">IF($N42="","",INDEX(Summary!$BI:$BI,$N42))</f>
        <v>4.0826814648633416</v>
      </c>
      <c r="J42" s="10">
        <f t="array" ref="J42">IF($N42="","",INDEX(Summary!$BJ:$BJ,$N42))</f>
        <v>10</v>
      </c>
      <c r="K42" s="7" t="str">
        <f t="array" ref="K42">IF($N42="","",INDEX(Summary!$BK:$BK,$N42))</f>
        <v>P1 – Critical</v>
      </c>
      <c r="L42" s="7" t="str">
        <f t="array" ref="L42">IF($N42="","",INDEX(Summary!$BG:$BG,$N42))</f>
        <v/>
      </c>
      <c r="M42" s="1"/>
      <c r="N42">
        <f t="array" ref="N42">IFERROR(_xlfn.AGGREGATE(15,6,ROW(Summary!$D$3:$D$70)/(($R$3:$R$70&lt;0)*$P$3:$P$70*$Q$3:$Q$70*$U$3:$U$70),ROW()-27),"")</f>
        <v>17</v>
      </c>
      <c r="O42">
        <f t="array" ref="O42">_xlfn.SWITCH($G$3,"MRP (Domestic)",Summary!G42,"ROW Manjari",Summary!H42,"USA Sea",Summary!I42,"Amazon USA Sea",Summary!J42,"USA Air",Summary!K42,"USA Amazon",Summary!L42,"UK",Summary!M42,"MENA",Summary!N42,Summary!O42)</f>
        <v>0</v>
      </c>
      <c r="P42">
        <f>--(ISNUMBER(Summary!$A42))*--(Summary!$D42&lt;&gt;"")</f>
        <v>0</v>
      </c>
      <c r="Q42">
        <f t="shared" si="5"/>
        <v>1</v>
      </c>
      <c r="R42">
        <f t="shared" si="6"/>
        <v>0</v>
      </c>
      <c r="S42" t="str">
        <f>IF(Summary!$D42="","",Summary!B42)</f>
        <v/>
      </c>
      <c r="T42">
        <f t="array" ref="T42">_xlfn.SWITCH($G$3,"MRP (Domestic)",IFERROR(_xlfn.XLOOKUP(Summary!$D42,Domestic!$C:$C,Domestic!$AU:$AU),0),"ROW Manjari",IFERROR(_xlfn.XLOOKUP(Summary!$D42,'INT-_Manjiri'!$C:$C,'INT-_Manjiri'!$AT:$AT),0),"USA Sea",IFERROR(_xlfn.XLOOKUP(Summary!$D42,'USA-_Sea_shipment'!$C:$C,'USA-_Sea_shipment'!#REF!),0),"Amazon USA Sea",IFERROR(_xlfn.XLOOKUP(Summary!$D42,Amazon_USA_Sea!$C:$C,Amazon_USA_Sea!$AT:$AT),0),"USA Air",IFERROR(_xlfn.XLOOKUP(Summary!$D42,USA_Air_Shipment!$C:$C,USA_Air_Shipment!$AS:$AS),0),"USA Amazon",IFERROR(_xlfn.XLOOKUP(Summary!$D42,Amazon_USA_Air_Shipment!$C:$C,Amazon_USA_Air_Shipment!$AS:$AS),0),"UK",IFERROR(_xlfn.XLOOKUP(Summary!$D42,UK!$C:$C,UK!$AW:$AW),0),"MENA",IFERROR(_xlfn.XLOOKUP(Summary!$D42,MENA!$C:$C,MENA!$AS:$AS),0),Summary!BB42)</f>
        <v>0</v>
      </c>
      <c r="U42">
        <f>IF($C$3="All",1,--(Summary!E42=$C$3))</f>
        <v>1</v>
      </c>
      <c r="Y42" t="str">
        <f>IF(Summary!E43="","",Summary!E43)</f>
        <v/>
      </c>
      <c r="Z42">
        <f t="shared" si="7"/>
        <v>6541.7000000000007</v>
      </c>
      <c r="AA42">
        <f t="shared" si="8"/>
        <v>6541.7000000000007</v>
      </c>
    </row>
    <row r="43" spans="1:27" ht="13">
      <c r="A43" s="7">
        <f t="shared" si="4"/>
        <v>16</v>
      </c>
      <c r="B43" s="7" t="str">
        <f t="array" ref="B43">IF($N43="","",INDEX(Summary!$B:$B,$N43))</f>
        <v>Ghee</v>
      </c>
      <c r="C43" s="7" t="str">
        <f t="array" ref="C43">IF($N43="","",INDEX(Summary!$D:$D,$N43))</f>
        <v>FG00563</v>
      </c>
      <c r="D43" s="7" t="str">
        <f t="array" ref="D43">IF($N43="","",INDEX(Summary!$E:$E,$N43))</f>
        <v>A2 Cultured Ghee - 1000 ml</v>
      </c>
      <c r="E43" s="8">
        <f t="array" ref="E43">IF($N43="","",INDEX($O:$O,$N43))</f>
        <v>11040.6</v>
      </c>
      <c r="F43" s="8">
        <f t="array" ref="F43">IF($N43="","",INDEX($T:$T,$N43))</f>
        <v>7707</v>
      </c>
      <c r="G43" s="8">
        <f t="array" ref="G43">IF($N43="","",INDEX($R:$R,$N43))</f>
        <v>-3333.6000000000004</v>
      </c>
      <c r="H43" s="9">
        <f t="array" ref="H43">IF($N43="","",IFERROR(INDEX($T:$T,$N43)/INDEX($O:$O,$N43),""))</f>
        <v>0.69805988804956254</v>
      </c>
      <c r="I43" s="10">
        <f t="array" ref="I43">IF($N43="","",INDEX(Summary!$BI:$BI,$N43))</f>
        <v>1.5651323297646866</v>
      </c>
      <c r="J43" s="10">
        <f t="array" ref="J43">IF($N43="","",INDEX(Summary!$BJ:$BJ,$N43))</f>
        <v>10</v>
      </c>
      <c r="K43" s="7" t="str">
        <f t="array" ref="K43">IF($N43="","",INDEX(Summary!$BK:$BK,$N43))</f>
        <v>P1 – Critical</v>
      </c>
      <c r="L43" s="7" t="str">
        <f t="array" ref="L43">IF($N43="","",INDEX(Summary!$BG:$BG,$N43))</f>
        <v/>
      </c>
      <c r="M43" s="1"/>
      <c r="N43">
        <f t="array" ref="N43">IFERROR(_xlfn.AGGREGATE(15,6,ROW(Summary!$D$3:$D$70)/(($R$3:$R$70&lt;0)*$P$3:$P$70*$Q$3:$Q$70*$U$3:$U$70),ROW()-27),"")</f>
        <v>19</v>
      </c>
      <c r="O43">
        <f t="array" ref="O43">_xlfn.SWITCH($G$3,"MRP (Domestic)",Summary!G43,"ROW Manjari",Summary!H43,"USA Sea",Summary!I43,"Amazon USA Sea",Summary!J43,"USA Air",Summary!K43,"USA Amazon",Summary!L43,"UK",Summary!M43,"MENA",Summary!N43,Summary!O43)</f>
        <v>0</v>
      </c>
      <c r="P43">
        <f>--(ISNUMBER(Summary!$A43))*--(Summary!$D43&lt;&gt;"")</f>
        <v>0</v>
      </c>
      <c r="Q43">
        <f t="shared" si="5"/>
        <v>1</v>
      </c>
      <c r="R43">
        <f t="shared" si="6"/>
        <v>0</v>
      </c>
      <c r="S43" t="str">
        <f>IF(Summary!$D43="","",Summary!B43)</f>
        <v/>
      </c>
      <c r="T43">
        <f t="array" ref="T43">_xlfn.SWITCH($G$3,"MRP (Domestic)",IFERROR(_xlfn.XLOOKUP(Summary!$D43,Domestic!$C:$C,Domestic!$AU:$AU),0),"ROW Manjari",IFERROR(_xlfn.XLOOKUP(Summary!$D43,'INT-_Manjiri'!$C:$C,'INT-_Manjiri'!$AT:$AT),0),"USA Sea",IFERROR(_xlfn.XLOOKUP(Summary!$D43,'USA-_Sea_shipment'!$C:$C,'USA-_Sea_shipment'!#REF!),0),"Amazon USA Sea",IFERROR(_xlfn.XLOOKUP(Summary!$D43,Amazon_USA_Sea!$C:$C,Amazon_USA_Sea!$AT:$AT),0),"USA Air",IFERROR(_xlfn.XLOOKUP(Summary!$D43,USA_Air_Shipment!$C:$C,USA_Air_Shipment!$AS:$AS),0),"USA Amazon",IFERROR(_xlfn.XLOOKUP(Summary!$D43,Amazon_USA_Air_Shipment!$C:$C,Amazon_USA_Air_Shipment!$AS:$AS),0),"UK",IFERROR(_xlfn.XLOOKUP(Summary!$D43,UK!$C:$C,UK!$AW:$AW),0),"MENA",IFERROR(_xlfn.XLOOKUP(Summary!$D43,MENA!$C:$C,MENA!$AS:$AS),0),Summary!BB43)</f>
        <v>0</v>
      </c>
      <c r="U43">
        <f>IF($C$3="All",1,--(Summary!E43=$C$3))</f>
        <v>1</v>
      </c>
      <c r="Y43" t="str">
        <f>IF(Summary!E44="","",Summary!E44)</f>
        <v/>
      </c>
      <c r="Z43">
        <f t="shared" si="7"/>
        <v>3333.6000000000004</v>
      </c>
      <c r="AA43">
        <f t="shared" si="8"/>
        <v>3333.6000000000004</v>
      </c>
    </row>
    <row r="44" spans="1:27" ht="13">
      <c r="A44" s="7" t="str">
        <f t="shared" si="4"/>
        <v/>
      </c>
      <c r="B44" s="7" t="str">
        <f t="array" ref="B44">IF($N44="","",INDEX(Summary!$B:$B,$N44))</f>
        <v/>
      </c>
      <c r="C44" s="7" t="str">
        <f t="array" ref="C44">IF($N44="","",INDEX(Summary!$D:$D,$N44))</f>
        <v/>
      </c>
      <c r="D44" s="7" t="str">
        <f t="array" ref="D44">IF($N44="","",INDEX(Summary!$E:$E,$N44))</f>
        <v/>
      </c>
      <c r="E44" s="8" t="str">
        <f t="array" ref="E44">IF($N44="","",INDEX($O:$O,$N44))</f>
        <v/>
      </c>
      <c r="F44" s="8" t="str">
        <f t="array" ref="F44">IF($N44="","",INDEX($T:$T,$N44))</f>
        <v/>
      </c>
      <c r="G44" s="8" t="str">
        <f t="array" ref="G44">IF($N44="","",INDEX($R:$R,$N44))</f>
        <v/>
      </c>
      <c r="H44" s="9" t="str">
        <f t="array" ref="H44">IF($N44="","",IFERROR(INDEX($T:$T,$N44)/INDEX($O:$O,$N44),""))</f>
        <v/>
      </c>
      <c r="I44" s="10" t="str">
        <f t="array" ref="I44">IF($N44="","",INDEX(Summary!$BI:$BI,$N44))</f>
        <v/>
      </c>
      <c r="J44" s="10" t="str">
        <f t="array" ref="J44">IF($N44="","",INDEX(Summary!$BJ:$BJ,$N44))</f>
        <v/>
      </c>
      <c r="K44" s="7" t="str">
        <f t="array" ref="K44">IF($N44="","",INDEX(Summary!$BK:$BK,$N44))</f>
        <v/>
      </c>
      <c r="L44" s="7" t="str">
        <f t="array" ref="L44">IF($N44="","",INDEX(Summary!$BG:$BG,$N44))</f>
        <v/>
      </c>
      <c r="M44" s="1"/>
      <c r="N44" t="str">
        <f t="array" ref="N44">IFERROR(_xlfn.AGGREGATE(15,6,ROW(Summary!$D$3:$D$70)/(($R$3:$R$70&lt;0)*$P$3:$P$70*$Q$3:$Q$70*$U$3:$U$70),ROW()-27),"")</f>
        <v/>
      </c>
      <c r="O44">
        <f t="array" ref="O44">_xlfn.SWITCH($G$3,"MRP (Domestic)",Summary!G44,"ROW Manjari",Summary!H44,"USA Sea",Summary!I44,"Amazon USA Sea",Summary!J44,"USA Air",Summary!K44,"USA Amazon",Summary!L44,"UK",Summary!M44,"MENA",Summary!N44,Summary!O44)</f>
        <v>0</v>
      </c>
      <c r="P44">
        <f>--(ISNUMBER(Summary!$A44))*--(Summary!$D44&lt;&gt;"")</f>
        <v>0</v>
      </c>
      <c r="Q44">
        <f t="shared" si="5"/>
        <v>1</v>
      </c>
      <c r="R44">
        <f t="shared" si="6"/>
        <v>0</v>
      </c>
      <c r="S44" t="str">
        <f>IF(Summary!$D44="","",Summary!B44)</f>
        <v/>
      </c>
      <c r="T44">
        <f t="array" ref="T44">_xlfn.SWITCH($G$3,"MRP (Domestic)",IFERROR(_xlfn.XLOOKUP(Summary!$D44,Domestic!$C:$C,Domestic!$AU:$AU),0),"ROW Manjari",IFERROR(_xlfn.XLOOKUP(Summary!$D44,'INT-_Manjiri'!$C:$C,'INT-_Manjiri'!$AT:$AT),0),"USA Sea",IFERROR(_xlfn.XLOOKUP(Summary!$D44,'USA-_Sea_shipment'!$C:$C,'USA-_Sea_shipment'!#REF!),0),"Amazon USA Sea",IFERROR(_xlfn.XLOOKUP(Summary!$D44,Amazon_USA_Sea!$C:$C,Amazon_USA_Sea!$AT:$AT),0),"USA Air",IFERROR(_xlfn.XLOOKUP(Summary!$D44,USA_Air_Shipment!$C:$C,USA_Air_Shipment!$AS:$AS),0),"USA Amazon",IFERROR(_xlfn.XLOOKUP(Summary!$D44,Amazon_USA_Air_Shipment!$C:$C,Amazon_USA_Air_Shipment!$AS:$AS),0),"UK",IFERROR(_xlfn.XLOOKUP(Summary!$D44,UK!$C:$C,UK!$AW:$AW),0),"MENA",IFERROR(_xlfn.XLOOKUP(Summary!$D44,MENA!$C:$C,MENA!$AS:$AS),0),Summary!BB44)</f>
        <v>0</v>
      </c>
      <c r="U44">
        <f>IF($C$3="All",1,--(Summary!E44=$C$3))</f>
        <v>1</v>
      </c>
      <c r="Y44" t="str">
        <f>IF(Summary!E45="","",Summary!E45)</f>
        <v/>
      </c>
      <c r="Z44" t="str">
        <f t="shared" si="7"/>
        <v/>
      </c>
      <c r="AA44" t="str">
        <f t="shared" si="8"/>
        <v/>
      </c>
    </row>
    <row r="45" spans="1:27" ht="13">
      <c r="A45" s="7" t="str">
        <f t="shared" si="4"/>
        <v/>
      </c>
      <c r="B45" s="7" t="str">
        <f t="array" ref="B45">IF($N45="","",INDEX(Summary!$B:$B,$N45))</f>
        <v/>
      </c>
      <c r="C45" s="7" t="str">
        <f t="array" ref="C45">IF($N45="","",INDEX(Summary!$D:$D,$N45))</f>
        <v/>
      </c>
      <c r="D45" s="7" t="str">
        <f t="array" ref="D45">IF($N45="","",INDEX(Summary!$E:$E,$N45))</f>
        <v/>
      </c>
      <c r="E45" s="8" t="str">
        <f t="array" ref="E45">IF($N45="","",INDEX($O:$O,$N45))</f>
        <v/>
      </c>
      <c r="F45" s="8" t="str">
        <f t="array" ref="F45">IF($N45="","",INDEX($T:$T,$N45))</f>
        <v/>
      </c>
      <c r="G45" s="8" t="str">
        <f t="array" ref="G45">IF($N45="","",INDEX($R:$R,$N45))</f>
        <v/>
      </c>
      <c r="H45" s="9" t="str">
        <f t="array" ref="H45">IF($N45="","",IFERROR(INDEX($T:$T,$N45)/INDEX($O:$O,$N45),""))</f>
        <v/>
      </c>
      <c r="I45" s="10" t="str">
        <f t="array" ref="I45">IF($N45="","",INDEX(Summary!$BI:$BI,$N45))</f>
        <v/>
      </c>
      <c r="J45" s="10" t="str">
        <f t="array" ref="J45">IF($N45="","",INDEX(Summary!$BJ:$BJ,$N45))</f>
        <v/>
      </c>
      <c r="K45" s="7" t="str">
        <f t="array" ref="K45">IF($N45="","",INDEX(Summary!$BK:$BK,$N45))</f>
        <v/>
      </c>
      <c r="L45" s="7" t="str">
        <f t="array" ref="L45">IF($N45="","",INDEX(Summary!$BG:$BG,$N45))</f>
        <v/>
      </c>
      <c r="M45" s="1"/>
      <c r="N45" t="str">
        <f t="array" ref="N45">IFERROR(_xlfn.AGGREGATE(15,6,ROW(Summary!$D$3:$D$70)/(($R$3:$R$70&lt;0)*$P$3:$P$70*$Q$3:$Q$70*$U$3:$U$70),ROW()-27),"")</f>
        <v/>
      </c>
      <c r="O45">
        <f t="array" ref="O45">_xlfn.SWITCH($G$3,"MRP (Domestic)",Summary!G45,"ROW Manjari",Summary!H45,"USA Sea",Summary!I45,"Amazon USA Sea",Summary!J45,"USA Air",Summary!K45,"USA Amazon",Summary!L45,"UK",Summary!M45,"MENA",Summary!N45,Summary!O45)</f>
        <v>0</v>
      </c>
      <c r="P45">
        <f>--(ISNUMBER(Summary!$A45))*--(Summary!$D45&lt;&gt;"")</f>
        <v>0</v>
      </c>
      <c r="Q45">
        <f t="shared" si="5"/>
        <v>1</v>
      </c>
      <c r="R45">
        <f t="shared" si="6"/>
        <v>0</v>
      </c>
      <c r="S45" t="str">
        <f>IF(Summary!$D45="","",Summary!B45)</f>
        <v/>
      </c>
      <c r="T45">
        <f t="array" ref="T45">_xlfn.SWITCH($G$3,"MRP (Domestic)",IFERROR(_xlfn.XLOOKUP(Summary!$D45,Domestic!$C:$C,Domestic!$AU:$AU),0),"ROW Manjari",IFERROR(_xlfn.XLOOKUP(Summary!$D45,'INT-_Manjiri'!$C:$C,'INT-_Manjiri'!$AT:$AT),0),"USA Sea",IFERROR(_xlfn.XLOOKUP(Summary!$D45,'USA-_Sea_shipment'!$C:$C,'USA-_Sea_shipment'!#REF!),0),"Amazon USA Sea",IFERROR(_xlfn.XLOOKUP(Summary!$D45,Amazon_USA_Sea!$C:$C,Amazon_USA_Sea!$AT:$AT),0),"USA Air",IFERROR(_xlfn.XLOOKUP(Summary!$D45,USA_Air_Shipment!$C:$C,USA_Air_Shipment!$AS:$AS),0),"USA Amazon",IFERROR(_xlfn.XLOOKUP(Summary!$D45,Amazon_USA_Air_Shipment!$C:$C,Amazon_USA_Air_Shipment!$AS:$AS),0),"UK",IFERROR(_xlfn.XLOOKUP(Summary!$D45,UK!$C:$C,UK!$AW:$AW),0),"MENA",IFERROR(_xlfn.XLOOKUP(Summary!$D45,MENA!$C:$C,MENA!$AS:$AS),0),Summary!BB45)</f>
        <v>0</v>
      </c>
      <c r="U45">
        <f>IF($C$3="All",1,--(Summary!E45=$C$3))</f>
        <v>1</v>
      </c>
      <c r="Y45" t="str">
        <f>IF(Summary!E46="","",Summary!E46)</f>
        <v/>
      </c>
      <c r="Z45" t="str">
        <f t="shared" si="7"/>
        <v/>
      </c>
      <c r="AA45" t="str">
        <f t="shared" si="8"/>
        <v/>
      </c>
    </row>
    <row r="46" spans="1:27" ht="13">
      <c r="A46" s="7" t="str">
        <f t="shared" si="4"/>
        <v/>
      </c>
      <c r="B46" s="7" t="str">
        <f t="array" ref="B46">IF($N46="","",INDEX(Summary!$B:$B,$N46))</f>
        <v/>
      </c>
      <c r="C46" s="7" t="str">
        <f t="array" ref="C46">IF($N46="","",INDEX(Summary!$D:$D,$N46))</f>
        <v/>
      </c>
      <c r="D46" s="7" t="str">
        <f t="array" ref="D46">IF($N46="","",INDEX(Summary!$E:$E,$N46))</f>
        <v/>
      </c>
      <c r="E46" s="8" t="str">
        <f t="array" ref="E46">IF($N46="","",INDEX($O:$O,$N46))</f>
        <v/>
      </c>
      <c r="F46" s="8" t="str">
        <f t="array" ref="F46">IF($N46="","",INDEX($T:$T,$N46))</f>
        <v/>
      </c>
      <c r="G46" s="8" t="str">
        <f t="array" ref="G46">IF($N46="","",INDEX($R:$R,$N46))</f>
        <v/>
      </c>
      <c r="H46" s="9" t="str">
        <f t="array" ref="H46">IF($N46="","",IFERROR(INDEX($T:$T,$N46)/INDEX($O:$O,$N46),""))</f>
        <v/>
      </c>
      <c r="I46" s="10" t="str">
        <f t="array" ref="I46">IF($N46="","",INDEX(Summary!$BI:$BI,$N46))</f>
        <v/>
      </c>
      <c r="J46" s="10" t="str">
        <f t="array" ref="J46">IF($N46="","",INDEX(Summary!$BJ:$BJ,$N46))</f>
        <v/>
      </c>
      <c r="K46" s="7" t="str">
        <f t="array" ref="K46">IF($N46="","",INDEX(Summary!$BK:$BK,$N46))</f>
        <v/>
      </c>
      <c r="L46" s="7" t="str">
        <f t="array" ref="L46">IF($N46="","",INDEX(Summary!$BG:$BG,$N46))</f>
        <v/>
      </c>
      <c r="M46" s="1"/>
      <c r="N46" t="str">
        <f t="array" ref="N46">IFERROR(_xlfn.AGGREGATE(15,6,ROW(Summary!$D$3:$D$70)/(($R$3:$R$70&lt;0)*$P$3:$P$70*$Q$3:$Q$70*$U$3:$U$70),ROW()-27),"")</f>
        <v/>
      </c>
      <c r="O46">
        <f t="array" ref="O46">_xlfn.SWITCH($G$3,"MRP (Domestic)",Summary!G46,"ROW Manjari",Summary!H46,"USA Sea",Summary!I46,"Amazon USA Sea",Summary!J46,"USA Air",Summary!K46,"USA Amazon",Summary!L46,"UK",Summary!M46,"MENA",Summary!N46,Summary!O46)</f>
        <v>0</v>
      </c>
      <c r="P46">
        <f>--(ISNUMBER(Summary!$A46))*--(Summary!$D46&lt;&gt;"")</f>
        <v>0</v>
      </c>
      <c r="Q46">
        <f t="shared" si="5"/>
        <v>1</v>
      </c>
      <c r="R46">
        <f t="shared" si="6"/>
        <v>0</v>
      </c>
      <c r="S46" t="str">
        <f>IF(Summary!$D46="","",Summary!B46)</f>
        <v/>
      </c>
      <c r="T46">
        <f t="array" ref="T46">_xlfn.SWITCH($G$3,"MRP (Domestic)",IFERROR(_xlfn.XLOOKUP(Summary!$D46,Domestic!$C:$C,Domestic!$AU:$AU),0),"ROW Manjari",IFERROR(_xlfn.XLOOKUP(Summary!$D46,'INT-_Manjiri'!$C:$C,'INT-_Manjiri'!$AT:$AT),0),"USA Sea",IFERROR(_xlfn.XLOOKUP(Summary!$D46,'USA-_Sea_shipment'!$C:$C,'USA-_Sea_shipment'!#REF!),0),"Amazon USA Sea",IFERROR(_xlfn.XLOOKUP(Summary!$D46,Amazon_USA_Sea!$C:$C,Amazon_USA_Sea!$AT:$AT),0),"USA Air",IFERROR(_xlfn.XLOOKUP(Summary!$D46,USA_Air_Shipment!$C:$C,USA_Air_Shipment!$AS:$AS),0),"USA Amazon",IFERROR(_xlfn.XLOOKUP(Summary!$D46,Amazon_USA_Air_Shipment!$C:$C,Amazon_USA_Air_Shipment!$AS:$AS),0),"UK",IFERROR(_xlfn.XLOOKUP(Summary!$D46,UK!$C:$C,UK!$AW:$AW),0),"MENA",IFERROR(_xlfn.XLOOKUP(Summary!$D46,MENA!$C:$C,MENA!$AS:$AS),0),Summary!BB46)</f>
        <v>0</v>
      </c>
      <c r="U46">
        <f>IF($C$3="All",1,--(Summary!E46=$C$3))</f>
        <v>1</v>
      </c>
      <c r="Y46" t="str">
        <f>IF(Summary!E47="","",Summary!E47)</f>
        <v/>
      </c>
      <c r="Z46" t="str">
        <f t="shared" si="7"/>
        <v/>
      </c>
      <c r="AA46" t="str">
        <f t="shared" si="8"/>
        <v/>
      </c>
    </row>
    <row r="47" spans="1:27" ht="13">
      <c r="A47" s="7" t="str">
        <f t="shared" si="4"/>
        <v/>
      </c>
      <c r="B47" s="7" t="str">
        <f t="array" ref="B47">IF($N47="","",INDEX(Summary!$B:$B,$N47))</f>
        <v/>
      </c>
      <c r="C47" s="7" t="str">
        <f t="array" ref="C47">IF($N47="","",INDEX(Summary!$D:$D,$N47))</f>
        <v/>
      </c>
      <c r="D47" s="7" t="str">
        <f t="array" ref="D47">IF($N47="","",INDEX(Summary!$E:$E,$N47))</f>
        <v/>
      </c>
      <c r="E47" s="8" t="str">
        <f t="array" ref="E47">IF($N47="","",INDEX($O:$O,$N47))</f>
        <v/>
      </c>
      <c r="F47" s="8" t="str">
        <f t="array" ref="F47">IF($N47="","",INDEX($T:$T,$N47))</f>
        <v/>
      </c>
      <c r="G47" s="8" t="str">
        <f t="array" ref="G47">IF($N47="","",INDEX($R:$R,$N47))</f>
        <v/>
      </c>
      <c r="H47" s="9" t="str">
        <f t="array" ref="H47">IF($N47="","",IFERROR(INDEX($T:$T,$N47)/INDEX($O:$O,$N47),""))</f>
        <v/>
      </c>
      <c r="I47" s="10" t="str">
        <f t="array" ref="I47">IF($N47="","",INDEX(Summary!$BI:$BI,$N47))</f>
        <v/>
      </c>
      <c r="J47" s="10" t="str">
        <f t="array" ref="J47">IF($N47="","",INDEX(Summary!$BJ:$BJ,$N47))</f>
        <v/>
      </c>
      <c r="K47" s="7" t="str">
        <f t="array" ref="K47">IF($N47="","",INDEX(Summary!$BK:$BK,$N47))</f>
        <v/>
      </c>
      <c r="L47" s="7" t="str">
        <f t="array" ref="L47">IF($N47="","",INDEX(Summary!$BG:$BG,$N47))</f>
        <v/>
      </c>
      <c r="M47" s="1"/>
      <c r="N47" t="str">
        <f t="array" ref="N47">IFERROR(_xlfn.AGGREGATE(15,6,ROW(Summary!$D$3:$D$70)/(($R$3:$R$70&lt;0)*$P$3:$P$70*$Q$3:$Q$70*$U$3:$U$70),ROW()-27),"")</f>
        <v/>
      </c>
      <c r="O47">
        <f t="array" ref="O47">_xlfn.SWITCH($G$3,"MRP (Domestic)",Summary!G47,"ROW Manjari",Summary!H47,"USA Sea",Summary!I47,"Amazon USA Sea",Summary!J47,"USA Air",Summary!K47,"USA Amazon",Summary!L47,"UK",Summary!M47,"MENA",Summary!N47,Summary!O47)</f>
        <v>0</v>
      </c>
      <c r="P47">
        <f>--(ISNUMBER(Summary!$A47))*--(Summary!$D47&lt;&gt;"")</f>
        <v>0</v>
      </c>
      <c r="Q47">
        <f t="shared" si="5"/>
        <v>1</v>
      </c>
      <c r="R47">
        <f t="shared" si="6"/>
        <v>0</v>
      </c>
      <c r="S47" t="str">
        <f>IF(Summary!$D47="","",Summary!B47)</f>
        <v/>
      </c>
      <c r="T47">
        <f t="array" ref="T47">_xlfn.SWITCH($G$3,"MRP (Domestic)",IFERROR(_xlfn.XLOOKUP(Summary!$D47,Domestic!$C:$C,Domestic!$AU:$AU),0),"ROW Manjari",IFERROR(_xlfn.XLOOKUP(Summary!$D47,'INT-_Manjiri'!$C:$C,'INT-_Manjiri'!$AT:$AT),0),"USA Sea",IFERROR(_xlfn.XLOOKUP(Summary!$D47,'USA-_Sea_shipment'!$C:$C,'USA-_Sea_shipment'!#REF!),0),"Amazon USA Sea",IFERROR(_xlfn.XLOOKUP(Summary!$D47,Amazon_USA_Sea!$C:$C,Amazon_USA_Sea!$AT:$AT),0),"USA Air",IFERROR(_xlfn.XLOOKUP(Summary!$D47,USA_Air_Shipment!$C:$C,USA_Air_Shipment!$AS:$AS),0),"USA Amazon",IFERROR(_xlfn.XLOOKUP(Summary!$D47,Amazon_USA_Air_Shipment!$C:$C,Amazon_USA_Air_Shipment!$AS:$AS),0),"UK",IFERROR(_xlfn.XLOOKUP(Summary!$D47,UK!$C:$C,UK!$AW:$AW),0),"MENA",IFERROR(_xlfn.XLOOKUP(Summary!$D47,MENA!$C:$C,MENA!$AS:$AS),0),Summary!BB47)</f>
        <v>0</v>
      </c>
      <c r="U47">
        <f>IF($C$3="All",1,--(Summary!E47=$C$3))</f>
        <v>1</v>
      </c>
      <c r="Y47" t="str">
        <f>IF(Summary!E48="","",Summary!E48)</f>
        <v/>
      </c>
      <c r="Z47" t="str">
        <f t="shared" si="7"/>
        <v/>
      </c>
      <c r="AA47" t="str">
        <f t="shared" si="8"/>
        <v/>
      </c>
    </row>
    <row r="48" spans="1:27" ht="13">
      <c r="A48" s="7" t="str">
        <f t="shared" si="4"/>
        <v/>
      </c>
      <c r="B48" s="7" t="str">
        <f t="array" ref="B48">IF($N48="","",INDEX(Summary!$B:$B,$N48))</f>
        <v/>
      </c>
      <c r="C48" s="7" t="str">
        <f t="array" ref="C48">IF($N48="","",INDEX(Summary!$D:$D,$N48))</f>
        <v/>
      </c>
      <c r="D48" s="7" t="str">
        <f t="array" ref="D48">IF($N48="","",INDEX(Summary!$E:$E,$N48))</f>
        <v/>
      </c>
      <c r="E48" s="8" t="str">
        <f t="array" ref="E48">IF($N48="","",INDEX($O:$O,$N48))</f>
        <v/>
      </c>
      <c r="F48" s="8" t="str">
        <f t="array" ref="F48">IF($N48="","",INDEX($T:$T,$N48))</f>
        <v/>
      </c>
      <c r="G48" s="8" t="str">
        <f t="array" ref="G48">IF($N48="","",INDEX($R:$R,$N48))</f>
        <v/>
      </c>
      <c r="H48" s="9" t="str">
        <f t="array" ref="H48">IF($N48="","",IFERROR(INDEX($T:$T,$N48)/INDEX($O:$O,$N48),""))</f>
        <v/>
      </c>
      <c r="I48" s="10" t="str">
        <f t="array" ref="I48">IF($N48="","",INDEX(Summary!$BI:$BI,$N48))</f>
        <v/>
      </c>
      <c r="J48" s="10" t="str">
        <f t="array" ref="J48">IF($N48="","",INDEX(Summary!$BJ:$BJ,$N48))</f>
        <v/>
      </c>
      <c r="K48" s="7" t="str">
        <f t="array" ref="K48">IF($N48="","",INDEX(Summary!$BK:$BK,$N48))</f>
        <v/>
      </c>
      <c r="L48" s="7" t="str">
        <f t="array" ref="L48">IF($N48="","",INDEX(Summary!$BG:$BG,$N48))</f>
        <v/>
      </c>
      <c r="M48" s="1"/>
      <c r="N48" t="str">
        <f t="array" ref="N48">IFERROR(_xlfn.AGGREGATE(15,6,ROW(Summary!$D$3:$D$70)/(($R$3:$R$70&lt;0)*$P$3:$P$70*$Q$3:$Q$70*$U$3:$U$70),ROW()-27),"")</f>
        <v/>
      </c>
      <c r="O48">
        <f t="array" ref="O48">_xlfn.SWITCH($G$3,"MRP (Domestic)",Summary!G48,"ROW Manjari",Summary!H48,"USA Sea",Summary!I48,"Amazon USA Sea",Summary!J48,"USA Air",Summary!K48,"USA Amazon",Summary!L48,"UK",Summary!M48,"MENA",Summary!N48,Summary!O48)</f>
        <v>0</v>
      </c>
      <c r="P48">
        <f>--(ISNUMBER(Summary!$A48))*--(Summary!$D48&lt;&gt;"")</f>
        <v>0</v>
      </c>
      <c r="Q48">
        <f t="shared" si="5"/>
        <v>1</v>
      </c>
      <c r="R48">
        <f t="shared" si="6"/>
        <v>0</v>
      </c>
      <c r="S48" t="str">
        <f>IF(Summary!$D48="","",Summary!B48)</f>
        <v/>
      </c>
      <c r="T48">
        <f t="array" ref="T48">_xlfn.SWITCH($G$3,"MRP (Domestic)",IFERROR(_xlfn.XLOOKUP(Summary!$D48,Domestic!$C:$C,Domestic!$AU:$AU),0),"ROW Manjari",IFERROR(_xlfn.XLOOKUP(Summary!$D48,'INT-_Manjiri'!$C:$C,'INT-_Manjiri'!$AT:$AT),0),"USA Sea",IFERROR(_xlfn.XLOOKUP(Summary!$D48,'USA-_Sea_shipment'!$C:$C,'USA-_Sea_shipment'!#REF!),0),"Amazon USA Sea",IFERROR(_xlfn.XLOOKUP(Summary!$D48,Amazon_USA_Sea!$C:$C,Amazon_USA_Sea!$AT:$AT),0),"USA Air",IFERROR(_xlfn.XLOOKUP(Summary!$D48,USA_Air_Shipment!$C:$C,USA_Air_Shipment!$AS:$AS),0),"USA Amazon",IFERROR(_xlfn.XLOOKUP(Summary!$D48,Amazon_USA_Air_Shipment!$C:$C,Amazon_USA_Air_Shipment!$AS:$AS),0),"UK",IFERROR(_xlfn.XLOOKUP(Summary!$D48,UK!$C:$C,UK!$AW:$AW),0),"MENA",IFERROR(_xlfn.XLOOKUP(Summary!$D48,MENA!$C:$C,MENA!$AS:$AS),0),Summary!BB48)</f>
        <v>0</v>
      </c>
      <c r="U48">
        <f>IF($C$3="All",1,--(Summary!E48=$C$3))</f>
        <v>1</v>
      </c>
      <c r="Y48" t="str">
        <f>IF(Summary!E49="","",Summary!E49)</f>
        <v/>
      </c>
      <c r="Z48" t="str">
        <f t="shared" si="7"/>
        <v/>
      </c>
      <c r="AA48" t="str">
        <f t="shared" si="8"/>
        <v/>
      </c>
    </row>
    <row r="49" spans="1:27" ht="13">
      <c r="A49" s="7" t="str">
        <f t="shared" si="4"/>
        <v/>
      </c>
      <c r="B49" s="7" t="str">
        <f t="array" ref="B49">IF($N49="","",INDEX(Summary!$B:$B,$N49))</f>
        <v/>
      </c>
      <c r="C49" s="7" t="str">
        <f t="array" ref="C49">IF($N49="","",INDEX(Summary!$D:$D,$N49))</f>
        <v/>
      </c>
      <c r="D49" s="7" t="str">
        <f t="array" ref="D49">IF($N49="","",INDEX(Summary!$E:$E,$N49))</f>
        <v/>
      </c>
      <c r="E49" s="8" t="str">
        <f t="array" ref="E49">IF($N49="","",INDEX($O:$O,$N49))</f>
        <v/>
      </c>
      <c r="F49" s="8" t="str">
        <f t="array" ref="F49">IF($N49="","",INDEX($T:$T,$N49))</f>
        <v/>
      </c>
      <c r="G49" s="8" t="str">
        <f t="array" ref="G49">IF($N49="","",INDEX($R:$R,$N49))</f>
        <v/>
      </c>
      <c r="H49" s="9" t="str">
        <f t="array" ref="H49">IF($N49="","",IFERROR(INDEX($T:$T,$N49)/INDEX($O:$O,$N49),""))</f>
        <v/>
      </c>
      <c r="I49" s="10" t="str">
        <f t="array" ref="I49">IF($N49="","",INDEX(Summary!$BI:$BI,$N49))</f>
        <v/>
      </c>
      <c r="J49" s="10" t="str">
        <f t="array" ref="J49">IF($N49="","",INDEX(Summary!$BJ:$BJ,$N49))</f>
        <v/>
      </c>
      <c r="K49" s="7" t="str">
        <f t="array" ref="K49">IF($N49="","",INDEX(Summary!$BK:$BK,$N49))</f>
        <v/>
      </c>
      <c r="L49" s="7" t="str">
        <f t="array" ref="L49">IF($N49="","",INDEX(Summary!$BG:$BG,$N49))</f>
        <v/>
      </c>
      <c r="M49" s="1"/>
      <c r="N49" t="str">
        <f t="array" ref="N49">IFERROR(_xlfn.AGGREGATE(15,6,ROW(Summary!$D$3:$D$70)/(($R$3:$R$70&lt;0)*$P$3:$P$70*$Q$3:$Q$70*$U$3:$U$70),ROW()-27),"")</f>
        <v/>
      </c>
      <c r="O49">
        <f t="array" ref="O49">_xlfn.SWITCH($G$3,"MRP (Domestic)",Summary!G49,"ROW Manjari",Summary!H49,"USA Sea",Summary!I49,"Amazon USA Sea",Summary!J49,"USA Air",Summary!K49,"USA Amazon",Summary!L49,"UK",Summary!M49,"MENA",Summary!N49,Summary!O49)</f>
        <v>0</v>
      </c>
      <c r="P49">
        <f>--(ISNUMBER(Summary!$A49))*--(Summary!$D49&lt;&gt;"")</f>
        <v>0</v>
      </c>
      <c r="Q49">
        <f t="shared" si="5"/>
        <v>1</v>
      </c>
      <c r="R49">
        <f t="shared" si="6"/>
        <v>0</v>
      </c>
      <c r="S49" t="str">
        <f>IF(Summary!$D49="","",Summary!B49)</f>
        <v/>
      </c>
      <c r="T49">
        <f t="array" ref="T49">_xlfn.SWITCH($G$3,"MRP (Domestic)",IFERROR(_xlfn.XLOOKUP(Summary!$D49,Domestic!$C:$C,Domestic!$AU:$AU),0),"ROW Manjari",IFERROR(_xlfn.XLOOKUP(Summary!$D49,'INT-_Manjiri'!$C:$C,'INT-_Manjiri'!$AT:$AT),0),"USA Sea",IFERROR(_xlfn.XLOOKUP(Summary!$D49,'USA-_Sea_shipment'!$C:$C,'USA-_Sea_shipment'!#REF!),0),"Amazon USA Sea",IFERROR(_xlfn.XLOOKUP(Summary!$D49,Amazon_USA_Sea!$C:$C,Amazon_USA_Sea!$AT:$AT),0),"USA Air",IFERROR(_xlfn.XLOOKUP(Summary!$D49,USA_Air_Shipment!$C:$C,USA_Air_Shipment!$AS:$AS),0),"USA Amazon",IFERROR(_xlfn.XLOOKUP(Summary!$D49,Amazon_USA_Air_Shipment!$C:$C,Amazon_USA_Air_Shipment!$AS:$AS),0),"UK",IFERROR(_xlfn.XLOOKUP(Summary!$D49,UK!$C:$C,UK!$AW:$AW),0),"MENA",IFERROR(_xlfn.XLOOKUP(Summary!$D49,MENA!$C:$C,MENA!$AS:$AS),0),Summary!BB49)</f>
        <v>0</v>
      </c>
      <c r="U49">
        <f>IF($C$3="All",1,--(Summary!E49=$C$3))</f>
        <v>1</v>
      </c>
      <c r="Y49" t="str">
        <f>IF(Summary!E50="","",Summary!E50)</f>
        <v/>
      </c>
      <c r="Z49" t="str">
        <f t="shared" si="7"/>
        <v/>
      </c>
      <c r="AA49" t="str">
        <f t="shared" si="8"/>
        <v/>
      </c>
    </row>
    <row r="50" spans="1:27" ht="13">
      <c r="A50" s="7" t="str">
        <f t="shared" si="4"/>
        <v/>
      </c>
      <c r="B50" s="7" t="str">
        <f t="array" ref="B50">IF($N50="","",INDEX(Summary!$B:$B,$N50))</f>
        <v/>
      </c>
      <c r="C50" s="7" t="str">
        <f t="array" ref="C50">IF($N50="","",INDEX(Summary!$D:$D,$N50))</f>
        <v/>
      </c>
      <c r="D50" s="7" t="str">
        <f t="array" ref="D50">IF($N50="","",INDEX(Summary!$E:$E,$N50))</f>
        <v/>
      </c>
      <c r="E50" s="8" t="str">
        <f t="array" ref="E50">IF($N50="","",INDEX($O:$O,$N50))</f>
        <v/>
      </c>
      <c r="F50" s="8" t="str">
        <f t="array" ref="F50">IF($N50="","",INDEX($T:$T,$N50))</f>
        <v/>
      </c>
      <c r="G50" s="8" t="str">
        <f t="array" ref="G50">IF($N50="","",INDEX($R:$R,$N50))</f>
        <v/>
      </c>
      <c r="H50" s="9" t="str">
        <f t="array" ref="H50">IF($N50="","",IFERROR(INDEX($T:$T,$N50)/INDEX($O:$O,$N50),""))</f>
        <v/>
      </c>
      <c r="I50" s="10" t="str">
        <f t="array" ref="I50">IF($N50="","",INDEX(Summary!$BI:$BI,$N50))</f>
        <v/>
      </c>
      <c r="J50" s="10" t="str">
        <f t="array" ref="J50">IF($N50="","",INDEX(Summary!$BJ:$BJ,$N50))</f>
        <v/>
      </c>
      <c r="K50" s="7" t="str">
        <f t="array" ref="K50">IF($N50="","",INDEX(Summary!$BK:$BK,$N50))</f>
        <v/>
      </c>
      <c r="L50" s="7" t="str">
        <f t="array" ref="L50">IF($N50="","",INDEX(Summary!$BG:$BG,$N50))</f>
        <v/>
      </c>
      <c r="M50" s="1"/>
      <c r="N50" t="str">
        <f t="array" ref="N50">IFERROR(_xlfn.AGGREGATE(15,6,ROW(Summary!$D$3:$D$70)/(($R$3:$R$70&lt;0)*$P$3:$P$70*$Q$3:$Q$70*$U$3:$U$70),ROW()-27),"")</f>
        <v/>
      </c>
      <c r="O50">
        <f t="array" ref="O50">_xlfn.SWITCH($G$3,"MRP (Domestic)",Summary!G50,"ROW Manjari",Summary!H50,"USA Sea",Summary!I50,"Amazon USA Sea",Summary!J50,"USA Air",Summary!K50,"USA Amazon",Summary!L50,"UK",Summary!M50,"MENA",Summary!N50,Summary!O50)</f>
        <v>0</v>
      </c>
      <c r="P50">
        <f>--(ISNUMBER(Summary!$A50))*--(Summary!$D50&lt;&gt;"")</f>
        <v>0</v>
      </c>
      <c r="Q50">
        <f t="shared" si="5"/>
        <v>1</v>
      </c>
      <c r="R50">
        <f t="shared" si="6"/>
        <v>0</v>
      </c>
      <c r="S50" t="str">
        <f>IF(Summary!$D50="","",Summary!B50)</f>
        <v/>
      </c>
      <c r="T50">
        <f t="array" ref="T50">_xlfn.SWITCH($G$3,"MRP (Domestic)",IFERROR(_xlfn.XLOOKUP(Summary!$D50,Domestic!$C:$C,Domestic!$AU:$AU),0),"ROW Manjari",IFERROR(_xlfn.XLOOKUP(Summary!$D50,'INT-_Manjiri'!$C:$C,'INT-_Manjiri'!$AT:$AT),0),"USA Sea",IFERROR(_xlfn.XLOOKUP(Summary!$D50,'USA-_Sea_shipment'!$C:$C,'USA-_Sea_shipment'!#REF!),0),"Amazon USA Sea",IFERROR(_xlfn.XLOOKUP(Summary!$D50,Amazon_USA_Sea!$C:$C,Amazon_USA_Sea!$AT:$AT),0),"USA Air",IFERROR(_xlfn.XLOOKUP(Summary!$D50,USA_Air_Shipment!$C:$C,USA_Air_Shipment!$AS:$AS),0),"USA Amazon",IFERROR(_xlfn.XLOOKUP(Summary!$D50,Amazon_USA_Air_Shipment!$C:$C,Amazon_USA_Air_Shipment!$AS:$AS),0),"UK",IFERROR(_xlfn.XLOOKUP(Summary!$D50,UK!$C:$C,UK!$AW:$AW),0),"MENA",IFERROR(_xlfn.XLOOKUP(Summary!$D50,MENA!$C:$C,MENA!$AS:$AS),0),Summary!BB50)</f>
        <v>0</v>
      </c>
      <c r="U50">
        <f>IF($C$3="All",1,--(Summary!E50=$C$3))</f>
        <v>1</v>
      </c>
      <c r="Y50" t="str">
        <f>IF(Summary!E51="","",Summary!E51)</f>
        <v/>
      </c>
      <c r="Z50" t="str">
        <f t="shared" si="7"/>
        <v/>
      </c>
      <c r="AA50" t="str">
        <f t="shared" si="8"/>
        <v/>
      </c>
    </row>
    <row r="51" spans="1:27" ht="13">
      <c r="A51" s="7" t="str">
        <f t="shared" si="4"/>
        <v/>
      </c>
      <c r="B51" s="7" t="str">
        <f t="array" ref="B51">IF($N51="","",INDEX(Summary!$B:$B,$N51))</f>
        <v/>
      </c>
      <c r="C51" s="7" t="str">
        <f t="array" ref="C51">IF($N51="","",INDEX(Summary!$D:$D,$N51))</f>
        <v/>
      </c>
      <c r="D51" s="7" t="str">
        <f t="array" ref="D51">IF($N51="","",INDEX(Summary!$E:$E,$N51))</f>
        <v/>
      </c>
      <c r="E51" s="8" t="str">
        <f t="array" ref="E51">IF($N51="","",INDEX($O:$O,$N51))</f>
        <v/>
      </c>
      <c r="F51" s="8" t="str">
        <f t="array" ref="F51">IF($N51="","",INDEX($T:$T,$N51))</f>
        <v/>
      </c>
      <c r="G51" s="8" t="str">
        <f t="array" ref="G51">IF($N51="","",INDEX($R:$R,$N51))</f>
        <v/>
      </c>
      <c r="H51" s="9" t="str">
        <f t="array" ref="H51">IF($N51="","",IFERROR(INDEX($T:$T,$N51)/INDEX($O:$O,$N51),""))</f>
        <v/>
      </c>
      <c r="I51" s="10" t="str">
        <f t="array" ref="I51">IF($N51="","",INDEX(Summary!$BI:$BI,$N51))</f>
        <v/>
      </c>
      <c r="J51" s="10" t="str">
        <f t="array" ref="J51">IF($N51="","",INDEX(Summary!$BJ:$BJ,$N51))</f>
        <v/>
      </c>
      <c r="K51" s="7" t="str">
        <f t="array" ref="K51">IF($N51="","",INDEX(Summary!$BK:$BK,$N51))</f>
        <v/>
      </c>
      <c r="L51" s="7" t="str">
        <f t="array" ref="L51">IF($N51="","",INDEX(Summary!$BG:$BG,$N51))</f>
        <v/>
      </c>
      <c r="M51" s="1"/>
      <c r="N51" t="str">
        <f t="array" ref="N51">IFERROR(_xlfn.AGGREGATE(15,6,ROW(Summary!$D$3:$D$70)/(($R$3:$R$70&lt;0)*$P$3:$P$70*$Q$3:$Q$70*$U$3:$U$70),ROW()-27),"")</f>
        <v/>
      </c>
      <c r="O51">
        <f t="array" ref="O51">_xlfn.SWITCH($G$3,"MRP (Domestic)",Summary!G51,"ROW Manjari",Summary!H51,"USA Sea",Summary!I51,"Amazon USA Sea",Summary!J51,"USA Air",Summary!K51,"USA Amazon",Summary!L51,"UK",Summary!M51,"MENA",Summary!N51,Summary!O51)</f>
        <v>0</v>
      </c>
      <c r="P51">
        <f>--(ISNUMBER(Summary!$A51))*--(Summary!$D51&lt;&gt;"")</f>
        <v>0</v>
      </c>
      <c r="Q51">
        <f t="shared" si="5"/>
        <v>1</v>
      </c>
      <c r="R51">
        <f t="shared" si="6"/>
        <v>0</v>
      </c>
      <c r="S51" t="str">
        <f>IF(Summary!$D51="","",Summary!B51)</f>
        <v/>
      </c>
      <c r="T51">
        <f t="array" ref="T51">_xlfn.SWITCH($G$3,"MRP (Domestic)",IFERROR(_xlfn.XLOOKUP(Summary!$D51,Domestic!$C:$C,Domestic!$AU:$AU),0),"ROW Manjari",IFERROR(_xlfn.XLOOKUP(Summary!$D51,'INT-_Manjiri'!$C:$C,'INT-_Manjiri'!$AT:$AT),0),"USA Sea",IFERROR(_xlfn.XLOOKUP(Summary!$D51,'USA-_Sea_shipment'!$C:$C,'USA-_Sea_shipment'!#REF!),0),"Amazon USA Sea",IFERROR(_xlfn.XLOOKUP(Summary!$D51,Amazon_USA_Sea!$C:$C,Amazon_USA_Sea!$AT:$AT),0),"USA Air",IFERROR(_xlfn.XLOOKUP(Summary!$D51,USA_Air_Shipment!$C:$C,USA_Air_Shipment!$AS:$AS),0),"USA Amazon",IFERROR(_xlfn.XLOOKUP(Summary!$D51,Amazon_USA_Air_Shipment!$C:$C,Amazon_USA_Air_Shipment!$AS:$AS),0),"UK",IFERROR(_xlfn.XLOOKUP(Summary!$D51,UK!$C:$C,UK!$AW:$AW),0),"MENA",IFERROR(_xlfn.XLOOKUP(Summary!$D51,MENA!$C:$C,MENA!$AS:$AS),0),Summary!BB51)</f>
        <v>0</v>
      </c>
      <c r="U51">
        <f>IF($C$3="All",1,--(Summary!E51=$C$3))</f>
        <v>1</v>
      </c>
      <c r="Y51" t="str">
        <f>IF(Summary!E52="","",Summary!E52)</f>
        <v/>
      </c>
      <c r="Z51" t="str">
        <f t="shared" si="7"/>
        <v/>
      </c>
      <c r="AA51" t="str">
        <f t="shared" si="8"/>
        <v/>
      </c>
    </row>
    <row r="52" spans="1:27" ht="13">
      <c r="A52" s="7" t="str">
        <f t="shared" si="4"/>
        <v/>
      </c>
      <c r="B52" s="7" t="str">
        <f t="array" ref="B52">IF($N52="","",INDEX(Summary!$B:$B,$N52))</f>
        <v/>
      </c>
      <c r="C52" s="7" t="str">
        <f t="array" ref="C52">IF($N52="","",INDEX(Summary!$D:$D,$N52))</f>
        <v/>
      </c>
      <c r="D52" s="7" t="str">
        <f t="array" ref="D52">IF($N52="","",INDEX(Summary!$E:$E,$N52))</f>
        <v/>
      </c>
      <c r="E52" s="8" t="str">
        <f t="array" ref="E52">IF($N52="","",INDEX($O:$O,$N52))</f>
        <v/>
      </c>
      <c r="F52" s="8" t="str">
        <f t="array" ref="F52">IF($N52="","",INDEX($T:$T,$N52))</f>
        <v/>
      </c>
      <c r="G52" s="8" t="str">
        <f t="array" ref="G52">IF($N52="","",INDEX($R:$R,$N52))</f>
        <v/>
      </c>
      <c r="H52" s="9" t="str">
        <f t="array" ref="H52">IF($N52="","",IFERROR(INDEX($T:$T,$N52)/INDEX($O:$O,$N52),""))</f>
        <v/>
      </c>
      <c r="I52" s="10" t="str">
        <f t="array" ref="I52">IF($N52="","",INDEX(Summary!$BI:$BI,$N52))</f>
        <v/>
      </c>
      <c r="J52" s="10" t="str">
        <f t="array" ref="J52">IF($N52="","",INDEX(Summary!$BJ:$BJ,$N52))</f>
        <v/>
      </c>
      <c r="K52" s="7" t="str">
        <f t="array" ref="K52">IF($N52="","",INDEX(Summary!$BK:$BK,$N52))</f>
        <v/>
      </c>
      <c r="L52" s="7" t="str">
        <f t="array" ref="L52">IF($N52="","",INDEX(Summary!$BG:$BG,$N52))</f>
        <v/>
      </c>
      <c r="M52" s="1"/>
      <c r="N52" t="str">
        <f t="array" ref="N52">IFERROR(_xlfn.AGGREGATE(15,6,ROW(Summary!$D$3:$D$70)/(($R$3:$R$70&lt;0)*$P$3:$P$70*$Q$3:$Q$70*$U$3:$U$70),ROW()-27),"")</f>
        <v/>
      </c>
      <c r="O52">
        <f t="array" ref="O52">_xlfn.SWITCH($G$3,"MRP (Domestic)",Summary!G52,"ROW Manjari",Summary!H52,"USA Sea",Summary!I52,"Amazon USA Sea",Summary!J52,"USA Air",Summary!K52,"USA Amazon",Summary!L52,"UK",Summary!M52,"MENA",Summary!N52,Summary!O52)</f>
        <v>0</v>
      </c>
      <c r="P52">
        <f>--(ISNUMBER(Summary!$A52))*--(Summary!$D52&lt;&gt;"")</f>
        <v>0</v>
      </c>
      <c r="Q52">
        <f t="shared" si="5"/>
        <v>1</v>
      </c>
      <c r="R52">
        <f t="shared" si="6"/>
        <v>0</v>
      </c>
      <c r="S52" t="str">
        <f>IF(Summary!$D52="","",Summary!B52)</f>
        <v/>
      </c>
      <c r="T52">
        <f t="array" ref="T52">_xlfn.SWITCH($G$3,"MRP (Domestic)",IFERROR(_xlfn.XLOOKUP(Summary!$D52,Domestic!$C:$C,Domestic!$AU:$AU),0),"ROW Manjari",IFERROR(_xlfn.XLOOKUP(Summary!$D52,'INT-_Manjiri'!$C:$C,'INT-_Manjiri'!$AT:$AT),0),"USA Sea",IFERROR(_xlfn.XLOOKUP(Summary!$D52,'USA-_Sea_shipment'!$C:$C,'USA-_Sea_shipment'!#REF!),0),"Amazon USA Sea",IFERROR(_xlfn.XLOOKUP(Summary!$D52,Amazon_USA_Sea!$C:$C,Amazon_USA_Sea!$AT:$AT),0),"USA Air",IFERROR(_xlfn.XLOOKUP(Summary!$D52,USA_Air_Shipment!$C:$C,USA_Air_Shipment!$AS:$AS),0),"USA Amazon",IFERROR(_xlfn.XLOOKUP(Summary!$D52,Amazon_USA_Air_Shipment!$C:$C,Amazon_USA_Air_Shipment!$AS:$AS),0),"UK",IFERROR(_xlfn.XLOOKUP(Summary!$D52,UK!$C:$C,UK!$AW:$AW),0),"MENA",IFERROR(_xlfn.XLOOKUP(Summary!$D52,MENA!$C:$C,MENA!$AS:$AS),0),Summary!BB52)</f>
        <v>0</v>
      </c>
      <c r="U52">
        <f>IF($C$3="All",1,--(Summary!E52=$C$3))</f>
        <v>1</v>
      </c>
      <c r="Y52" t="str">
        <f>IF(Summary!E53="","",Summary!E53)</f>
        <v/>
      </c>
      <c r="Z52" t="str">
        <f t="shared" si="7"/>
        <v/>
      </c>
      <c r="AA52" t="str">
        <f t="shared" si="8"/>
        <v/>
      </c>
    </row>
    <row r="53" spans="1:27" ht="13">
      <c r="A53" s="7" t="str">
        <f t="shared" si="4"/>
        <v/>
      </c>
      <c r="B53" s="7" t="str">
        <f t="array" ref="B53">IF($N53="","",INDEX(Summary!$B:$B,$N53))</f>
        <v/>
      </c>
      <c r="C53" s="7" t="str">
        <f t="array" ref="C53">IF($N53="","",INDEX(Summary!$D:$D,$N53))</f>
        <v/>
      </c>
      <c r="D53" s="7" t="str">
        <f t="array" ref="D53">IF($N53="","",INDEX(Summary!$E:$E,$N53))</f>
        <v/>
      </c>
      <c r="E53" s="8" t="str">
        <f t="array" ref="E53">IF($N53="","",INDEX($O:$O,$N53))</f>
        <v/>
      </c>
      <c r="F53" s="8" t="str">
        <f t="array" ref="F53">IF($N53="","",INDEX($T:$T,$N53))</f>
        <v/>
      </c>
      <c r="G53" s="8" t="str">
        <f t="array" ref="G53">IF($N53="","",INDEX($R:$R,$N53))</f>
        <v/>
      </c>
      <c r="H53" s="9" t="str">
        <f t="array" ref="H53">IF($N53="","",IFERROR(INDEX($T:$T,$N53)/INDEX($O:$O,$N53),""))</f>
        <v/>
      </c>
      <c r="I53" s="10" t="str">
        <f t="array" ref="I53">IF($N53="","",INDEX(Summary!$BI:$BI,$N53))</f>
        <v/>
      </c>
      <c r="J53" s="10" t="str">
        <f t="array" ref="J53">IF($N53="","",INDEX(Summary!$BJ:$BJ,$N53))</f>
        <v/>
      </c>
      <c r="K53" s="7" t="str">
        <f t="array" ref="K53">IF($N53="","",INDEX(Summary!$BK:$BK,$N53))</f>
        <v/>
      </c>
      <c r="L53" s="7" t="str">
        <f t="array" ref="L53">IF($N53="","",INDEX(Summary!$BG:$BG,$N53))</f>
        <v/>
      </c>
      <c r="M53" s="1"/>
      <c r="N53" t="str">
        <f t="array" ref="N53">IFERROR(_xlfn.AGGREGATE(15,6,ROW(Summary!$D$3:$D$70)/(($R$3:$R$70&lt;0)*$P$3:$P$70*$Q$3:$Q$70*$U$3:$U$70),ROW()-27),"")</f>
        <v/>
      </c>
      <c r="O53">
        <f t="array" ref="O53">_xlfn.SWITCH($G$3,"MRP (Domestic)",Summary!G53,"ROW Manjari",Summary!H53,"USA Sea",Summary!I53,"Amazon USA Sea",Summary!J53,"USA Air",Summary!K53,"USA Amazon",Summary!L53,"UK",Summary!M53,"MENA",Summary!N53,Summary!O53)</f>
        <v>0</v>
      </c>
      <c r="P53">
        <f>--(ISNUMBER(Summary!$A53))*--(Summary!$D53&lt;&gt;"")</f>
        <v>0</v>
      </c>
      <c r="Q53">
        <f t="shared" si="5"/>
        <v>1</v>
      </c>
      <c r="R53">
        <f t="shared" si="6"/>
        <v>0</v>
      </c>
      <c r="S53" t="str">
        <f>IF(Summary!$D53="","",Summary!B53)</f>
        <v/>
      </c>
      <c r="T53">
        <f t="array" ref="T53">_xlfn.SWITCH($G$3,"MRP (Domestic)",IFERROR(_xlfn.XLOOKUP(Summary!$D53,Domestic!$C:$C,Domestic!$AU:$AU),0),"ROW Manjari",IFERROR(_xlfn.XLOOKUP(Summary!$D53,'INT-_Manjiri'!$C:$C,'INT-_Manjiri'!$AT:$AT),0),"USA Sea",IFERROR(_xlfn.XLOOKUP(Summary!$D53,'USA-_Sea_shipment'!$C:$C,'USA-_Sea_shipment'!#REF!),0),"Amazon USA Sea",IFERROR(_xlfn.XLOOKUP(Summary!$D53,Amazon_USA_Sea!$C:$C,Amazon_USA_Sea!$AT:$AT),0),"USA Air",IFERROR(_xlfn.XLOOKUP(Summary!$D53,USA_Air_Shipment!$C:$C,USA_Air_Shipment!$AS:$AS),0),"USA Amazon",IFERROR(_xlfn.XLOOKUP(Summary!$D53,Amazon_USA_Air_Shipment!$C:$C,Amazon_USA_Air_Shipment!$AS:$AS),0),"UK",IFERROR(_xlfn.XLOOKUP(Summary!$D53,UK!$C:$C,UK!$AW:$AW),0),"MENA",IFERROR(_xlfn.XLOOKUP(Summary!$D53,MENA!$C:$C,MENA!$AS:$AS),0),Summary!BB53)</f>
        <v>0</v>
      </c>
      <c r="U53">
        <f>IF($C$3="All",1,--(Summary!E53=$C$3))</f>
        <v>1</v>
      </c>
      <c r="Y53" t="str">
        <f>IF(Summary!E54="","",Summary!E54)</f>
        <v/>
      </c>
      <c r="Z53" t="str">
        <f t="shared" si="7"/>
        <v/>
      </c>
      <c r="AA53" t="str">
        <f t="shared" si="8"/>
        <v/>
      </c>
    </row>
    <row r="54" spans="1:27" ht="13">
      <c r="A54" s="7" t="str">
        <f t="shared" si="4"/>
        <v/>
      </c>
      <c r="B54" s="7" t="str">
        <f t="array" ref="B54">IF($N54="","",INDEX(Summary!$B:$B,$N54))</f>
        <v/>
      </c>
      <c r="C54" s="7" t="str">
        <f t="array" ref="C54">IF($N54="","",INDEX(Summary!$D:$D,$N54))</f>
        <v/>
      </c>
      <c r="D54" s="7" t="str">
        <f t="array" ref="D54">IF($N54="","",INDEX(Summary!$E:$E,$N54))</f>
        <v/>
      </c>
      <c r="E54" s="8" t="str">
        <f t="array" ref="E54">IF($N54="","",INDEX($O:$O,$N54))</f>
        <v/>
      </c>
      <c r="F54" s="8" t="str">
        <f t="array" ref="F54">IF($N54="","",INDEX($T:$T,$N54))</f>
        <v/>
      </c>
      <c r="G54" s="8" t="str">
        <f t="array" ref="G54">IF($N54="","",INDEX($R:$R,$N54))</f>
        <v/>
      </c>
      <c r="H54" s="9" t="str">
        <f t="array" ref="H54">IF($N54="","",IFERROR(INDEX($T:$T,$N54)/INDEX($O:$O,$N54),""))</f>
        <v/>
      </c>
      <c r="I54" s="10" t="str">
        <f t="array" ref="I54">IF($N54="","",INDEX(Summary!$BI:$BI,$N54))</f>
        <v/>
      </c>
      <c r="J54" s="10" t="str">
        <f t="array" ref="J54">IF($N54="","",INDEX(Summary!$BJ:$BJ,$N54))</f>
        <v/>
      </c>
      <c r="K54" s="7" t="str">
        <f t="array" ref="K54">IF($N54="","",INDEX(Summary!$BK:$BK,$N54))</f>
        <v/>
      </c>
      <c r="L54" s="7" t="str">
        <f t="array" ref="L54">IF($N54="","",INDEX(Summary!$BG:$BG,$N54))</f>
        <v/>
      </c>
      <c r="M54" s="1"/>
      <c r="N54" t="str">
        <f t="array" ref="N54">IFERROR(_xlfn.AGGREGATE(15,6,ROW(Summary!$D$3:$D$70)/(($R$3:$R$70&lt;0)*$P$3:$P$70*$Q$3:$Q$70*$U$3:$U$70),ROW()-27),"")</f>
        <v/>
      </c>
      <c r="O54">
        <f t="array" ref="O54">_xlfn.SWITCH($G$3,"MRP (Domestic)",Summary!G54,"ROW Manjari",Summary!H54,"USA Sea",Summary!I54,"Amazon USA Sea",Summary!J54,"USA Air",Summary!K54,"USA Amazon",Summary!L54,"UK",Summary!M54,"MENA",Summary!N54,Summary!O54)</f>
        <v>0</v>
      </c>
      <c r="P54">
        <f>--(ISNUMBER(Summary!$A54))*--(Summary!$D54&lt;&gt;"")</f>
        <v>0</v>
      </c>
      <c r="Q54">
        <f t="shared" si="5"/>
        <v>1</v>
      </c>
      <c r="R54">
        <f t="shared" si="6"/>
        <v>0</v>
      </c>
      <c r="S54" t="str">
        <f>IF(Summary!$D54="","",Summary!B54)</f>
        <v/>
      </c>
      <c r="T54">
        <f t="array" ref="T54">_xlfn.SWITCH($G$3,"MRP (Domestic)",IFERROR(_xlfn.XLOOKUP(Summary!$D54,Domestic!$C:$C,Domestic!$AU:$AU),0),"ROW Manjari",IFERROR(_xlfn.XLOOKUP(Summary!$D54,'INT-_Manjiri'!$C:$C,'INT-_Manjiri'!$AT:$AT),0),"USA Sea",IFERROR(_xlfn.XLOOKUP(Summary!$D54,'USA-_Sea_shipment'!$C:$C,'USA-_Sea_shipment'!#REF!),0),"Amazon USA Sea",IFERROR(_xlfn.XLOOKUP(Summary!$D54,Amazon_USA_Sea!$C:$C,Amazon_USA_Sea!$AT:$AT),0),"USA Air",IFERROR(_xlfn.XLOOKUP(Summary!$D54,USA_Air_Shipment!$C:$C,USA_Air_Shipment!$AS:$AS),0),"USA Amazon",IFERROR(_xlfn.XLOOKUP(Summary!$D54,Amazon_USA_Air_Shipment!$C:$C,Amazon_USA_Air_Shipment!$AS:$AS),0),"UK",IFERROR(_xlfn.XLOOKUP(Summary!$D54,UK!$C:$C,UK!$AW:$AW),0),"MENA",IFERROR(_xlfn.XLOOKUP(Summary!$D54,MENA!$C:$C,MENA!$AS:$AS),0),Summary!BB54)</f>
        <v>0</v>
      </c>
      <c r="U54">
        <f>IF($C$3="All",1,--(Summary!E54=$C$3))</f>
        <v>1</v>
      </c>
      <c r="Y54" t="str">
        <f>IF(Summary!E55="","",Summary!E55)</f>
        <v/>
      </c>
      <c r="Z54" t="str">
        <f t="shared" si="7"/>
        <v/>
      </c>
      <c r="AA54" t="str">
        <f t="shared" si="8"/>
        <v/>
      </c>
    </row>
    <row r="55" spans="1:27" ht="13">
      <c r="A55" s="7" t="str">
        <f t="shared" si="4"/>
        <v/>
      </c>
      <c r="B55" s="7" t="str">
        <f t="array" ref="B55">IF($N55="","",INDEX(Summary!$B:$B,$N55))</f>
        <v/>
      </c>
      <c r="C55" s="7" t="str">
        <f t="array" ref="C55">IF($N55="","",INDEX(Summary!$D:$D,$N55))</f>
        <v/>
      </c>
      <c r="D55" s="7" t="str">
        <f t="array" ref="D55">IF($N55="","",INDEX(Summary!$E:$E,$N55))</f>
        <v/>
      </c>
      <c r="E55" s="8" t="str">
        <f t="array" ref="E55">IF($N55="","",INDEX($O:$O,$N55))</f>
        <v/>
      </c>
      <c r="F55" s="8" t="str">
        <f t="array" ref="F55">IF($N55="","",INDEX($T:$T,$N55))</f>
        <v/>
      </c>
      <c r="G55" s="8" t="str">
        <f t="array" ref="G55">IF($N55="","",INDEX($R:$R,$N55))</f>
        <v/>
      </c>
      <c r="H55" s="9" t="str">
        <f t="array" ref="H55">IF($N55="","",IFERROR(INDEX($T:$T,$N55)/INDEX($O:$O,$N55),""))</f>
        <v/>
      </c>
      <c r="I55" s="10" t="str">
        <f t="array" ref="I55">IF($N55="","",INDEX(Summary!$BI:$BI,$N55))</f>
        <v/>
      </c>
      <c r="J55" s="10" t="str">
        <f t="array" ref="J55">IF($N55="","",INDEX(Summary!$BJ:$BJ,$N55))</f>
        <v/>
      </c>
      <c r="K55" s="7" t="str">
        <f t="array" ref="K55">IF($N55="","",INDEX(Summary!$BK:$BK,$N55))</f>
        <v/>
      </c>
      <c r="L55" s="7" t="str">
        <f t="array" ref="L55">IF($N55="","",INDEX(Summary!$BG:$BG,$N55))</f>
        <v/>
      </c>
      <c r="M55" s="1"/>
      <c r="N55" t="str">
        <f t="array" ref="N55">IFERROR(_xlfn.AGGREGATE(15,6,ROW(Summary!$D$3:$D$70)/(($R$3:$R$70&lt;0)*$P$3:$P$70*$Q$3:$Q$70*$U$3:$U$70),ROW()-27),"")</f>
        <v/>
      </c>
      <c r="O55">
        <f t="array" ref="O55">_xlfn.SWITCH($G$3,"MRP (Domestic)",Summary!G55,"ROW Manjari",Summary!H55,"USA Sea",Summary!I55,"Amazon USA Sea",Summary!J55,"USA Air",Summary!K55,"USA Amazon",Summary!L55,"UK",Summary!M55,"MENA",Summary!N55,Summary!O55)</f>
        <v>0</v>
      </c>
      <c r="P55">
        <f>--(ISNUMBER(Summary!$A55))*--(Summary!$D55&lt;&gt;"")</f>
        <v>0</v>
      </c>
      <c r="Q55">
        <f t="shared" si="5"/>
        <v>1</v>
      </c>
      <c r="R55">
        <f t="shared" si="6"/>
        <v>0</v>
      </c>
      <c r="S55" t="str">
        <f>IF(Summary!$D55="","",Summary!B55)</f>
        <v/>
      </c>
      <c r="T55">
        <f t="array" ref="T55">_xlfn.SWITCH($G$3,"MRP (Domestic)",IFERROR(_xlfn.XLOOKUP(Summary!$D55,Domestic!$C:$C,Domestic!$AU:$AU),0),"ROW Manjari",IFERROR(_xlfn.XLOOKUP(Summary!$D55,'INT-_Manjiri'!$C:$C,'INT-_Manjiri'!$AT:$AT),0),"USA Sea",IFERROR(_xlfn.XLOOKUP(Summary!$D55,'USA-_Sea_shipment'!$C:$C,'USA-_Sea_shipment'!#REF!),0),"Amazon USA Sea",IFERROR(_xlfn.XLOOKUP(Summary!$D55,Amazon_USA_Sea!$C:$C,Amazon_USA_Sea!$AT:$AT),0),"USA Air",IFERROR(_xlfn.XLOOKUP(Summary!$D55,USA_Air_Shipment!$C:$C,USA_Air_Shipment!$AS:$AS),0),"USA Amazon",IFERROR(_xlfn.XLOOKUP(Summary!$D55,Amazon_USA_Air_Shipment!$C:$C,Amazon_USA_Air_Shipment!$AS:$AS),0),"UK",IFERROR(_xlfn.XLOOKUP(Summary!$D55,UK!$C:$C,UK!$AW:$AW),0),"MENA",IFERROR(_xlfn.XLOOKUP(Summary!$D55,MENA!$C:$C,MENA!$AS:$AS),0),Summary!BB55)</f>
        <v>0</v>
      </c>
      <c r="U55">
        <f>IF($C$3="All",1,--(Summary!E55=$C$3))</f>
        <v>1</v>
      </c>
      <c r="Y55" t="str">
        <f>IF(Summary!E56="","",Summary!E56)</f>
        <v/>
      </c>
      <c r="Z55" t="str">
        <f t="shared" si="7"/>
        <v/>
      </c>
      <c r="AA55" t="str">
        <f t="shared" si="8"/>
        <v/>
      </c>
    </row>
    <row r="56" spans="1:27" ht="13">
      <c r="A56" s="7" t="str">
        <f t="shared" si="4"/>
        <v/>
      </c>
      <c r="B56" s="7" t="str">
        <f t="array" ref="B56">IF($N56="","",INDEX(Summary!$B:$B,$N56))</f>
        <v/>
      </c>
      <c r="C56" s="7" t="str">
        <f t="array" ref="C56">IF($N56="","",INDEX(Summary!$D:$D,$N56))</f>
        <v/>
      </c>
      <c r="D56" s="7" t="str">
        <f t="array" ref="D56">IF($N56="","",INDEX(Summary!$E:$E,$N56))</f>
        <v/>
      </c>
      <c r="E56" s="8" t="str">
        <f t="array" ref="E56">IF($N56="","",INDEX($O:$O,$N56))</f>
        <v/>
      </c>
      <c r="F56" s="8" t="str">
        <f t="array" ref="F56">IF($N56="","",INDEX($T:$T,$N56))</f>
        <v/>
      </c>
      <c r="G56" s="8" t="str">
        <f t="array" ref="G56">IF($N56="","",INDEX($R:$R,$N56))</f>
        <v/>
      </c>
      <c r="H56" s="9" t="str">
        <f t="array" ref="H56">IF($N56="","",IFERROR(INDEX($T:$T,$N56)/INDEX($O:$O,$N56),""))</f>
        <v/>
      </c>
      <c r="I56" s="10" t="str">
        <f t="array" ref="I56">IF($N56="","",INDEX(Summary!$BI:$BI,$N56))</f>
        <v/>
      </c>
      <c r="J56" s="10" t="str">
        <f t="array" ref="J56">IF($N56="","",INDEX(Summary!$BJ:$BJ,$N56))</f>
        <v/>
      </c>
      <c r="K56" s="7" t="str">
        <f t="array" ref="K56">IF($N56="","",INDEX(Summary!$BK:$BK,$N56))</f>
        <v/>
      </c>
      <c r="L56" s="7" t="str">
        <f t="array" ref="L56">IF($N56="","",INDEX(Summary!$BG:$BG,$N56))</f>
        <v/>
      </c>
      <c r="M56" s="1"/>
      <c r="N56" t="str">
        <f t="array" ref="N56">IFERROR(_xlfn.AGGREGATE(15,6,ROW(Summary!$D$3:$D$70)/(($R$3:$R$70&lt;0)*$P$3:$P$70*$Q$3:$Q$70*$U$3:$U$70),ROW()-27),"")</f>
        <v/>
      </c>
      <c r="O56">
        <f t="array" ref="O56">_xlfn.SWITCH($G$3,"MRP (Domestic)",Summary!G56,"ROW Manjari",Summary!H56,"USA Sea",Summary!I56,"Amazon USA Sea",Summary!J56,"USA Air",Summary!K56,"USA Amazon",Summary!L56,"UK",Summary!M56,"MENA",Summary!N56,Summary!O56)</f>
        <v>0</v>
      </c>
      <c r="P56">
        <f>--(ISNUMBER(Summary!$A56))*--(Summary!$D56&lt;&gt;"")</f>
        <v>0</v>
      </c>
      <c r="Q56">
        <f t="shared" si="5"/>
        <v>1</v>
      </c>
      <c r="R56">
        <f t="shared" si="6"/>
        <v>0</v>
      </c>
      <c r="S56" t="str">
        <f>IF(Summary!$D56="","",Summary!B56)</f>
        <v/>
      </c>
      <c r="T56">
        <f t="array" ref="T56">_xlfn.SWITCH($G$3,"MRP (Domestic)",IFERROR(_xlfn.XLOOKUP(Summary!$D56,Domestic!$C:$C,Domestic!$AU:$AU),0),"ROW Manjari",IFERROR(_xlfn.XLOOKUP(Summary!$D56,'INT-_Manjiri'!$C:$C,'INT-_Manjiri'!$AT:$AT),0),"USA Sea",IFERROR(_xlfn.XLOOKUP(Summary!$D56,'USA-_Sea_shipment'!$C:$C,'USA-_Sea_shipment'!#REF!),0),"Amazon USA Sea",IFERROR(_xlfn.XLOOKUP(Summary!$D56,Amazon_USA_Sea!$C:$C,Amazon_USA_Sea!$AT:$AT),0),"USA Air",IFERROR(_xlfn.XLOOKUP(Summary!$D56,USA_Air_Shipment!$C:$C,USA_Air_Shipment!$AS:$AS),0),"USA Amazon",IFERROR(_xlfn.XLOOKUP(Summary!$D56,Amazon_USA_Air_Shipment!$C:$C,Amazon_USA_Air_Shipment!$AS:$AS),0),"UK",IFERROR(_xlfn.XLOOKUP(Summary!$D56,UK!$C:$C,UK!$AW:$AW),0),"MENA",IFERROR(_xlfn.XLOOKUP(Summary!$D56,MENA!$C:$C,MENA!$AS:$AS),0),Summary!BB56)</f>
        <v>0</v>
      </c>
      <c r="U56">
        <f>IF($C$3="All",1,--(Summary!E56=$C$3))</f>
        <v>1</v>
      </c>
      <c r="Y56" t="str">
        <f>IF(Summary!E57="","",Summary!E57)</f>
        <v/>
      </c>
      <c r="Z56" t="str">
        <f t="shared" si="7"/>
        <v/>
      </c>
      <c r="AA56" t="str">
        <f t="shared" si="8"/>
        <v/>
      </c>
    </row>
    <row r="57" spans="1:27" ht="13">
      <c r="A57" s="7" t="str">
        <f t="shared" si="4"/>
        <v/>
      </c>
      <c r="B57" s="7" t="str">
        <f t="array" ref="B57">IF($N57="","",INDEX(Summary!$B:$B,$N57))</f>
        <v/>
      </c>
      <c r="C57" s="7" t="str">
        <f t="array" ref="C57">IF($N57="","",INDEX(Summary!$D:$D,$N57))</f>
        <v/>
      </c>
      <c r="D57" s="7" t="str">
        <f t="array" ref="D57">IF($N57="","",INDEX(Summary!$E:$E,$N57))</f>
        <v/>
      </c>
      <c r="E57" s="8" t="str">
        <f t="array" ref="E57">IF($N57="","",INDEX($O:$O,$N57))</f>
        <v/>
      </c>
      <c r="F57" s="8" t="str">
        <f t="array" ref="F57">IF($N57="","",INDEX($T:$T,$N57))</f>
        <v/>
      </c>
      <c r="G57" s="8" t="str">
        <f t="array" ref="G57">IF($N57="","",INDEX($R:$R,$N57))</f>
        <v/>
      </c>
      <c r="H57" s="9" t="str">
        <f t="array" ref="H57">IF($N57="","",IFERROR(INDEX($T:$T,$N57)/INDEX($O:$O,$N57),""))</f>
        <v/>
      </c>
      <c r="I57" s="10" t="str">
        <f t="array" ref="I57">IF($N57="","",INDEX(Summary!$BI:$BI,$N57))</f>
        <v/>
      </c>
      <c r="J57" s="10" t="str">
        <f t="array" ref="J57">IF($N57="","",INDEX(Summary!$BJ:$BJ,$N57))</f>
        <v/>
      </c>
      <c r="K57" s="7" t="str">
        <f t="array" ref="K57">IF($N57="","",INDEX(Summary!$BK:$BK,$N57))</f>
        <v/>
      </c>
      <c r="L57" s="7" t="str">
        <f t="array" ref="L57">IF($N57="","",INDEX(Summary!$BG:$BG,$N57))</f>
        <v/>
      </c>
      <c r="M57" s="1"/>
      <c r="N57" t="str">
        <f t="array" ref="N57">IFERROR(_xlfn.AGGREGATE(15,6,ROW(Summary!$D$3:$D$70)/(($R$3:$R$70&lt;0)*$P$3:$P$70*$Q$3:$Q$70*$U$3:$U$70),ROW()-27),"")</f>
        <v/>
      </c>
      <c r="O57">
        <f t="array" ref="O57">_xlfn.SWITCH($G$3,"MRP (Domestic)",Summary!G57,"ROW Manjari",Summary!H57,"USA Sea",Summary!I57,"Amazon USA Sea",Summary!J57,"USA Air",Summary!K57,"USA Amazon",Summary!L57,"UK",Summary!M57,"MENA",Summary!N57,Summary!O57)</f>
        <v>0</v>
      </c>
      <c r="P57">
        <f>--(ISNUMBER(Summary!$A57))*--(Summary!$D57&lt;&gt;"")</f>
        <v>0</v>
      </c>
      <c r="Q57">
        <f t="shared" si="5"/>
        <v>1</v>
      </c>
      <c r="R57">
        <f t="shared" si="6"/>
        <v>0</v>
      </c>
      <c r="S57" t="str">
        <f>IF(Summary!$D57="","",Summary!B57)</f>
        <v/>
      </c>
      <c r="T57">
        <f t="array" ref="T57">_xlfn.SWITCH($G$3,"MRP (Domestic)",IFERROR(_xlfn.XLOOKUP(Summary!$D57,Domestic!$C:$C,Domestic!$AU:$AU),0),"ROW Manjari",IFERROR(_xlfn.XLOOKUP(Summary!$D57,'INT-_Manjiri'!$C:$C,'INT-_Manjiri'!$AT:$AT),0),"USA Sea",IFERROR(_xlfn.XLOOKUP(Summary!$D57,'USA-_Sea_shipment'!$C:$C,'USA-_Sea_shipment'!#REF!),0),"Amazon USA Sea",IFERROR(_xlfn.XLOOKUP(Summary!$D57,Amazon_USA_Sea!$C:$C,Amazon_USA_Sea!$AT:$AT),0),"USA Air",IFERROR(_xlfn.XLOOKUP(Summary!$D57,USA_Air_Shipment!$C:$C,USA_Air_Shipment!$AS:$AS),0),"USA Amazon",IFERROR(_xlfn.XLOOKUP(Summary!$D57,Amazon_USA_Air_Shipment!$C:$C,Amazon_USA_Air_Shipment!$AS:$AS),0),"UK",IFERROR(_xlfn.XLOOKUP(Summary!$D57,UK!$C:$C,UK!$AW:$AW),0),"MENA",IFERROR(_xlfn.XLOOKUP(Summary!$D57,MENA!$C:$C,MENA!$AS:$AS),0),Summary!BB57)</f>
        <v>0</v>
      </c>
      <c r="U57">
        <f>IF($C$3="All",1,--(Summary!E57=$C$3))</f>
        <v>1</v>
      </c>
      <c r="Y57" t="str">
        <f>IF(Summary!E58="","",Summary!E58)</f>
        <v/>
      </c>
      <c r="Z57" t="str">
        <f t="shared" si="7"/>
        <v/>
      </c>
      <c r="AA57" t="str">
        <f t="shared" si="8"/>
        <v/>
      </c>
    </row>
    <row r="58" spans="1:27" ht="13">
      <c r="A58" s="7" t="str">
        <f t="shared" si="4"/>
        <v/>
      </c>
      <c r="B58" s="7" t="str">
        <f t="array" ref="B58">IF($N58="","",INDEX(Summary!$B:$B,$N58))</f>
        <v/>
      </c>
      <c r="C58" s="7" t="str">
        <f t="array" ref="C58">IF($N58="","",INDEX(Summary!$D:$D,$N58))</f>
        <v/>
      </c>
      <c r="D58" s="7" t="str">
        <f t="array" ref="D58">IF($N58="","",INDEX(Summary!$E:$E,$N58))</f>
        <v/>
      </c>
      <c r="E58" s="8" t="str">
        <f t="array" ref="E58">IF($N58="","",INDEX($O:$O,$N58))</f>
        <v/>
      </c>
      <c r="F58" s="8" t="str">
        <f t="array" ref="F58">IF($N58="","",INDEX($T:$T,$N58))</f>
        <v/>
      </c>
      <c r="G58" s="8" t="str">
        <f t="array" ref="G58">IF($N58="","",INDEX($R:$R,$N58))</f>
        <v/>
      </c>
      <c r="H58" s="9" t="str">
        <f t="array" ref="H58">IF($N58="","",IFERROR(INDEX($T:$T,$N58)/INDEX($O:$O,$N58),""))</f>
        <v/>
      </c>
      <c r="I58" s="10" t="str">
        <f t="array" ref="I58">IF($N58="","",INDEX(Summary!$BI:$BI,$N58))</f>
        <v/>
      </c>
      <c r="J58" s="10" t="str">
        <f t="array" ref="J58">IF($N58="","",INDEX(Summary!$BJ:$BJ,$N58))</f>
        <v/>
      </c>
      <c r="K58" s="7" t="str">
        <f t="array" ref="K58">IF($N58="","",INDEX(Summary!$BK:$BK,$N58))</f>
        <v/>
      </c>
      <c r="L58" s="7" t="str">
        <f t="array" ref="L58">IF($N58="","",INDEX(Summary!$BG:$BG,$N58))</f>
        <v/>
      </c>
      <c r="M58" s="1"/>
      <c r="N58" t="str">
        <f t="array" ref="N58">IFERROR(_xlfn.AGGREGATE(15,6,ROW(Summary!$D$3:$D$70)/(($R$3:$R$70&lt;0)*$P$3:$P$70*$Q$3:$Q$70*$U$3:$U$70),ROW()-27),"")</f>
        <v/>
      </c>
      <c r="O58">
        <f t="array" ref="O58">_xlfn.SWITCH($G$3,"MRP (Domestic)",Summary!G58,"ROW Manjari",Summary!H58,"USA Sea",Summary!I58,"Amazon USA Sea",Summary!J58,"USA Air",Summary!K58,"USA Amazon",Summary!L58,"UK",Summary!M58,"MENA",Summary!N58,Summary!O58)</f>
        <v>0</v>
      </c>
      <c r="P58">
        <f>--(ISNUMBER(Summary!$A58))*--(Summary!$D58&lt;&gt;"")</f>
        <v>0</v>
      </c>
      <c r="Q58">
        <f t="shared" si="5"/>
        <v>1</v>
      </c>
      <c r="R58">
        <f t="shared" si="6"/>
        <v>0</v>
      </c>
      <c r="S58" t="str">
        <f>IF(Summary!$D58="","",Summary!B58)</f>
        <v/>
      </c>
      <c r="T58">
        <f t="array" ref="T58">_xlfn.SWITCH($G$3,"MRP (Domestic)",IFERROR(_xlfn.XLOOKUP(Summary!$D58,Domestic!$C:$C,Domestic!$AU:$AU),0),"ROW Manjari",IFERROR(_xlfn.XLOOKUP(Summary!$D58,'INT-_Manjiri'!$C:$C,'INT-_Manjiri'!$AT:$AT),0),"USA Sea",IFERROR(_xlfn.XLOOKUP(Summary!$D58,'USA-_Sea_shipment'!$C:$C,'USA-_Sea_shipment'!#REF!),0),"Amazon USA Sea",IFERROR(_xlfn.XLOOKUP(Summary!$D58,Amazon_USA_Sea!$C:$C,Amazon_USA_Sea!$AT:$AT),0),"USA Air",IFERROR(_xlfn.XLOOKUP(Summary!$D58,USA_Air_Shipment!$C:$C,USA_Air_Shipment!$AS:$AS),0),"USA Amazon",IFERROR(_xlfn.XLOOKUP(Summary!$D58,Amazon_USA_Air_Shipment!$C:$C,Amazon_USA_Air_Shipment!$AS:$AS),0),"UK",IFERROR(_xlfn.XLOOKUP(Summary!$D58,UK!$C:$C,UK!$AW:$AW),0),"MENA",IFERROR(_xlfn.XLOOKUP(Summary!$D58,MENA!$C:$C,MENA!$AS:$AS),0),Summary!BB58)</f>
        <v>0</v>
      </c>
      <c r="U58">
        <f>IF($C$3="All",1,--(Summary!E58=$C$3))</f>
        <v>1</v>
      </c>
      <c r="Y58" t="str">
        <f>IF(Summary!E59="","",Summary!E59)</f>
        <v/>
      </c>
      <c r="Z58" t="str">
        <f t="shared" si="7"/>
        <v/>
      </c>
      <c r="AA58" t="str">
        <f t="shared" si="8"/>
        <v/>
      </c>
    </row>
    <row r="59" spans="1:27" ht="13">
      <c r="A59" s="7" t="str">
        <f t="shared" si="4"/>
        <v/>
      </c>
      <c r="B59" s="7" t="str">
        <f t="array" ref="B59">IF($N59="","",INDEX(Summary!$B:$B,$N59))</f>
        <v/>
      </c>
      <c r="C59" s="7" t="str">
        <f t="array" ref="C59">IF($N59="","",INDEX(Summary!$D:$D,$N59))</f>
        <v/>
      </c>
      <c r="D59" s="7" t="str">
        <f t="array" ref="D59">IF($N59="","",INDEX(Summary!$E:$E,$N59))</f>
        <v/>
      </c>
      <c r="E59" s="8" t="str">
        <f t="array" ref="E59">IF($N59="","",INDEX($O:$O,$N59))</f>
        <v/>
      </c>
      <c r="F59" s="8" t="str">
        <f t="array" ref="F59">IF($N59="","",INDEX($T:$T,$N59))</f>
        <v/>
      </c>
      <c r="G59" s="8" t="str">
        <f t="array" ref="G59">IF($N59="","",INDEX($R:$R,$N59))</f>
        <v/>
      </c>
      <c r="H59" s="9" t="str">
        <f t="array" ref="H59">IF($N59="","",IFERROR(INDEX($T:$T,$N59)/INDEX($O:$O,$N59),""))</f>
        <v/>
      </c>
      <c r="I59" s="10" t="str">
        <f t="array" ref="I59">IF($N59="","",INDEX(Summary!$BI:$BI,$N59))</f>
        <v/>
      </c>
      <c r="J59" s="10" t="str">
        <f t="array" ref="J59">IF($N59="","",INDEX(Summary!$BJ:$BJ,$N59))</f>
        <v/>
      </c>
      <c r="K59" s="7" t="str">
        <f t="array" ref="K59">IF($N59="","",INDEX(Summary!$BK:$BK,$N59))</f>
        <v/>
      </c>
      <c r="L59" s="7" t="str">
        <f t="array" ref="L59">IF($N59="","",INDEX(Summary!$BG:$BG,$N59))</f>
        <v/>
      </c>
      <c r="M59" s="1"/>
      <c r="N59" t="str">
        <f t="array" ref="N59">IFERROR(_xlfn.AGGREGATE(15,6,ROW(Summary!$D$3:$D$70)/(($R$3:$R$70&lt;0)*$P$3:$P$70*$Q$3:$Q$70*$U$3:$U$70),ROW()-27),"")</f>
        <v/>
      </c>
      <c r="O59">
        <f t="array" ref="O59">_xlfn.SWITCH($G$3,"MRP (Domestic)",Summary!G59,"ROW Manjari",Summary!H59,"USA Sea",Summary!I59,"Amazon USA Sea",Summary!J59,"USA Air",Summary!K59,"USA Amazon",Summary!L59,"UK",Summary!M59,"MENA",Summary!N59,Summary!O59)</f>
        <v>0</v>
      </c>
      <c r="P59">
        <f>--(ISNUMBER(Summary!$A59))*--(Summary!$D59&lt;&gt;"")</f>
        <v>0</v>
      </c>
      <c r="Q59">
        <f t="shared" si="5"/>
        <v>1</v>
      </c>
      <c r="R59">
        <f t="shared" si="6"/>
        <v>0</v>
      </c>
      <c r="S59" t="str">
        <f>IF(Summary!$D59="","",Summary!B59)</f>
        <v/>
      </c>
      <c r="T59">
        <f t="array" ref="T59">_xlfn.SWITCH($G$3,"MRP (Domestic)",IFERROR(_xlfn.XLOOKUP(Summary!$D59,Domestic!$C:$C,Domestic!$AU:$AU),0),"ROW Manjari",IFERROR(_xlfn.XLOOKUP(Summary!$D59,'INT-_Manjiri'!$C:$C,'INT-_Manjiri'!$AT:$AT),0),"USA Sea",IFERROR(_xlfn.XLOOKUP(Summary!$D59,'USA-_Sea_shipment'!$C:$C,'USA-_Sea_shipment'!#REF!),0),"Amazon USA Sea",IFERROR(_xlfn.XLOOKUP(Summary!$D59,Amazon_USA_Sea!$C:$C,Amazon_USA_Sea!$AT:$AT),0),"USA Air",IFERROR(_xlfn.XLOOKUP(Summary!$D59,USA_Air_Shipment!$C:$C,USA_Air_Shipment!$AS:$AS),0),"USA Amazon",IFERROR(_xlfn.XLOOKUP(Summary!$D59,Amazon_USA_Air_Shipment!$C:$C,Amazon_USA_Air_Shipment!$AS:$AS),0),"UK",IFERROR(_xlfn.XLOOKUP(Summary!$D59,UK!$C:$C,UK!$AW:$AW),0),"MENA",IFERROR(_xlfn.XLOOKUP(Summary!$D59,MENA!$C:$C,MENA!$AS:$AS),0),Summary!BB59)</f>
        <v>0</v>
      </c>
      <c r="U59">
        <f>IF($C$3="All",1,--(Summary!E59=$C$3))</f>
        <v>1</v>
      </c>
      <c r="Y59" t="str">
        <f>IF(Summary!E60="","",Summary!E60)</f>
        <v/>
      </c>
      <c r="Z59" t="str">
        <f t="shared" si="7"/>
        <v/>
      </c>
      <c r="AA59" t="str">
        <f t="shared" si="8"/>
        <v/>
      </c>
    </row>
    <row r="60" spans="1:27" ht="13">
      <c r="A60" s="7" t="str">
        <f t="shared" ref="A60:A95" si="9">IF($N60="","",ROW()-27)</f>
        <v/>
      </c>
      <c r="B60" s="7" t="str">
        <f t="array" ref="B60">IF($N60="","",INDEX(Summary!$B:$B,$N60))</f>
        <v/>
      </c>
      <c r="C60" s="7" t="str">
        <f t="array" ref="C60">IF($N60="","",INDEX(Summary!$D:$D,$N60))</f>
        <v/>
      </c>
      <c r="D60" s="7" t="str">
        <f t="array" ref="D60">IF($N60="","",INDEX(Summary!$E:$E,$N60))</f>
        <v/>
      </c>
      <c r="E60" s="8" t="str">
        <f t="array" ref="E60">IF($N60="","",INDEX($O:$O,$N60))</f>
        <v/>
      </c>
      <c r="F60" s="8" t="str">
        <f t="array" ref="F60">IF($N60="","",INDEX($T:$T,$N60))</f>
        <v/>
      </c>
      <c r="G60" s="8" t="str">
        <f t="array" ref="G60">IF($N60="","",INDEX($R:$R,$N60))</f>
        <v/>
      </c>
      <c r="H60" s="9" t="str">
        <f t="array" ref="H60">IF($N60="","",IFERROR(INDEX($T:$T,$N60)/INDEX($O:$O,$N60),""))</f>
        <v/>
      </c>
      <c r="I60" s="10" t="str">
        <f t="array" ref="I60">IF($N60="","",INDEX(Summary!$BI:$BI,$N60))</f>
        <v/>
      </c>
      <c r="J60" s="10" t="str">
        <f t="array" ref="J60">IF($N60="","",INDEX(Summary!$BJ:$BJ,$N60))</f>
        <v/>
      </c>
      <c r="K60" s="7" t="str">
        <f t="array" ref="K60">IF($N60="","",INDEX(Summary!$BK:$BK,$N60))</f>
        <v/>
      </c>
      <c r="L60" s="7" t="str">
        <f t="array" ref="L60">IF($N60="","",INDEX(Summary!$BG:$BG,$N60))</f>
        <v/>
      </c>
      <c r="M60" s="1"/>
      <c r="N60" t="str">
        <f t="array" ref="N60">IFERROR(_xlfn.AGGREGATE(15,6,ROW(Summary!$D$3:$D$70)/(($R$3:$R$70&lt;0)*$P$3:$P$70*$Q$3:$Q$70*$U$3:$U$70),ROW()-27),"")</f>
        <v/>
      </c>
      <c r="O60">
        <f t="array" ref="O60">_xlfn.SWITCH($G$3,"MRP (Domestic)",Summary!G60,"ROW Manjari",Summary!H60,"USA Sea",Summary!I60,"Amazon USA Sea",Summary!J60,"USA Air",Summary!K60,"USA Amazon",Summary!L60,"UK",Summary!M60,"MENA",Summary!N60,Summary!O60)</f>
        <v>0</v>
      </c>
      <c r="P60">
        <f>--(ISNUMBER(Summary!$A60))*--(Summary!$D60&lt;&gt;"")</f>
        <v>0</v>
      </c>
      <c r="Q60">
        <f t="shared" si="5"/>
        <v>1</v>
      </c>
      <c r="R60">
        <f t="shared" si="6"/>
        <v>0</v>
      </c>
      <c r="S60" t="str">
        <f>IF(Summary!$D60="","",Summary!B60)</f>
        <v/>
      </c>
      <c r="T60">
        <f t="array" ref="T60">_xlfn.SWITCH($G$3,"MRP (Domestic)",IFERROR(_xlfn.XLOOKUP(Summary!$D60,Domestic!$C:$C,Domestic!$AU:$AU),0),"ROW Manjari",IFERROR(_xlfn.XLOOKUP(Summary!$D60,'INT-_Manjiri'!$C:$C,'INT-_Manjiri'!$AT:$AT),0),"USA Sea",IFERROR(_xlfn.XLOOKUP(Summary!$D60,'USA-_Sea_shipment'!$C:$C,'USA-_Sea_shipment'!#REF!),0),"Amazon USA Sea",IFERROR(_xlfn.XLOOKUP(Summary!$D60,Amazon_USA_Sea!$C:$C,Amazon_USA_Sea!$AT:$AT),0),"USA Air",IFERROR(_xlfn.XLOOKUP(Summary!$D60,USA_Air_Shipment!$C:$C,USA_Air_Shipment!$AS:$AS),0),"USA Amazon",IFERROR(_xlfn.XLOOKUP(Summary!$D60,Amazon_USA_Air_Shipment!$C:$C,Amazon_USA_Air_Shipment!$AS:$AS),0),"UK",IFERROR(_xlfn.XLOOKUP(Summary!$D60,UK!$C:$C,UK!$AW:$AW),0),"MENA",IFERROR(_xlfn.XLOOKUP(Summary!$D60,MENA!$C:$C,MENA!$AS:$AS),0),Summary!BB60)</f>
        <v>0</v>
      </c>
      <c r="U60">
        <f>IF($C$3="All",1,--(Summary!E60=$C$3))</f>
        <v>1</v>
      </c>
      <c r="Y60" t="str">
        <f>IF(Summary!E61="","",Summary!E61)</f>
        <v/>
      </c>
      <c r="Z60" t="str">
        <f t="shared" ref="Z60:Z95" si="10">IF(AND($G60&lt;0,ISNUMBER(SEARCH("P1",$K60))),-$G60,"")</f>
        <v/>
      </c>
      <c r="AA60" t="str">
        <f t="shared" ref="AA60:AA95" si="11">IF($G60&lt;0,-$G60,"")</f>
        <v/>
      </c>
    </row>
    <row r="61" spans="1:27" ht="13">
      <c r="A61" s="7" t="str">
        <f t="shared" si="9"/>
        <v/>
      </c>
      <c r="B61" s="7" t="str">
        <f t="array" ref="B61">IF($N61="","",INDEX(Summary!$B:$B,$N61))</f>
        <v/>
      </c>
      <c r="C61" s="7" t="str">
        <f t="array" ref="C61">IF($N61="","",INDEX(Summary!$D:$D,$N61))</f>
        <v/>
      </c>
      <c r="D61" s="7" t="str">
        <f t="array" ref="D61">IF($N61="","",INDEX(Summary!$E:$E,$N61))</f>
        <v/>
      </c>
      <c r="E61" s="8" t="str">
        <f t="array" ref="E61">IF($N61="","",INDEX($O:$O,$N61))</f>
        <v/>
      </c>
      <c r="F61" s="8" t="str">
        <f t="array" ref="F61">IF($N61="","",INDEX($T:$T,$N61))</f>
        <v/>
      </c>
      <c r="G61" s="8" t="str">
        <f t="array" ref="G61">IF($N61="","",INDEX($R:$R,$N61))</f>
        <v/>
      </c>
      <c r="H61" s="9" t="str">
        <f t="array" ref="H61">IF($N61="","",IFERROR(INDEX($T:$T,$N61)/INDEX($O:$O,$N61),""))</f>
        <v/>
      </c>
      <c r="I61" s="10" t="str">
        <f t="array" ref="I61">IF($N61="","",INDEX(Summary!$BI:$BI,$N61))</f>
        <v/>
      </c>
      <c r="J61" s="10" t="str">
        <f t="array" ref="J61">IF($N61="","",INDEX(Summary!$BJ:$BJ,$N61))</f>
        <v/>
      </c>
      <c r="K61" s="7" t="str">
        <f t="array" ref="K61">IF($N61="","",INDEX(Summary!$BK:$BK,$N61))</f>
        <v/>
      </c>
      <c r="L61" s="7" t="str">
        <f t="array" ref="L61">IF($N61="","",INDEX(Summary!$BG:$BG,$N61))</f>
        <v/>
      </c>
      <c r="M61" s="1"/>
      <c r="N61" t="str">
        <f t="array" ref="N61">IFERROR(_xlfn.AGGREGATE(15,6,ROW(Summary!$D$3:$D$70)/(($R$3:$R$70&lt;0)*$P$3:$P$70*$Q$3:$Q$70*$U$3:$U$70),ROW()-27),"")</f>
        <v/>
      </c>
      <c r="O61">
        <f t="array" ref="O61">_xlfn.SWITCH($G$3,"MRP (Domestic)",Summary!G61,"ROW Manjari",Summary!H61,"USA Sea",Summary!I61,"Amazon USA Sea",Summary!J61,"USA Air",Summary!K61,"USA Amazon",Summary!L61,"UK",Summary!M61,"MENA",Summary!N61,Summary!O61)</f>
        <v>0</v>
      </c>
      <c r="P61">
        <f>--(ISNUMBER(Summary!$A61))*--(Summary!$D61&lt;&gt;"")</f>
        <v>0</v>
      </c>
      <c r="Q61">
        <f t="shared" si="5"/>
        <v>1</v>
      </c>
      <c r="R61">
        <f t="shared" si="6"/>
        <v>0</v>
      </c>
      <c r="S61" t="str">
        <f>IF(Summary!$D61="","",Summary!B61)</f>
        <v/>
      </c>
      <c r="T61">
        <f t="array" ref="T61">_xlfn.SWITCH($G$3,"MRP (Domestic)",IFERROR(_xlfn.XLOOKUP(Summary!$D61,Domestic!$C:$C,Domestic!$AU:$AU),0),"ROW Manjari",IFERROR(_xlfn.XLOOKUP(Summary!$D61,'INT-_Manjiri'!$C:$C,'INT-_Manjiri'!$AT:$AT),0),"USA Sea",IFERROR(_xlfn.XLOOKUP(Summary!$D61,'USA-_Sea_shipment'!$C:$C,'USA-_Sea_shipment'!#REF!),0),"Amazon USA Sea",IFERROR(_xlfn.XLOOKUP(Summary!$D61,Amazon_USA_Sea!$C:$C,Amazon_USA_Sea!$AT:$AT),0),"USA Air",IFERROR(_xlfn.XLOOKUP(Summary!$D61,USA_Air_Shipment!$C:$C,USA_Air_Shipment!$AS:$AS),0),"USA Amazon",IFERROR(_xlfn.XLOOKUP(Summary!$D61,Amazon_USA_Air_Shipment!$C:$C,Amazon_USA_Air_Shipment!$AS:$AS),0),"UK",IFERROR(_xlfn.XLOOKUP(Summary!$D61,UK!$C:$C,UK!$AW:$AW),0),"MENA",IFERROR(_xlfn.XLOOKUP(Summary!$D61,MENA!$C:$C,MENA!$AS:$AS),0),Summary!BB61)</f>
        <v>0</v>
      </c>
      <c r="U61">
        <f>IF($C$3="All",1,--(Summary!E61=$C$3))</f>
        <v>1</v>
      </c>
      <c r="Y61" t="str">
        <f>IF(Summary!E62="","",Summary!E62)</f>
        <v/>
      </c>
      <c r="Z61" t="str">
        <f t="shared" si="10"/>
        <v/>
      </c>
      <c r="AA61" t="str">
        <f t="shared" si="11"/>
        <v/>
      </c>
    </row>
    <row r="62" spans="1:27" ht="13">
      <c r="A62" s="7" t="str">
        <f t="shared" si="9"/>
        <v/>
      </c>
      <c r="B62" s="7" t="str">
        <f t="array" ref="B62">IF($N62="","",INDEX(Summary!$B:$B,$N62))</f>
        <v/>
      </c>
      <c r="C62" s="7" t="str">
        <f t="array" ref="C62">IF($N62="","",INDEX(Summary!$D:$D,$N62))</f>
        <v/>
      </c>
      <c r="D62" s="7" t="str">
        <f t="array" ref="D62">IF($N62="","",INDEX(Summary!$E:$E,$N62))</f>
        <v/>
      </c>
      <c r="E62" s="8" t="str">
        <f t="array" ref="E62">IF($N62="","",INDEX($O:$O,$N62))</f>
        <v/>
      </c>
      <c r="F62" s="8" t="str">
        <f t="array" ref="F62">IF($N62="","",INDEX($T:$T,$N62))</f>
        <v/>
      </c>
      <c r="G62" s="8" t="str">
        <f t="array" ref="G62">IF($N62="","",INDEX($R:$R,$N62))</f>
        <v/>
      </c>
      <c r="H62" s="9" t="str">
        <f t="array" ref="H62">IF($N62="","",IFERROR(INDEX($T:$T,$N62)/INDEX($O:$O,$N62),""))</f>
        <v/>
      </c>
      <c r="I62" s="10" t="str">
        <f t="array" ref="I62">IF($N62="","",INDEX(Summary!$BI:$BI,$N62))</f>
        <v/>
      </c>
      <c r="J62" s="10" t="str">
        <f t="array" ref="J62">IF($N62="","",INDEX(Summary!$BJ:$BJ,$N62))</f>
        <v/>
      </c>
      <c r="K62" s="7" t="str">
        <f t="array" ref="K62">IF($N62="","",INDEX(Summary!$BK:$BK,$N62))</f>
        <v/>
      </c>
      <c r="L62" s="7" t="str">
        <f t="array" ref="L62">IF($N62="","",INDEX(Summary!$BG:$BG,$N62))</f>
        <v/>
      </c>
      <c r="M62" s="1"/>
      <c r="N62" t="str">
        <f t="array" ref="N62">IFERROR(_xlfn.AGGREGATE(15,6,ROW(Summary!$D$3:$D$70)/(($R$3:$R$70&lt;0)*$P$3:$P$70*$Q$3:$Q$70*$U$3:$U$70),ROW()-27),"")</f>
        <v/>
      </c>
      <c r="O62">
        <f t="array" ref="O62">_xlfn.SWITCH($G$3,"MRP (Domestic)",Summary!G62,"ROW Manjari",Summary!H62,"USA Sea",Summary!I62,"Amazon USA Sea",Summary!J62,"USA Air",Summary!K62,"USA Amazon",Summary!L62,"UK",Summary!M62,"MENA",Summary!N62,Summary!O62)</f>
        <v>0</v>
      </c>
      <c r="P62">
        <f>--(ISNUMBER(Summary!$A62))*--(Summary!$D62&lt;&gt;"")</f>
        <v>0</v>
      </c>
      <c r="Q62">
        <f t="shared" si="5"/>
        <v>1</v>
      </c>
      <c r="R62">
        <f t="shared" si="6"/>
        <v>0</v>
      </c>
      <c r="S62" t="str">
        <f>IF(Summary!$D62="","",Summary!B62)</f>
        <v/>
      </c>
      <c r="T62">
        <f t="array" ref="T62">_xlfn.SWITCH($G$3,"MRP (Domestic)",IFERROR(_xlfn.XLOOKUP(Summary!$D62,Domestic!$C:$C,Domestic!$AU:$AU),0),"ROW Manjari",IFERROR(_xlfn.XLOOKUP(Summary!$D62,'INT-_Manjiri'!$C:$C,'INT-_Manjiri'!$AT:$AT),0),"USA Sea",IFERROR(_xlfn.XLOOKUP(Summary!$D62,'USA-_Sea_shipment'!$C:$C,'USA-_Sea_shipment'!#REF!),0),"Amazon USA Sea",IFERROR(_xlfn.XLOOKUP(Summary!$D62,Amazon_USA_Sea!$C:$C,Amazon_USA_Sea!$AT:$AT),0),"USA Air",IFERROR(_xlfn.XLOOKUP(Summary!$D62,USA_Air_Shipment!$C:$C,USA_Air_Shipment!$AS:$AS),0),"USA Amazon",IFERROR(_xlfn.XLOOKUP(Summary!$D62,Amazon_USA_Air_Shipment!$C:$C,Amazon_USA_Air_Shipment!$AS:$AS),0),"UK",IFERROR(_xlfn.XLOOKUP(Summary!$D62,UK!$C:$C,UK!$AW:$AW),0),"MENA",IFERROR(_xlfn.XLOOKUP(Summary!$D62,MENA!$C:$C,MENA!$AS:$AS),0),Summary!BB62)</f>
        <v>0</v>
      </c>
      <c r="U62">
        <f>IF($C$3="All",1,--(Summary!E62=$C$3))</f>
        <v>1</v>
      </c>
      <c r="Y62" t="str">
        <f>IF(Summary!E63="","",Summary!E63)</f>
        <v/>
      </c>
      <c r="Z62" t="str">
        <f t="shared" si="10"/>
        <v/>
      </c>
      <c r="AA62" t="str">
        <f t="shared" si="11"/>
        <v/>
      </c>
    </row>
    <row r="63" spans="1:27" ht="13">
      <c r="A63" s="7" t="str">
        <f t="shared" si="9"/>
        <v/>
      </c>
      <c r="B63" s="7" t="str">
        <f t="array" ref="B63">IF($N63="","",INDEX(Summary!$B:$B,$N63))</f>
        <v/>
      </c>
      <c r="C63" s="7" t="str">
        <f t="array" ref="C63">IF($N63="","",INDEX(Summary!$D:$D,$N63))</f>
        <v/>
      </c>
      <c r="D63" s="7" t="str">
        <f t="array" ref="D63">IF($N63="","",INDEX(Summary!$E:$E,$N63))</f>
        <v/>
      </c>
      <c r="E63" s="8" t="str">
        <f t="array" ref="E63">IF($N63="","",INDEX($O:$O,$N63))</f>
        <v/>
      </c>
      <c r="F63" s="8" t="str">
        <f t="array" ref="F63">IF($N63="","",INDEX($T:$T,$N63))</f>
        <v/>
      </c>
      <c r="G63" s="8" t="str">
        <f t="array" ref="G63">IF($N63="","",INDEX($R:$R,$N63))</f>
        <v/>
      </c>
      <c r="H63" s="9" t="str">
        <f t="array" ref="H63">IF($N63="","",IFERROR(INDEX($T:$T,$N63)/INDEX($O:$O,$N63),""))</f>
        <v/>
      </c>
      <c r="I63" s="10" t="str">
        <f t="array" ref="I63">IF($N63="","",INDEX(Summary!$BI:$BI,$N63))</f>
        <v/>
      </c>
      <c r="J63" s="10" t="str">
        <f t="array" ref="J63">IF($N63="","",INDEX(Summary!$BJ:$BJ,$N63))</f>
        <v/>
      </c>
      <c r="K63" s="7" t="str">
        <f t="array" ref="K63">IF($N63="","",INDEX(Summary!$BK:$BK,$N63))</f>
        <v/>
      </c>
      <c r="L63" s="7" t="str">
        <f t="array" ref="L63">IF($N63="","",INDEX(Summary!$BG:$BG,$N63))</f>
        <v/>
      </c>
      <c r="M63" s="1"/>
      <c r="N63" t="str">
        <f t="array" ref="N63">IFERROR(_xlfn.AGGREGATE(15,6,ROW(Summary!$D$3:$D$70)/(($R$3:$R$70&lt;0)*$P$3:$P$70*$Q$3:$Q$70*$U$3:$U$70),ROW()-27),"")</f>
        <v/>
      </c>
      <c r="O63">
        <f t="array" ref="O63">_xlfn.SWITCH($G$3,"MRP (Domestic)",Summary!G63,"ROW Manjari",Summary!H63,"USA Sea",Summary!I63,"Amazon USA Sea",Summary!J63,"USA Air",Summary!K63,"USA Amazon",Summary!L63,"UK",Summary!M63,"MENA",Summary!N63,Summary!O63)</f>
        <v>0</v>
      </c>
      <c r="P63">
        <f>--(ISNUMBER(Summary!$A63))*--(Summary!$D63&lt;&gt;"")</f>
        <v>0</v>
      </c>
      <c r="Q63">
        <f t="shared" si="5"/>
        <v>1</v>
      </c>
      <c r="R63">
        <f t="shared" si="6"/>
        <v>0</v>
      </c>
      <c r="S63" t="str">
        <f>IF(Summary!$D63="","",Summary!B63)</f>
        <v/>
      </c>
      <c r="T63">
        <f t="array" ref="T63">_xlfn.SWITCH($G$3,"MRP (Domestic)",IFERROR(_xlfn.XLOOKUP(Summary!$D63,Domestic!$C:$C,Domestic!$AU:$AU),0),"ROW Manjari",IFERROR(_xlfn.XLOOKUP(Summary!$D63,'INT-_Manjiri'!$C:$C,'INT-_Manjiri'!$AT:$AT),0),"USA Sea",IFERROR(_xlfn.XLOOKUP(Summary!$D63,'USA-_Sea_shipment'!$C:$C,'USA-_Sea_shipment'!#REF!),0),"Amazon USA Sea",IFERROR(_xlfn.XLOOKUP(Summary!$D63,Amazon_USA_Sea!$C:$C,Amazon_USA_Sea!$AT:$AT),0),"USA Air",IFERROR(_xlfn.XLOOKUP(Summary!$D63,USA_Air_Shipment!$C:$C,USA_Air_Shipment!$AS:$AS),0),"USA Amazon",IFERROR(_xlfn.XLOOKUP(Summary!$D63,Amazon_USA_Air_Shipment!$C:$C,Amazon_USA_Air_Shipment!$AS:$AS),0),"UK",IFERROR(_xlfn.XLOOKUP(Summary!$D63,UK!$C:$C,UK!$AW:$AW),0),"MENA",IFERROR(_xlfn.XLOOKUP(Summary!$D63,MENA!$C:$C,MENA!$AS:$AS),0),Summary!BB63)</f>
        <v>0</v>
      </c>
      <c r="U63">
        <f>IF($C$3="All",1,--(Summary!E63=$C$3))</f>
        <v>1</v>
      </c>
      <c r="Y63" t="str">
        <f>IF(Summary!E64="","",Summary!E64)</f>
        <v/>
      </c>
      <c r="Z63" t="str">
        <f t="shared" si="10"/>
        <v/>
      </c>
      <c r="AA63" t="str">
        <f t="shared" si="11"/>
        <v/>
      </c>
    </row>
    <row r="64" spans="1:27" ht="13">
      <c r="A64" s="7" t="str">
        <f t="shared" si="9"/>
        <v/>
      </c>
      <c r="B64" s="7" t="str">
        <f t="array" ref="B64">IF($N64="","",INDEX(Summary!$B:$B,$N64))</f>
        <v/>
      </c>
      <c r="C64" s="7" t="str">
        <f t="array" ref="C64">IF($N64="","",INDEX(Summary!$D:$D,$N64))</f>
        <v/>
      </c>
      <c r="D64" s="7" t="str">
        <f t="array" ref="D64">IF($N64="","",INDEX(Summary!$E:$E,$N64))</f>
        <v/>
      </c>
      <c r="E64" s="8" t="str">
        <f t="array" ref="E64">IF($N64="","",INDEX($O:$O,$N64))</f>
        <v/>
      </c>
      <c r="F64" s="8" t="str">
        <f t="array" ref="F64">IF($N64="","",INDEX($T:$T,$N64))</f>
        <v/>
      </c>
      <c r="G64" s="8" t="str">
        <f t="array" ref="G64">IF($N64="","",INDEX($R:$R,$N64))</f>
        <v/>
      </c>
      <c r="H64" s="9" t="str">
        <f t="array" ref="H64">IF($N64="","",IFERROR(INDEX($T:$T,$N64)/INDEX($O:$O,$N64),""))</f>
        <v/>
      </c>
      <c r="I64" s="10" t="str">
        <f t="array" ref="I64">IF($N64="","",INDEX(Summary!$BI:$BI,$N64))</f>
        <v/>
      </c>
      <c r="J64" s="10" t="str">
        <f t="array" ref="J64">IF($N64="","",INDEX(Summary!$BJ:$BJ,$N64))</f>
        <v/>
      </c>
      <c r="K64" s="7" t="str">
        <f t="array" ref="K64">IF($N64="","",INDEX(Summary!$BK:$BK,$N64))</f>
        <v/>
      </c>
      <c r="L64" s="7" t="str">
        <f t="array" ref="L64">IF($N64="","",INDEX(Summary!$BG:$BG,$N64))</f>
        <v/>
      </c>
      <c r="M64" s="1"/>
      <c r="N64" t="str">
        <f t="array" ref="N64">IFERROR(_xlfn.AGGREGATE(15,6,ROW(Summary!$D$3:$D$70)/(($R$3:$R$70&lt;0)*$P$3:$P$70*$Q$3:$Q$70*$U$3:$U$70),ROW()-27),"")</f>
        <v/>
      </c>
      <c r="O64">
        <f t="array" ref="O64">_xlfn.SWITCH($G$3,"MRP (Domestic)",Summary!G64,"ROW Manjari",Summary!H64,"USA Sea",Summary!I64,"Amazon USA Sea",Summary!J64,"USA Air",Summary!K64,"USA Amazon",Summary!L64,"UK",Summary!M64,"MENA",Summary!N64,Summary!O64)</f>
        <v>0</v>
      </c>
      <c r="P64">
        <f>--(ISNUMBER(Summary!$A64))*--(Summary!$D64&lt;&gt;"")</f>
        <v>0</v>
      </c>
      <c r="Q64">
        <f t="shared" si="5"/>
        <v>1</v>
      </c>
      <c r="R64">
        <f t="shared" si="6"/>
        <v>0</v>
      </c>
      <c r="S64" t="str">
        <f>IF(Summary!$D64="","",Summary!B64)</f>
        <v/>
      </c>
      <c r="T64">
        <f t="array" ref="T64">_xlfn.SWITCH($G$3,"MRP (Domestic)",IFERROR(_xlfn.XLOOKUP(Summary!$D64,Domestic!$C:$C,Domestic!$AU:$AU),0),"ROW Manjari",IFERROR(_xlfn.XLOOKUP(Summary!$D64,'INT-_Manjiri'!$C:$C,'INT-_Manjiri'!$AT:$AT),0),"USA Sea",IFERROR(_xlfn.XLOOKUP(Summary!$D64,'USA-_Sea_shipment'!$C:$C,'USA-_Sea_shipment'!#REF!),0),"Amazon USA Sea",IFERROR(_xlfn.XLOOKUP(Summary!$D64,Amazon_USA_Sea!$C:$C,Amazon_USA_Sea!$AT:$AT),0),"USA Air",IFERROR(_xlfn.XLOOKUP(Summary!$D64,USA_Air_Shipment!$C:$C,USA_Air_Shipment!$AS:$AS),0),"USA Amazon",IFERROR(_xlfn.XLOOKUP(Summary!$D64,Amazon_USA_Air_Shipment!$C:$C,Amazon_USA_Air_Shipment!$AS:$AS),0),"UK",IFERROR(_xlfn.XLOOKUP(Summary!$D64,UK!$C:$C,UK!$AW:$AW),0),"MENA",IFERROR(_xlfn.XLOOKUP(Summary!$D64,MENA!$C:$C,MENA!$AS:$AS),0),Summary!BB64)</f>
        <v>0</v>
      </c>
      <c r="U64">
        <f>IF($C$3="All",1,--(Summary!E64=$C$3))</f>
        <v>1</v>
      </c>
      <c r="Y64" t="str">
        <f>IF(Summary!E65="","",Summary!E65)</f>
        <v/>
      </c>
      <c r="Z64" t="str">
        <f t="shared" si="10"/>
        <v/>
      </c>
      <c r="AA64" t="str">
        <f t="shared" si="11"/>
        <v/>
      </c>
    </row>
    <row r="65" spans="1:27" ht="13">
      <c r="A65" s="7" t="str">
        <f t="shared" si="9"/>
        <v/>
      </c>
      <c r="B65" s="7" t="str">
        <f t="array" ref="B65">IF($N65="","",INDEX(Summary!$B:$B,$N65))</f>
        <v/>
      </c>
      <c r="C65" s="7" t="str">
        <f t="array" ref="C65">IF($N65="","",INDEX(Summary!$D:$D,$N65))</f>
        <v/>
      </c>
      <c r="D65" s="7" t="str">
        <f t="array" ref="D65">IF($N65="","",INDEX(Summary!$E:$E,$N65))</f>
        <v/>
      </c>
      <c r="E65" s="8" t="str">
        <f t="array" ref="E65">IF($N65="","",INDEX($O:$O,$N65))</f>
        <v/>
      </c>
      <c r="F65" s="8" t="str">
        <f t="array" ref="F65">IF($N65="","",INDEX($T:$T,$N65))</f>
        <v/>
      </c>
      <c r="G65" s="8" t="str">
        <f t="array" ref="G65">IF($N65="","",INDEX($R:$R,$N65))</f>
        <v/>
      </c>
      <c r="H65" s="9" t="str">
        <f t="array" ref="H65">IF($N65="","",IFERROR(INDEX($T:$T,$N65)/INDEX($O:$O,$N65),""))</f>
        <v/>
      </c>
      <c r="I65" s="10" t="str">
        <f t="array" ref="I65">IF($N65="","",INDEX(Summary!$BI:$BI,$N65))</f>
        <v/>
      </c>
      <c r="J65" s="10" t="str">
        <f t="array" ref="J65">IF($N65="","",INDEX(Summary!$BJ:$BJ,$N65))</f>
        <v/>
      </c>
      <c r="K65" s="7" t="str">
        <f t="array" ref="K65">IF($N65="","",INDEX(Summary!$BK:$BK,$N65))</f>
        <v/>
      </c>
      <c r="L65" s="7" t="str">
        <f t="array" ref="L65">IF($N65="","",INDEX(Summary!$BG:$BG,$N65))</f>
        <v/>
      </c>
      <c r="M65" s="1"/>
      <c r="N65" t="str">
        <f t="array" ref="N65">IFERROR(_xlfn.AGGREGATE(15,6,ROW(Summary!$D$3:$D$70)/(($R$3:$R$70&lt;0)*$P$3:$P$70*$Q$3:$Q$70*$U$3:$U$70),ROW()-27),"")</f>
        <v/>
      </c>
      <c r="O65">
        <f t="array" ref="O65">_xlfn.SWITCH($G$3,"MRP (Domestic)",Summary!G65,"ROW Manjari",Summary!H65,"USA Sea",Summary!I65,"Amazon USA Sea",Summary!J65,"USA Air",Summary!K65,"USA Amazon",Summary!L65,"UK",Summary!M65,"MENA",Summary!N65,Summary!O65)</f>
        <v>0</v>
      </c>
      <c r="P65">
        <f>--(ISNUMBER(Summary!$A65))*--(Summary!$D65&lt;&gt;"")</f>
        <v>0</v>
      </c>
      <c r="Q65">
        <f t="shared" si="5"/>
        <v>1</v>
      </c>
      <c r="R65">
        <f t="shared" si="6"/>
        <v>0</v>
      </c>
      <c r="S65" t="str">
        <f>IF(Summary!$D65="","",Summary!B65)</f>
        <v/>
      </c>
      <c r="T65">
        <f t="array" ref="T65">_xlfn.SWITCH($G$3,"MRP (Domestic)",IFERROR(_xlfn.XLOOKUP(Summary!$D65,Domestic!$C:$C,Domestic!$AU:$AU),0),"ROW Manjari",IFERROR(_xlfn.XLOOKUP(Summary!$D65,'INT-_Manjiri'!$C:$C,'INT-_Manjiri'!$AT:$AT),0),"USA Sea",IFERROR(_xlfn.XLOOKUP(Summary!$D65,'USA-_Sea_shipment'!$C:$C,'USA-_Sea_shipment'!#REF!),0),"Amazon USA Sea",IFERROR(_xlfn.XLOOKUP(Summary!$D65,Amazon_USA_Sea!$C:$C,Amazon_USA_Sea!$AT:$AT),0),"USA Air",IFERROR(_xlfn.XLOOKUP(Summary!$D65,USA_Air_Shipment!$C:$C,USA_Air_Shipment!$AS:$AS),0),"USA Amazon",IFERROR(_xlfn.XLOOKUP(Summary!$D65,Amazon_USA_Air_Shipment!$C:$C,Amazon_USA_Air_Shipment!$AS:$AS),0),"UK",IFERROR(_xlfn.XLOOKUP(Summary!$D65,UK!$C:$C,UK!$AW:$AW),0),"MENA",IFERROR(_xlfn.XLOOKUP(Summary!$D65,MENA!$C:$C,MENA!$AS:$AS),0),Summary!BB65)</f>
        <v>0</v>
      </c>
      <c r="U65">
        <f>IF($C$3="All",1,--(Summary!E65=$C$3))</f>
        <v>1</v>
      </c>
      <c r="Y65" t="str">
        <f>IF(Summary!E66="","",Summary!E66)</f>
        <v/>
      </c>
      <c r="Z65" t="str">
        <f t="shared" si="10"/>
        <v/>
      </c>
      <c r="AA65" t="str">
        <f t="shared" si="11"/>
        <v/>
      </c>
    </row>
    <row r="66" spans="1:27" ht="13">
      <c r="A66" s="7" t="str">
        <f t="shared" si="9"/>
        <v/>
      </c>
      <c r="B66" s="7" t="str">
        <f t="array" ref="B66">IF($N66="","",INDEX(Summary!$B:$B,$N66))</f>
        <v/>
      </c>
      <c r="C66" s="7" t="str">
        <f t="array" ref="C66">IF($N66="","",INDEX(Summary!$D:$D,$N66))</f>
        <v/>
      </c>
      <c r="D66" s="7" t="str">
        <f t="array" ref="D66">IF($N66="","",INDEX(Summary!$E:$E,$N66))</f>
        <v/>
      </c>
      <c r="E66" s="8" t="str">
        <f t="array" ref="E66">IF($N66="","",INDEX($O:$O,$N66))</f>
        <v/>
      </c>
      <c r="F66" s="8" t="str">
        <f t="array" ref="F66">IF($N66="","",INDEX($T:$T,$N66))</f>
        <v/>
      </c>
      <c r="G66" s="8" t="str">
        <f t="array" ref="G66">IF($N66="","",INDEX($R:$R,$N66))</f>
        <v/>
      </c>
      <c r="H66" s="9" t="str">
        <f t="array" ref="H66">IF($N66="","",IFERROR(INDEX($T:$T,$N66)/INDEX($O:$O,$N66),""))</f>
        <v/>
      </c>
      <c r="I66" s="10" t="str">
        <f t="array" ref="I66">IF($N66="","",INDEX(Summary!$BI:$BI,$N66))</f>
        <v/>
      </c>
      <c r="J66" s="10" t="str">
        <f t="array" ref="J66">IF($N66="","",INDEX(Summary!$BJ:$BJ,$N66))</f>
        <v/>
      </c>
      <c r="K66" s="7" t="str">
        <f t="array" ref="K66">IF($N66="","",INDEX(Summary!$BK:$BK,$N66))</f>
        <v/>
      </c>
      <c r="L66" s="7" t="str">
        <f t="array" ref="L66">IF($N66="","",INDEX(Summary!$BG:$BG,$N66))</f>
        <v/>
      </c>
      <c r="M66" s="1"/>
      <c r="N66" t="str">
        <f t="array" ref="N66">IFERROR(_xlfn.AGGREGATE(15,6,ROW(Summary!$D$3:$D$70)/(($R$3:$R$70&lt;0)*$P$3:$P$70*$Q$3:$Q$70*$U$3:$U$70),ROW()-27),"")</f>
        <v/>
      </c>
      <c r="O66">
        <f t="array" ref="O66">_xlfn.SWITCH($G$3,"MRP (Domestic)",Summary!G66,"ROW Manjari",Summary!H66,"USA Sea",Summary!I66,"Amazon USA Sea",Summary!J66,"USA Air",Summary!K66,"USA Amazon",Summary!L66,"UK",Summary!M66,"MENA",Summary!N66,Summary!O66)</f>
        <v>0</v>
      </c>
      <c r="P66">
        <f>--(ISNUMBER(Summary!$A66))*--(Summary!$D66&lt;&gt;"")</f>
        <v>0</v>
      </c>
      <c r="Q66">
        <f t="shared" si="5"/>
        <v>1</v>
      </c>
      <c r="R66">
        <f t="shared" si="6"/>
        <v>0</v>
      </c>
      <c r="S66" t="str">
        <f>IF(Summary!$D66="","",Summary!B66)</f>
        <v/>
      </c>
      <c r="T66">
        <f t="array" ref="T66">_xlfn.SWITCH($G$3,"MRP (Domestic)",IFERROR(_xlfn.XLOOKUP(Summary!$D66,Domestic!$C:$C,Domestic!$AU:$AU),0),"ROW Manjari",IFERROR(_xlfn.XLOOKUP(Summary!$D66,'INT-_Manjiri'!$C:$C,'INT-_Manjiri'!$AT:$AT),0),"USA Sea",IFERROR(_xlfn.XLOOKUP(Summary!$D66,'USA-_Sea_shipment'!$C:$C,'USA-_Sea_shipment'!#REF!),0),"Amazon USA Sea",IFERROR(_xlfn.XLOOKUP(Summary!$D66,Amazon_USA_Sea!$C:$C,Amazon_USA_Sea!$AT:$AT),0),"USA Air",IFERROR(_xlfn.XLOOKUP(Summary!$D66,USA_Air_Shipment!$C:$C,USA_Air_Shipment!$AS:$AS),0),"USA Amazon",IFERROR(_xlfn.XLOOKUP(Summary!$D66,Amazon_USA_Air_Shipment!$C:$C,Amazon_USA_Air_Shipment!$AS:$AS),0),"UK",IFERROR(_xlfn.XLOOKUP(Summary!$D66,UK!$C:$C,UK!$AW:$AW),0),"MENA",IFERROR(_xlfn.XLOOKUP(Summary!$D66,MENA!$C:$C,MENA!$AS:$AS),0),Summary!BB66)</f>
        <v>0</v>
      </c>
      <c r="U66">
        <f>IF($C$3="All",1,--(Summary!E66=$C$3))</f>
        <v>1</v>
      </c>
      <c r="Y66" t="str">
        <f>IF(Summary!E67="","",Summary!E67)</f>
        <v/>
      </c>
      <c r="Z66" t="str">
        <f t="shared" si="10"/>
        <v/>
      </c>
      <c r="AA66" t="str">
        <f t="shared" si="11"/>
        <v/>
      </c>
    </row>
    <row r="67" spans="1:27" ht="13">
      <c r="A67" s="7" t="str">
        <f t="shared" si="9"/>
        <v/>
      </c>
      <c r="B67" s="7" t="str">
        <f t="array" ref="B67">IF($N67="","",INDEX(Summary!$B:$B,$N67))</f>
        <v/>
      </c>
      <c r="C67" s="7" t="str">
        <f t="array" ref="C67">IF($N67="","",INDEX(Summary!$D:$D,$N67))</f>
        <v/>
      </c>
      <c r="D67" s="7" t="str">
        <f t="array" ref="D67">IF($N67="","",INDEX(Summary!$E:$E,$N67))</f>
        <v/>
      </c>
      <c r="E67" s="8" t="str">
        <f t="array" ref="E67">IF($N67="","",INDEX($O:$O,$N67))</f>
        <v/>
      </c>
      <c r="F67" s="8" t="str">
        <f t="array" ref="F67">IF($N67="","",INDEX($T:$T,$N67))</f>
        <v/>
      </c>
      <c r="G67" s="8" t="str">
        <f t="array" ref="G67">IF($N67="","",INDEX($R:$R,$N67))</f>
        <v/>
      </c>
      <c r="H67" s="9" t="str">
        <f t="array" ref="H67">IF($N67="","",IFERROR(INDEX($T:$T,$N67)/INDEX($O:$O,$N67),""))</f>
        <v/>
      </c>
      <c r="I67" s="10" t="str">
        <f t="array" ref="I67">IF($N67="","",INDEX(Summary!$BI:$BI,$N67))</f>
        <v/>
      </c>
      <c r="J67" s="10" t="str">
        <f t="array" ref="J67">IF($N67="","",INDEX(Summary!$BJ:$BJ,$N67))</f>
        <v/>
      </c>
      <c r="K67" s="7" t="str">
        <f t="array" ref="K67">IF($N67="","",INDEX(Summary!$BK:$BK,$N67))</f>
        <v/>
      </c>
      <c r="L67" s="7" t="str">
        <f t="array" ref="L67">IF($N67="","",INDEX(Summary!$BG:$BG,$N67))</f>
        <v/>
      </c>
      <c r="M67" s="1"/>
      <c r="N67" t="str">
        <f t="array" ref="N67">IFERROR(_xlfn.AGGREGATE(15,6,ROW(Summary!$D$3:$D$70)/(($R$3:$R$70&lt;0)*$P$3:$P$70*$Q$3:$Q$70*$U$3:$U$70),ROW()-27),"")</f>
        <v/>
      </c>
      <c r="O67">
        <f t="array" ref="O67">_xlfn.SWITCH($G$3,"MRP (Domestic)",Summary!G67,"ROW Manjari",Summary!H67,"USA Sea",Summary!I67,"Amazon USA Sea",Summary!J67,"USA Air",Summary!K67,"USA Amazon",Summary!L67,"UK",Summary!M67,"MENA",Summary!N67,Summary!O67)</f>
        <v>0</v>
      </c>
      <c r="P67">
        <f>--(ISNUMBER(Summary!$A67))*--(Summary!$D67&lt;&gt;"")</f>
        <v>0</v>
      </c>
      <c r="Q67">
        <f t="shared" si="5"/>
        <v>1</v>
      </c>
      <c r="R67">
        <f t="shared" si="6"/>
        <v>0</v>
      </c>
      <c r="S67" t="str">
        <f>IF(Summary!$D67="","",Summary!B67)</f>
        <v/>
      </c>
      <c r="T67">
        <f t="array" ref="T67">_xlfn.SWITCH($G$3,"MRP (Domestic)",IFERROR(_xlfn.XLOOKUP(Summary!$D67,Domestic!$C:$C,Domestic!$AU:$AU),0),"ROW Manjari",IFERROR(_xlfn.XLOOKUP(Summary!$D67,'INT-_Manjiri'!$C:$C,'INT-_Manjiri'!$AT:$AT),0),"USA Sea",IFERROR(_xlfn.XLOOKUP(Summary!$D67,'USA-_Sea_shipment'!$C:$C,'USA-_Sea_shipment'!#REF!),0),"Amazon USA Sea",IFERROR(_xlfn.XLOOKUP(Summary!$D67,Amazon_USA_Sea!$C:$C,Amazon_USA_Sea!$AT:$AT),0),"USA Air",IFERROR(_xlfn.XLOOKUP(Summary!$D67,USA_Air_Shipment!$C:$C,USA_Air_Shipment!$AS:$AS),0),"USA Amazon",IFERROR(_xlfn.XLOOKUP(Summary!$D67,Amazon_USA_Air_Shipment!$C:$C,Amazon_USA_Air_Shipment!$AS:$AS),0),"UK",IFERROR(_xlfn.XLOOKUP(Summary!$D67,UK!$C:$C,UK!$AW:$AW),0),"MENA",IFERROR(_xlfn.XLOOKUP(Summary!$D67,MENA!$C:$C,MENA!$AS:$AS),0),Summary!BB67)</f>
        <v>0</v>
      </c>
      <c r="U67">
        <f>IF($C$3="All",1,--(Summary!E67=$C$3))</f>
        <v>1</v>
      </c>
      <c r="Y67" t="str">
        <f>IF(Summary!E68="","",Summary!E68)</f>
        <v/>
      </c>
      <c r="Z67" t="str">
        <f t="shared" si="10"/>
        <v/>
      </c>
      <c r="AA67" t="str">
        <f t="shared" si="11"/>
        <v/>
      </c>
    </row>
    <row r="68" spans="1:27" ht="13">
      <c r="A68" s="7" t="str">
        <f t="shared" si="9"/>
        <v/>
      </c>
      <c r="B68" s="7" t="str">
        <f t="array" ref="B68">IF($N68="","",INDEX(Summary!$B:$B,$N68))</f>
        <v/>
      </c>
      <c r="C68" s="7" t="str">
        <f t="array" ref="C68">IF($N68="","",INDEX(Summary!$D:$D,$N68))</f>
        <v/>
      </c>
      <c r="D68" s="7" t="str">
        <f t="array" ref="D68">IF($N68="","",INDEX(Summary!$E:$E,$N68))</f>
        <v/>
      </c>
      <c r="E68" s="8" t="str">
        <f t="array" ref="E68">IF($N68="","",INDEX($O:$O,$N68))</f>
        <v/>
      </c>
      <c r="F68" s="8" t="str">
        <f t="array" ref="F68">IF($N68="","",INDEX($T:$T,$N68))</f>
        <v/>
      </c>
      <c r="G68" s="8" t="str">
        <f t="array" ref="G68">IF($N68="","",INDEX($R:$R,$N68))</f>
        <v/>
      </c>
      <c r="H68" s="9" t="str">
        <f t="array" ref="H68">IF($N68="","",IFERROR(INDEX($T:$T,$N68)/INDEX($O:$O,$N68),""))</f>
        <v/>
      </c>
      <c r="I68" s="10" t="str">
        <f t="array" ref="I68">IF($N68="","",INDEX(Summary!$BI:$BI,$N68))</f>
        <v/>
      </c>
      <c r="J68" s="10" t="str">
        <f t="array" ref="J68">IF($N68="","",INDEX(Summary!$BJ:$BJ,$N68))</f>
        <v/>
      </c>
      <c r="K68" s="7" t="str">
        <f t="array" ref="K68">IF($N68="","",INDEX(Summary!$BK:$BK,$N68))</f>
        <v/>
      </c>
      <c r="L68" s="7" t="str">
        <f t="array" ref="L68">IF($N68="","",INDEX(Summary!$BG:$BG,$N68))</f>
        <v/>
      </c>
      <c r="M68" s="1"/>
      <c r="N68" t="str">
        <f t="array" ref="N68">IFERROR(_xlfn.AGGREGATE(15,6,ROW(Summary!$D$3:$D$70)/(($R$3:$R$70&lt;0)*$P$3:$P$70*$Q$3:$Q$70*$U$3:$U$70),ROW()-27),"")</f>
        <v/>
      </c>
      <c r="O68">
        <f t="array" ref="O68">_xlfn.SWITCH($G$3,"MRP (Domestic)",Summary!G68,"ROW Manjari",Summary!H68,"USA Sea",Summary!I68,"Amazon USA Sea",Summary!J68,"USA Air",Summary!K68,"USA Amazon",Summary!L68,"UK",Summary!M68,"MENA",Summary!N68,Summary!O68)</f>
        <v>0</v>
      </c>
      <c r="P68">
        <f>--(ISNUMBER(Summary!$A68))*--(Summary!$D68&lt;&gt;"")</f>
        <v>0</v>
      </c>
      <c r="Q68">
        <f t="shared" si="5"/>
        <v>1</v>
      </c>
      <c r="R68">
        <f t="shared" si="6"/>
        <v>0</v>
      </c>
      <c r="S68" t="str">
        <f>IF(Summary!$D68="","",Summary!B68)</f>
        <v/>
      </c>
      <c r="T68">
        <f t="array" ref="T68">_xlfn.SWITCH($G$3,"MRP (Domestic)",IFERROR(_xlfn.XLOOKUP(Summary!$D68,Domestic!$C:$C,Domestic!$AU:$AU),0),"ROW Manjari",IFERROR(_xlfn.XLOOKUP(Summary!$D68,'INT-_Manjiri'!$C:$C,'INT-_Manjiri'!$AT:$AT),0),"USA Sea",IFERROR(_xlfn.XLOOKUP(Summary!$D68,'USA-_Sea_shipment'!$C:$C,'USA-_Sea_shipment'!#REF!),0),"Amazon USA Sea",IFERROR(_xlfn.XLOOKUP(Summary!$D68,Amazon_USA_Sea!$C:$C,Amazon_USA_Sea!$AT:$AT),0),"USA Air",IFERROR(_xlfn.XLOOKUP(Summary!$D68,USA_Air_Shipment!$C:$C,USA_Air_Shipment!$AS:$AS),0),"USA Amazon",IFERROR(_xlfn.XLOOKUP(Summary!$D68,Amazon_USA_Air_Shipment!$C:$C,Amazon_USA_Air_Shipment!$AS:$AS),0),"UK",IFERROR(_xlfn.XLOOKUP(Summary!$D68,UK!$C:$C,UK!$AW:$AW),0),"MENA",IFERROR(_xlfn.XLOOKUP(Summary!$D68,MENA!$C:$C,MENA!$AS:$AS),0),Summary!BB68)</f>
        <v>0</v>
      </c>
      <c r="U68">
        <f>IF($C$3="All",1,--(Summary!E68=$C$3))</f>
        <v>1</v>
      </c>
      <c r="Y68" t="str">
        <f>IF(Summary!E69="","",Summary!E69)</f>
        <v/>
      </c>
      <c r="Z68" t="str">
        <f t="shared" si="10"/>
        <v/>
      </c>
      <c r="AA68" t="str">
        <f t="shared" si="11"/>
        <v/>
      </c>
    </row>
    <row r="69" spans="1:27" ht="13">
      <c r="A69" s="7" t="str">
        <f t="shared" si="9"/>
        <v/>
      </c>
      <c r="B69" s="7" t="str">
        <f t="array" ref="B69">IF($N69="","",INDEX(Summary!$B:$B,$N69))</f>
        <v/>
      </c>
      <c r="C69" s="7" t="str">
        <f t="array" ref="C69">IF($N69="","",INDEX(Summary!$D:$D,$N69))</f>
        <v/>
      </c>
      <c r="D69" s="7" t="str">
        <f t="array" ref="D69">IF($N69="","",INDEX(Summary!$E:$E,$N69))</f>
        <v/>
      </c>
      <c r="E69" s="8" t="str">
        <f t="array" ref="E69">IF($N69="","",INDEX($O:$O,$N69))</f>
        <v/>
      </c>
      <c r="F69" s="8" t="str">
        <f t="array" ref="F69">IF($N69="","",INDEX($T:$T,$N69))</f>
        <v/>
      </c>
      <c r="G69" s="8" t="str">
        <f t="array" ref="G69">IF($N69="","",INDEX($R:$R,$N69))</f>
        <v/>
      </c>
      <c r="H69" s="9" t="str">
        <f t="array" ref="H69">IF($N69="","",IFERROR(INDEX($T:$T,$N69)/INDEX($O:$O,$N69),""))</f>
        <v/>
      </c>
      <c r="I69" s="10" t="str">
        <f t="array" ref="I69">IF($N69="","",INDEX(Summary!$BI:$BI,$N69))</f>
        <v/>
      </c>
      <c r="J69" s="10" t="str">
        <f t="array" ref="J69">IF($N69="","",INDEX(Summary!$BJ:$BJ,$N69))</f>
        <v/>
      </c>
      <c r="K69" s="7" t="str">
        <f t="array" ref="K69">IF($N69="","",INDEX(Summary!$BK:$BK,$N69))</f>
        <v/>
      </c>
      <c r="L69" s="7" t="str">
        <f t="array" ref="L69">IF($N69="","",INDEX(Summary!$BG:$BG,$N69))</f>
        <v/>
      </c>
      <c r="M69" s="1"/>
      <c r="N69" t="str">
        <f t="array" ref="N69">IFERROR(_xlfn.AGGREGATE(15,6,ROW(Summary!$D$3:$D$70)/(($R$3:$R$70&lt;0)*$P$3:$P$70*$Q$3:$Q$70*$U$3:$U$70),ROW()-27),"")</f>
        <v/>
      </c>
      <c r="O69">
        <f t="array" ref="O69">_xlfn.SWITCH($G$3,"MRP (Domestic)",Summary!G69,"ROW Manjari",Summary!H69,"USA Sea",Summary!I69,"Amazon USA Sea",Summary!J69,"USA Air",Summary!K69,"USA Amazon",Summary!L69,"UK",Summary!M69,"MENA",Summary!N69,Summary!O69)</f>
        <v>0</v>
      </c>
      <c r="P69">
        <f>--(ISNUMBER(Summary!$A69))*--(Summary!$D69&lt;&gt;"")</f>
        <v>0</v>
      </c>
      <c r="Q69">
        <f t="shared" si="5"/>
        <v>1</v>
      </c>
      <c r="R69">
        <f t="shared" si="6"/>
        <v>0</v>
      </c>
      <c r="S69" t="str">
        <f>IF(Summary!$D69="","",Summary!B69)</f>
        <v/>
      </c>
      <c r="T69">
        <f t="array" ref="T69">_xlfn.SWITCH($G$3,"MRP (Domestic)",IFERROR(_xlfn.XLOOKUP(Summary!$D69,Domestic!$C:$C,Domestic!$AU:$AU),0),"ROW Manjari",IFERROR(_xlfn.XLOOKUP(Summary!$D69,'INT-_Manjiri'!$C:$C,'INT-_Manjiri'!$AT:$AT),0),"USA Sea",IFERROR(_xlfn.XLOOKUP(Summary!$D69,'USA-_Sea_shipment'!$C:$C,'USA-_Sea_shipment'!#REF!),0),"Amazon USA Sea",IFERROR(_xlfn.XLOOKUP(Summary!$D69,Amazon_USA_Sea!$C:$C,Amazon_USA_Sea!$AT:$AT),0),"USA Air",IFERROR(_xlfn.XLOOKUP(Summary!$D69,USA_Air_Shipment!$C:$C,USA_Air_Shipment!$AS:$AS),0),"USA Amazon",IFERROR(_xlfn.XLOOKUP(Summary!$D69,Amazon_USA_Air_Shipment!$C:$C,Amazon_USA_Air_Shipment!$AS:$AS),0),"UK",IFERROR(_xlfn.XLOOKUP(Summary!$D69,UK!$C:$C,UK!$AW:$AW),0),"MENA",IFERROR(_xlfn.XLOOKUP(Summary!$D69,MENA!$C:$C,MENA!$AS:$AS),0),Summary!BB69)</f>
        <v>0</v>
      </c>
      <c r="U69">
        <f>IF($C$3="All",1,--(Summary!E69=$C$3))</f>
        <v>1</v>
      </c>
      <c r="Z69" t="str">
        <f t="shared" si="10"/>
        <v/>
      </c>
      <c r="AA69" t="str">
        <f t="shared" si="11"/>
        <v/>
      </c>
    </row>
    <row r="70" spans="1:27" ht="13">
      <c r="A70" s="7" t="str">
        <f t="shared" si="9"/>
        <v/>
      </c>
      <c r="B70" s="7" t="str">
        <f t="array" ref="B70">IF($N70="","",INDEX(Summary!$B:$B,$N70))</f>
        <v/>
      </c>
      <c r="C70" s="7" t="str">
        <f t="array" ref="C70">IF($N70="","",INDEX(Summary!$D:$D,$N70))</f>
        <v/>
      </c>
      <c r="D70" s="7" t="str">
        <f t="array" ref="D70">IF($N70="","",INDEX(Summary!$E:$E,$N70))</f>
        <v/>
      </c>
      <c r="E70" s="8" t="str">
        <f t="array" ref="E70">IF($N70="","",INDEX($O:$O,$N70))</f>
        <v/>
      </c>
      <c r="F70" s="8" t="str">
        <f t="array" ref="F70">IF($N70="","",INDEX($T:$T,$N70))</f>
        <v/>
      </c>
      <c r="G70" s="8" t="str">
        <f t="array" ref="G70">IF($N70="","",INDEX($R:$R,$N70))</f>
        <v/>
      </c>
      <c r="H70" s="9" t="str">
        <f t="array" ref="H70">IF($N70="","",IFERROR(INDEX($T:$T,$N70)/INDEX($O:$O,$N70),""))</f>
        <v/>
      </c>
      <c r="I70" s="10" t="str">
        <f t="array" ref="I70">IF($N70="","",INDEX(Summary!$BI:$BI,$N70))</f>
        <v/>
      </c>
      <c r="J70" s="10" t="str">
        <f t="array" ref="J70">IF($N70="","",INDEX(Summary!$BJ:$BJ,$N70))</f>
        <v/>
      </c>
      <c r="K70" s="7" t="str">
        <f t="array" ref="K70">IF($N70="","",INDEX(Summary!$BK:$BK,$N70))</f>
        <v/>
      </c>
      <c r="L70" s="7" t="str">
        <f t="array" ref="L70">IF($N70="","",INDEX(Summary!$BG:$BG,$N70))</f>
        <v/>
      </c>
      <c r="M70" s="1"/>
      <c r="N70" t="str">
        <f t="array" ref="N70">IFERROR(_xlfn.AGGREGATE(15,6,ROW(Summary!$D$3:$D$70)/(($R$3:$R$70&lt;0)*$P$3:$P$70*$Q$3:$Q$70*$U$3:$U$70),ROW()-27),"")</f>
        <v/>
      </c>
      <c r="O70">
        <f t="array" ref="O70">_xlfn.SWITCH($G$3,"MRP (Domestic)",Summary!G70,"ROW Manjari",Summary!H70,"USA Sea",Summary!I70,"Amazon USA Sea",Summary!J70,"USA Air",Summary!K70,"USA Amazon",Summary!L70,"UK",Summary!M70,"MENA",Summary!N70,Summary!O70)</f>
        <v>0</v>
      </c>
      <c r="P70">
        <f>--(ISNUMBER(Summary!$A70))*--(Summary!$D70&lt;&gt;"")</f>
        <v>0</v>
      </c>
      <c r="Q70">
        <f t="shared" si="5"/>
        <v>1</v>
      </c>
      <c r="R70">
        <f t="shared" si="6"/>
        <v>0</v>
      </c>
      <c r="S70" t="str">
        <f>IF(Summary!$D70="","",Summary!B70)</f>
        <v/>
      </c>
      <c r="T70">
        <f t="array" ref="T70">_xlfn.SWITCH($G$3,"MRP (Domestic)",IFERROR(_xlfn.XLOOKUP(Summary!$D70,Domestic!$C:$C,Domestic!$AU:$AU),0),"ROW Manjari",IFERROR(_xlfn.XLOOKUP(Summary!$D70,'INT-_Manjiri'!$C:$C,'INT-_Manjiri'!$AT:$AT),0),"USA Sea",IFERROR(_xlfn.XLOOKUP(Summary!$D70,'USA-_Sea_shipment'!$C:$C,'USA-_Sea_shipment'!#REF!),0),"Amazon USA Sea",IFERROR(_xlfn.XLOOKUP(Summary!$D70,Amazon_USA_Sea!$C:$C,Amazon_USA_Sea!$AT:$AT),0),"USA Air",IFERROR(_xlfn.XLOOKUP(Summary!$D70,USA_Air_Shipment!$C:$C,USA_Air_Shipment!$AS:$AS),0),"USA Amazon",IFERROR(_xlfn.XLOOKUP(Summary!$D70,Amazon_USA_Air_Shipment!$C:$C,Amazon_USA_Air_Shipment!$AS:$AS),0),"UK",IFERROR(_xlfn.XLOOKUP(Summary!$D70,UK!$C:$C,UK!$AW:$AW),0),"MENA",IFERROR(_xlfn.XLOOKUP(Summary!$D70,MENA!$C:$C,MENA!$AS:$AS),0),Summary!BB70)</f>
        <v>0</v>
      </c>
      <c r="U70">
        <f>IF($C$3="All",1,--(Summary!E70=$C$3))</f>
        <v>1</v>
      </c>
      <c r="Z70" t="str">
        <f t="shared" si="10"/>
        <v/>
      </c>
      <c r="AA70" t="str">
        <f t="shared" si="11"/>
        <v/>
      </c>
    </row>
    <row r="71" spans="1:27" ht="13">
      <c r="A71" s="7" t="str">
        <f t="shared" si="9"/>
        <v/>
      </c>
      <c r="B71" s="7" t="str">
        <f t="array" ref="B71">IF($N71="","",INDEX(Summary!$B:$B,$N71))</f>
        <v/>
      </c>
      <c r="C71" s="7" t="str">
        <f t="array" ref="C71">IF($N71="","",INDEX(Summary!$D:$D,$N71))</f>
        <v/>
      </c>
      <c r="D71" s="7" t="str">
        <f t="array" ref="D71">IF($N71="","",INDEX(Summary!$E:$E,$N71))</f>
        <v/>
      </c>
      <c r="E71" s="8" t="str">
        <f t="array" ref="E71">IF($N71="","",INDEX($O:$O,$N71))</f>
        <v/>
      </c>
      <c r="F71" s="8" t="str">
        <f t="array" ref="F71">IF($N71="","",INDEX($T:$T,$N71))</f>
        <v/>
      </c>
      <c r="G71" s="8" t="str">
        <f t="array" ref="G71">IF($N71="","",INDEX($R:$R,$N71))</f>
        <v/>
      </c>
      <c r="H71" s="9" t="str">
        <f t="array" ref="H71">IF($N71="","",IFERROR(INDEX($T:$T,$N71)/INDEX($O:$O,$N71),""))</f>
        <v/>
      </c>
      <c r="I71" s="10" t="str">
        <f t="array" ref="I71">IF($N71="","",INDEX(Summary!$BI:$BI,$N71))</f>
        <v/>
      </c>
      <c r="J71" s="10" t="str">
        <f t="array" ref="J71">IF($N71="","",INDEX(Summary!$BJ:$BJ,$N71))</f>
        <v/>
      </c>
      <c r="K71" s="7" t="str">
        <f t="array" ref="K71">IF($N71="","",INDEX(Summary!$BK:$BK,$N71))</f>
        <v/>
      </c>
      <c r="L71" s="7" t="str">
        <f t="array" ref="L71">IF($N71="","",INDEX(Summary!$BG:$BG,$N71))</f>
        <v/>
      </c>
      <c r="M71" s="1"/>
      <c r="N71" t="str">
        <f t="array" ref="N71">IFERROR(_xlfn.AGGREGATE(15,6,ROW(Summary!$D$3:$D$70)/(($R$3:$R$70&lt;0)*$P$3:$P$70*$Q$3:$Q$70*$U$3:$U$70),ROW()-27),"")</f>
        <v/>
      </c>
      <c r="Z71" t="str">
        <f t="shared" si="10"/>
        <v/>
      </c>
      <c r="AA71" t="str">
        <f t="shared" si="11"/>
        <v/>
      </c>
    </row>
    <row r="72" spans="1:27" ht="13">
      <c r="A72" s="7" t="str">
        <f t="shared" si="9"/>
        <v/>
      </c>
      <c r="B72" s="7" t="str">
        <f t="array" ref="B72">IF($N72="","",INDEX(Summary!$B:$B,$N72))</f>
        <v/>
      </c>
      <c r="C72" s="7" t="str">
        <f t="array" ref="C72">IF($N72="","",INDEX(Summary!$D:$D,$N72))</f>
        <v/>
      </c>
      <c r="D72" s="7" t="str">
        <f t="array" ref="D72">IF($N72="","",INDEX(Summary!$E:$E,$N72))</f>
        <v/>
      </c>
      <c r="E72" s="8" t="str">
        <f t="array" ref="E72">IF($N72="","",INDEX($O:$O,$N72))</f>
        <v/>
      </c>
      <c r="F72" s="8" t="str">
        <f t="array" ref="F72">IF($N72="","",INDEX($T:$T,$N72))</f>
        <v/>
      </c>
      <c r="G72" s="8" t="str">
        <f t="array" ref="G72">IF($N72="","",INDEX($R:$R,$N72))</f>
        <v/>
      </c>
      <c r="H72" s="9" t="str">
        <f t="array" ref="H72">IF($N72="","",IFERROR(INDEX($T:$T,$N72)/INDEX($O:$O,$N72),""))</f>
        <v/>
      </c>
      <c r="I72" s="10" t="str">
        <f t="array" ref="I72">IF($N72="","",INDEX(Summary!$BI:$BI,$N72))</f>
        <v/>
      </c>
      <c r="J72" s="10" t="str">
        <f t="array" ref="J72">IF($N72="","",INDEX(Summary!$BJ:$BJ,$N72))</f>
        <v/>
      </c>
      <c r="K72" s="7" t="str">
        <f t="array" ref="K72">IF($N72="","",INDEX(Summary!$BK:$BK,$N72))</f>
        <v/>
      </c>
      <c r="L72" s="7" t="str">
        <f t="array" ref="L72">IF($N72="","",INDEX(Summary!$BG:$BG,$N72))</f>
        <v/>
      </c>
      <c r="M72" s="1"/>
      <c r="N72" t="str">
        <f t="array" ref="N72">IFERROR(_xlfn.AGGREGATE(15,6,ROW(Summary!$D$3:$D$70)/(($R$3:$R$70&lt;0)*$P$3:$P$70*$Q$3:$Q$70*$U$3:$U$70),ROW()-27),"")</f>
        <v/>
      </c>
      <c r="Z72" t="str">
        <f t="shared" si="10"/>
        <v/>
      </c>
      <c r="AA72" t="str">
        <f t="shared" si="11"/>
        <v/>
      </c>
    </row>
    <row r="73" spans="1:27" ht="13">
      <c r="A73" s="7" t="str">
        <f t="shared" si="9"/>
        <v/>
      </c>
      <c r="B73" s="7" t="str">
        <f t="array" ref="B73">IF($N73="","",INDEX(Summary!$B:$B,$N73))</f>
        <v/>
      </c>
      <c r="C73" s="7" t="str">
        <f t="array" ref="C73">IF($N73="","",INDEX(Summary!$D:$D,$N73))</f>
        <v/>
      </c>
      <c r="D73" s="7" t="str">
        <f t="array" ref="D73">IF($N73="","",INDEX(Summary!$E:$E,$N73))</f>
        <v/>
      </c>
      <c r="E73" s="8" t="str">
        <f t="array" ref="E73">IF($N73="","",INDEX($O:$O,$N73))</f>
        <v/>
      </c>
      <c r="F73" s="8" t="str">
        <f t="array" ref="F73">IF($N73="","",INDEX($T:$T,$N73))</f>
        <v/>
      </c>
      <c r="G73" s="8" t="str">
        <f t="array" ref="G73">IF($N73="","",INDEX($R:$R,$N73))</f>
        <v/>
      </c>
      <c r="H73" s="9" t="str">
        <f t="array" ref="H73">IF($N73="","",IFERROR(INDEX($T:$T,$N73)/INDEX($O:$O,$N73),""))</f>
        <v/>
      </c>
      <c r="I73" s="10" t="str">
        <f t="array" ref="I73">IF($N73="","",INDEX(Summary!$BI:$BI,$N73))</f>
        <v/>
      </c>
      <c r="J73" s="10" t="str">
        <f t="array" ref="J73">IF($N73="","",INDEX(Summary!$BJ:$BJ,$N73))</f>
        <v/>
      </c>
      <c r="K73" s="7" t="str">
        <f t="array" ref="K73">IF($N73="","",INDEX(Summary!$BK:$BK,$N73))</f>
        <v/>
      </c>
      <c r="L73" s="7" t="str">
        <f t="array" ref="L73">IF($N73="","",INDEX(Summary!$BG:$BG,$N73))</f>
        <v/>
      </c>
      <c r="M73" s="1"/>
      <c r="N73" t="str">
        <f t="array" ref="N73">IFERROR(_xlfn.AGGREGATE(15,6,ROW(Summary!$D$3:$D$70)/(($R$3:$R$70&lt;0)*$P$3:$P$70*$Q$3:$Q$70*$U$3:$U$70),ROW()-27),"")</f>
        <v/>
      </c>
      <c r="Z73" t="str">
        <f t="shared" si="10"/>
        <v/>
      </c>
      <c r="AA73" t="str">
        <f t="shared" si="11"/>
        <v/>
      </c>
    </row>
    <row r="74" spans="1:27" ht="13">
      <c r="A74" s="7" t="str">
        <f t="shared" si="9"/>
        <v/>
      </c>
      <c r="B74" s="7" t="str">
        <f t="array" ref="B74">IF($N74="","",INDEX(Summary!$B:$B,$N74))</f>
        <v/>
      </c>
      <c r="C74" s="7" t="str">
        <f t="array" ref="C74">IF($N74="","",INDEX(Summary!$D:$D,$N74))</f>
        <v/>
      </c>
      <c r="D74" s="7" t="str">
        <f t="array" ref="D74">IF($N74="","",INDEX(Summary!$E:$E,$N74))</f>
        <v/>
      </c>
      <c r="E74" s="8" t="str">
        <f t="array" ref="E74">IF($N74="","",INDEX($O:$O,$N74))</f>
        <v/>
      </c>
      <c r="F74" s="8" t="str">
        <f t="array" ref="F74">IF($N74="","",INDEX($T:$T,$N74))</f>
        <v/>
      </c>
      <c r="G74" s="8" t="str">
        <f t="array" ref="G74">IF($N74="","",INDEX($R:$R,$N74))</f>
        <v/>
      </c>
      <c r="H74" s="9" t="str">
        <f t="array" ref="H74">IF($N74="","",IFERROR(INDEX($T:$T,$N74)/INDEX($O:$O,$N74),""))</f>
        <v/>
      </c>
      <c r="I74" s="10" t="str">
        <f t="array" ref="I74">IF($N74="","",INDEX(Summary!$BI:$BI,$N74))</f>
        <v/>
      </c>
      <c r="J74" s="10" t="str">
        <f t="array" ref="J74">IF($N74="","",INDEX(Summary!$BJ:$BJ,$N74))</f>
        <v/>
      </c>
      <c r="K74" s="7" t="str">
        <f t="array" ref="K74">IF($N74="","",INDEX(Summary!$BK:$BK,$N74))</f>
        <v/>
      </c>
      <c r="L74" s="7" t="str">
        <f t="array" ref="L74">IF($N74="","",INDEX(Summary!$BG:$BG,$N74))</f>
        <v/>
      </c>
      <c r="M74" s="1"/>
      <c r="N74" t="str">
        <f t="array" ref="N74">IFERROR(_xlfn.AGGREGATE(15,6,ROW(Summary!$D$3:$D$70)/(($R$3:$R$70&lt;0)*$P$3:$P$70*$Q$3:$Q$70*$U$3:$U$70),ROW()-27),"")</f>
        <v/>
      </c>
      <c r="O74" t="s">
        <v>1</v>
      </c>
      <c r="Z74" t="str">
        <f t="shared" si="10"/>
        <v/>
      </c>
      <c r="AA74" t="str">
        <f t="shared" si="11"/>
        <v/>
      </c>
    </row>
    <row r="75" spans="1:27" ht="13">
      <c r="A75" s="7" t="str">
        <f t="shared" si="9"/>
        <v/>
      </c>
      <c r="B75" s="7" t="str">
        <f t="array" ref="B75">IF($N75="","",INDEX(Summary!$B:$B,$N75))</f>
        <v/>
      </c>
      <c r="C75" s="7" t="str">
        <f t="array" ref="C75">IF($N75="","",INDEX(Summary!$D:$D,$N75))</f>
        <v/>
      </c>
      <c r="D75" s="7" t="str">
        <f t="array" ref="D75">IF($N75="","",INDEX(Summary!$E:$E,$N75))</f>
        <v/>
      </c>
      <c r="E75" s="8" t="str">
        <f t="array" ref="E75">IF($N75="","",INDEX($O:$O,$N75))</f>
        <v/>
      </c>
      <c r="F75" s="8" t="str">
        <f t="array" ref="F75">IF($N75="","",INDEX($T:$T,$N75))</f>
        <v/>
      </c>
      <c r="G75" s="8" t="str">
        <f t="array" ref="G75">IF($N75="","",INDEX($R:$R,$N75))</f>
        <v/>
      </c>
      <c r="H75" s="9" t="str">
        <f t="array" ref="H75">IF($N75="","",IFERROR(INDEX($T:$T,$N75)/INDEX($O:$O,$N75),""))</f>
        <v/>
      </c>
      <c r="I75" s="10" t="str">
        <f t="array" ref="I75">IF($N75="","",INDEX(Summary!$BI:$BI,$N75))</f>
        <v/>
      </c>
      <c r="J75" s="10" t="str">
        <f t="array" ref="J75">IF($N75="","",INDEX(Summary!$BJ:$BJ,$N75))</f>
        <v/>
      </c>
      <c r="K75" s="7" t="str">
        <f t="array" ref="K75">IF($N75="","",INDEX(Summary!$BK:$BK,$N75))</f>
        <v/>
      </c>
      <c r="L75" s="7" t="str">
        <f t="array" ref="L75">IF($N75="","",INDEX(Summary!$BG:$BG,$N75))</f>
        <v/>
      </c>
      <c r="M75" s="1"/>
      <c r="N75" t="str">
        <f t="array" ref="N75">IFERROR(_xlfn.AGGREGATE(15,6,ROW(Summary!$D$3:$D$70)/(($R$3:$R$70&lt;0)*$P$3:$P$70*$Q$3:$Q$70*$U$3:$U$70),ROW()-27),"")</f>
        <v/>
      </c>
      <c r="O75" t="str">
        <f>Summary!G2</f>
        <v>MRP (Domestic)</v>
      </c>
      <c r="Z75" t="str">
        <f t="shared" si="10"/>
        <v/>
      </c>
      <c r="AA75" t="str">
        <f t="shared" si="11"/>
        <v/>
      </c>
    </row>
    <row r="76" spans="1:27" ht="13">
      <c r="A76" s="7" t="str">
        <f t="shared" si="9"/>
        <v/>
      </c>
      <c r="B76" s="7" t="str">
        <f t="array" ref="B76">IF($N76="","",INDEX(Summary!$B:$B,$N76))</f>
        <v/>
      </c>
      <c r="C76" s="7" t="str">
        <f t="array" ref="C76">IF($N76="","",INDEX(Summary!$D:$D,$N76))</f>
        <v/>
      </c>
      <c r="D76" s="7" t="str">
        <f t="array" ref="D76">IF($N76="","",INDEX(Summary!$E:$E,$N76))</f>
        <v/>
      </c>
      <c r="E76" s="8" t="str">
        <f t="array" ref="E76">IF($N76="","",INDEX($O:$O,$N76))</f>
        <v/>
      </c>
      <c r="F76" s="8" t="str">
        <f t="array" ref="F76">IF($N76="","",INDEX($T:$T,$N76))</f>
        <v/>
      </c>
      <c r="G76" s="8" t="str">
        <f t="array" ref="G76">IF($N76="","",INDEX($R:$R,$N76))</f>
        <v/>
      </c>
      <c r="H76" s="9" t="str">
        <f t="array" ref="H76">IF($N76="","",IFERROR(INDEX($T:$T,$N76)/INDEX($O:$O,$N76),""))</f>
        <v/>
      </c>
      <c r="I76" s="10" t="str">
        <f t="array" ref="I76">IF($N76="","",INDEX(Summary!$BI:$BI,$N76))</f>
        <v/>
      </c>
      <c r="J76" s="10" t="str">
        <f t="array" ref="J76">IF($N76="","",INDEX(Summary!$BJ:$BJ,$N76))</f>
        <v/>
      </c>
      <c r="K76" s="7" t="str">
        <f t="array" ref="K76">IF($N76="","",INDEX(Summary!$BK:$BK,$N76))</f>
        <v/>
      </c>
      <c r="L76" s="7" t="str">
        <f t="array" ref="L76">IF($N76="","",INDEX(Summary!$BG:$BG,$N76))</f>
        <v/>
      </c>
      <c r="M76" s="1"/>
      <c r="N76" t="str">
        <f t="array" ref="N76">IFERROR(_xlfn.AGGREGATE(15,6,ROW(Summary!$D$3:$D$70)/(($R$3:$R$70&lt;0)*$P$3:$P$70*$Q$3:$Q$70*$U$3:$U$70),ROW()-27),"")</f>
        <v/>
      </c>
      <c r="O76" t="str">
        <f>Summary!H2</f>
        <v>ROW Manjari</v>
      </c>
      <c r="Z76" t="str">
        <f t="shared" si="10"/>
        <v/>
      </c>
      <c r="AA76" t="str">
        <f t="shared" si="11"/>
        <v/>
      </c>
    </row>
    <row r="77" spans="1:27" ht="13">
      <c r="A77" s="7" t="str">
        <f t="shared" si="9"/>
        <v/>
      </c>
      <c r="B77" s="7" t="str">
        <f t="array" ref="B77">IF($N77="","",INDEX(Summary!$B:$B,$N77))</f>
        <v/>
      </c>
      <c r="C77" s="7" t="str">
        <f t="array" ref="C77">IF($N77="","",INDEX(Summary!$D:$D,$N77))</f>
        <v/>
      </c>
      <c r="D77" s="7" t="str">
        <f t="array" ref="D77">IF($N77="","",INDEX(Summary!$E:$E,$N77))</f>
        <v/>
      </c>
      <c r="E77" s="8" t="str">
        <f t="array" ref="E77">IF($N77="","",INDEX($O:$O,$N77))</f>
        <v/>
      </c>
      <c r="F77" s="8" t="str">
        <f t="array" ref="F77">IF($N77="","",INDEX($T:$T,$N77))</f>
        <v/>
      </c>
      <c r="G77" s="8" t="str">
        <f t="array" ref="G77">IF($N77="","",INDEX($R:$R,$N77))</f>
        <v/>
      </c>
      <c r="H77" s="9" t="str">
        <f t="array" ref="H77">IF($N77="","",IFERROR(INDEX($T:$T,$N77)/INDEX($O:$O,$N77),""))</f>
        <v/>
      </c>
      <c r="I77" s="10" t="str">
        <f t="array" ref="I77">IF($N77="","",INDEX(Summary!$BI:$BI,$N77))</f>
        <v/>
      </c>
      <c r="J77" s="10" t="str">
        <f t="array" ref="J77">IF($N77="","",INDEX(Summary!$BJ:$BJ,$N77))</f>
        <v/>
      </c>
      <c r="K77" s="7" t="str">
        <f t="array" ref="K77">IF($N77="","",INDEX(Summary!$BK:$BK,$N77))</f>
        <v/>
      </c>
      <c r="L77" s="7" t="str">
        <f t="array" ref="L77">IF($N77="","",INDEX(Summary!$BG:$BG,$N77))</f>
        <v/>
      </c>
      <c r="M77" s="1"/>
      <c r="N77" t="str">
        <f t="array" ref="N77">IFERROR(_xlfn.AGGREGATE(15,6,ROW(Summary!$D$3:$D$70)/(($R$3:$R$70&lt;0)*$P$3:$P$70*$Q$3:$Q$70*$U$3:$U$70),ROW()-27),"")</f>
        <v/>
      </c>
      <c r="O77" t="str">
        <f>Summary!I2</f>
        <v>USA Sea</v>
      </c>
      <c r="Z77" t="str">
        <f t="shared" si="10"/>
        <v/>
      </c>
      <c r="AA77" t="str">
        <f t="shared" si="11"/>
        <v/>
      </c>
    </row>
    <row r="78" spans="1:27" ht="13">
      <c r="A78" s="7" t="str">
        <f t="shared" si="9"/>
        <v/>
      </c>
      <c r="B78" s="7" t="str">
        <f t="array" ref="B78">IF($N78="","",INDEX(Summary!$B:$B,$N78))</f>
        <v/>
      </c>
      <c r="C78" s="7" t="str">
        <f t="array" ref="C78">IF($N78="","",INDEX(Summary!$D:$D,$N78))</f>
        <v/>
      </c>
      <c r="D78" s="7" t="str">
        <f t="array" ref="D78">IF($N78="","",INDEX(Summary!$E:$E,$N78))</f>
        <v/>
      </c>
      <c r="E78" s="8" t="str">
        <f t="array" ref="E78">IF($N78="","",INDEX($O:$O,$N78))</f>
        <v/>
      </c>
      <c r="F78" s="8" t="str">
        <f t="array" ref="F78">IF($N78="","",INDEX($T:$T,$N78))</f>
        <v/>
      </c>
      <c r="G78" s="8" t="str">
        <f t="array" ref="G78">IF($N78="","",INDEX($R:$R,$N78))</f>
        <v/>
      </c>
      <c r="H78" s="9" t="str">
        <f t="array" ref="H78">IF($N78="","",IFERROR(INDEX($T:$T,$N78)/INDEX($O:$O,$N78),""))</f>
        <v/>
      </c>
      <c r="I78" s="10" t="str">
        <f t="array" ref="I78">IF($N78="","",INDEX(Summary!$BI:$BI,$N78))</f>
        <v/>
      </c>
      <c r="J78" s="10" t="str">
        <f t="array" ref="J78">IF($N78="","",INDEX(Summary!$BJ:$BJ,$N78))</f>
        <v/>
      </c>
      <c r="K78" s="7" t="str">
        <f t="array" ref="K78">IF($N78="","",INDEX(Summary!$BK:$BK,$N78))</f>
        <v/>
      </c>
      <c r="L78" s="7" t="str">
        <f t="array" ref="L78">IF($N78="","",INDEX(Summary!$BG:$BG,$N78))</f>
        <v/>
      </c>
      <c r="M78" s="1"/>
      <c r="N78" t="str">
        <f t="array" ref="N78">IFERROR(_xlfn.AGGREGATE(15,6,ROW(Summary!$D$3:$D$70)/(($R$3:$R$70&lt;0)*$P$3:$P$70*$Q$3:$Q$70*$U$3:$U$70),ROW()-27),"")</f>
        <v/>
      </c>
      <c r="O78" t="str">
        <f>Summary!J2</f>
        <v>Amazon USA Sea</v>
      </c>
      <c r="Z78" t="str">
        <f t="shared" si="10"/>
        <v/>
      </c>
      <c r="AA78" t="str">
        <f t="shared" si="11"/>
        <v/>
      </c>
    </row>
    <row r="79" spans="1:27" ht="13">
      <c r="A79" s="7" t="str">
        <f t="shared" si="9"/>
        <v/>
      </c>
      <c r="B79" s="7" t="str">
        <f t="array" ref="B79">IF($N79="","",INDEX(Summary!$B:$B,$N79))</f>
        <v/>
      </c>
      <c r="C79" s="7" t="str">
        <f t="array" ref="C79">IF($N79="","",INDEX(Summary!$D:$D,$N79))</f>
        <v/>
      </c>
      <c r="D79" s="7" t="str">
        <f t="array" ref="D79">IF($N79="","",INDEX(Summary!$E:$E,$N79))</f>
        <v/>
      </c>
      <c r="E79" s="8" t="str">
        <f t="array" ref="E79">IF($N79="","",INDEX($O:$O,$N79))</f>
        <v/>
      </c>
      <c r="F79" s="8" t="str">
        <f t="array" ref="F79">IF($N79="","",INDEX($T:$T,$N79))</f>
        <v/>
      </c>
      <c r="G79" s="8" t="str">
        <f t="array" ref="G79">IF($N79="","",INDEX($R:$R,$N79))</f>
        <v/>
      </c>
      <c r="H79" s="9" t="str">
        <f t="array" ref="H79">IF($N79="","",IFERROR(INDEX($T:$T,$N79)/INDEX($O:$O,$N79),""))</f>
        <v/>
      </c>
      <c r="I79" s="10" t="str">
        <f t="array" ref="I79">IF($N79="","",INDEX(Summary!$BI:$BI,$N79))</f>
        <v/>
      </c>
      <c r="J79" s="10" t="str">
        <f t="array" ref="J79">IF($N79="","",INDEX(Summary!$BJ:$BJ,$N79))</f>
        <v/>
      </c>
      <c r="K79" s="7" t="str">
        <f t="array" ref="K79">IF($N79="","",INDEX(Summary!$BK:$BK,$N79))</f>
        <v/>
      </c>
      <c r="L79" s="7" t="str">
        <f t="array" ref="L79">IF($N79="","",INDEX(Summary!$BG:$BG,$N79))</f>
        <v/>
      </c>
      <c r="M79" s="1"/>
      <c r="N79" t="str">
        <f t="array" ref="N79">IFERROR(_xlfn.AGGREGATE(15,6,ROW(Summary!$D$3:$D$70)/(($R$3:$R$70&lt;0)*$P$3:$P$70*$Q$3:$Q$70*$U$3:$U$70),ROW()-27),"")</f>
        <v/>
      </c>
      <c r="O79" t="str">
        <f>Summary!K2</f>
        <v>USA Air</v>
      </c>
      <c r="Z79" t="str">
        <f t="shared" si="10"/>
        <v/>
      </c>
      <c r="AA79" t="str">
        <f t="shared" si="11"/>
        <v/>
      </c>
    </row>
    <row r="80" spans="1:27" ht="13">
      <c r="A80" s="7" t="str">
        <f t="shared" si="9"/>
        <v/>
      </c>
      <c r="B80" s="7" t="str">
        <f t="array" ref="B80">IF($N80="","",INDEX(Summary!$B:$B,$N80))</f>
        <v/>
      </c>
      <c r="C80" s="7" t="str">
        <f t="array" ref="C80">IF($N80="","",INDEX(Summary!$D:$D,$N80))</f>
        <v/>
      </c>
      <c r="D80" s="7" t="str">
        <f t="array" ref="D80">IF($N80="","",INDEX(Summary!$E:$E,$N80))</f>
        <v/>
      </c>
      <c r="E80" s="8" t="str">
        <f t="array" ref="E80">IF($N80="","",INDEX($O:$O,$N80))</f>
        <v/>
      </c>
      <c r="F80" s="8" t="str">
        <f t="array" ref="F80">IF($N80="","",INDEX($T:$T,$N80))</f>
        <v/>
      </c>
      <c r="G80" s="8" t="str">
        <f t="array" ref="G80">IF($N80="","",INDEX($R:$R,$N80))</f>
        <v/>
      </c>
      <c r="H80" s="9" t="str">
        <f t="array" ref="H80">IF($N80="","",IFERROR(INDEX($T:$T,$N80)/INDEX($O:$O,$N80),""))</f>
        <v/>
      </c>
      <c r="I80" s="10" t="str">
        <f t="array" ref="I80">IF($N80="","",INDEX(Summary!$BI:$BI,$N80))</f>
        <v/>
      </c>
      <c r="J80" s="10" t="str">
        <f t="array" ref="J80">IF($N80="","",INDEX(Summary!$BJ:$BJ,$N80))</f>
        <v/>
      </c>
      <c r="K80" s="7" t="str">
        <f t="array" ref="K80">IF($N80="","",INDEX(Summary!$BK:$BK,$N80))</f>
        <v/>
      </c>
      <c r="L80" s="7" t="str">
        <f t="array" ref="L80">IF($N80="","",INDEX(Summary!$BG:$BG,$N80))</f>
        <v/>
      </c>
      <c r="M80" s="1"/>
      <c r="N80" t="str">
        <f t="array" ref="N80">IFERROR(_xlfn.AGGREGATE(15,6,ROW(Summary!$D$3:$D$70)/(($R$3:$R$70&lt;0)*$P$3:$P$70*$Q$3:$Q$70*$U$3:$U$70),ROW()-27),"")</f>
        <v/>
      </c>
      <c r="O80" t="str">
        <f>Summary!L2</f>
        <v>USA Amazon</v>
      </c>
      <c r="Z80" t="str">
        <f t="shared" si="10"/>
        <v/>
      </c>
      <c r="AA80" t="str">
        <f t="shared" si="11"/>
        <v/>
      </c>
    </row>
    <row r="81" spans="1:27" ht="13">
      <c r="A81" s="7" t="str">
        <f t="shared" si="9"/>
        <v/>
      </c>
      <c r="B81" s="7" t="str">
        <f t="array" ref="B81">IF($N81="","",INDEX(Summary!$B:$B,$N81))</f>
        <v/>
      </c>
      <c r="C81" s="7" t="str">
        <f t="array" ref="C81">IF($N81="","",INDEX(Summary!$D:$D,$N81))</f>
        <v/>
      </c>
      <c r="D81" s="7" t="str">
        <f t="array" ref="D81">IF($N81="","",INDEX(Summary!$E:$E,$N81))</f>
        <v/>
      </c>
      <c r="E81" s="8" t="str">
        <f t="array" ref="E81">IF($N81="","",INDEX($O:$O,$N81))</f>
        <v/>
      </c>
      <c r="F81" s="8" t="str">
        <f t="array" ref="F81">IF($N81="","",INDEX($T:$T,$N81))</f>
        <v/>
      </c>
      <c r="G81" s="8" t="str">
        <f t="array" ref="G81">IF($N81="","",INDEX($R:$R,$N81))</f>
        <v/>
      </c>
      <c r="H81" s="9" t="str">
        <f t="array" ref="H81">IF($N81="","",IFERROR(INDEX($T:$T,$N81)/INDEX($O:$O,$N81),""))</f>
        <v/>
      </c>
      <c r="I81" s="10" t="str">
        <f t="array" ref="I81">IF($N81="","",INDEX(Summary!$BI:$BI,$N81))</f>
        <v/>
      </c>
      <c r="J81" s="10" t="str">
        <f t="array" ref="J81">IF($N81="","",INDEX(Summary!$BJ:$BJ,$N81))</f>
        <v/>
      </c>
      <c r="K81" s="7" t="str">
        <f t="array" ref="K81">IF($N81="","",INDEX(Summary!$BK:$BK,$N81))</f>
        <v/>
      </c>
      <c r="L81" s="7" t="str">
        <f t="array" ref="L81">IF($N81="","",INDEX(Summary!$BG:$BG,$N81))</f>
        <v/>
      </c>
      <c r="M81" s="1"/>
      <c r="N81" t="str">
        <f t="array" ref="N81">IFERROR(_xlfn.AGGREGATE(15,6,ROW(Summary!$D$3:$D$70)/(($R$3:$R$70&lt;0)*$P$3:$P$70*$Q$3:$Q$70*$U$3:$U$70),ROW()-27),"")</f>
        <v/>
      </c>
      <c r="O81" t="str">
        <f>Summary!M2</f>
        <v>UK</v>
      </c>
      <c r="Z81" t="str">
        <f t="shared" si="10"/>
        <v/>
      </c>
      <c r="AA81" t="str">
        <f t="shared" si="11"/>
        <v/>
      </c>
    </row>
    <row r="82" spans="1:27" ht="13">
      <c r="A82" s="7" t="str">
        <f t="shared" si="9"/>
        <v/>
      </c>
      <c r="B82" s="7" t="str">
        <f t="array" ref="B82">IF($N82="","",INDEX(Summary!$B:$B,$N82))</f>
        <v/>
      </c>
      <c r="C82" s="7" t="str">
        <f t="array" ref="C82">IF($N82="","",INDEX(Summary!$D:$D,$N82))</f>
        <v/>
      </c>
      <c r="D82" s="7" t="str">
        <f t="array" ref="D82">IF($N82="","",INDEX(Summary!$E:$E,$N82))</f>
        <v/>
      </c>
      <c r="E82" s="8" t="str">
        <f t="array" ref="E82">IF($N82="","",INDEX($O:$O,$N82))</f>
        <v/>
      </c>
      <c r="F82" s="8" t="str">
        <f t="array" ref="F82">IF($N82="","",INDEX($T:$T,$N82))</f>
        <v/>
      </c>
      <c r="G82" s="8" t="str">
        <f t="array" ref="G82">IF($N82="","",INDEX($R:$R,$N82))</f>
        <v/>
      </c>
      <c r="H82" s="9" t="str">
        <f t="array" ref="H82">IF($N82="","",IFERROR(INDEX($T:$T,$N82)/INDEX($O:$O,$N82),""))</f>
        <v/>
      </c>
      <c r="I82" s="10" t="str">
        <f t="array" ref="I82">IF($N82="","",INDEX(Summary!$BI:$BI,$N82))</f>
        <v/>
      </c>
      <c r="J82" s="10" t="str">
        <f t="array" ref="J82">IF($N82="","",INDEX(Summary!$BJ:$BJ,$N82))</f>
        <v/>
      </c>
      <c r="K82" s="7" t="str">
        <f t="array" ref="K82">IF($N82="","",INDEX(Summary!$BK:$BK,$N82))</f>
        <v/>
      </c>
      <c r="L82" s="7" t="str">
        <f t="array" ref="L82">IF($N82="","",INDEX(Summary!$BG:$BG,$N82))</f>
        <v/>
      </c>
      <c r="M82" s="1"/>
      <c r="N82" t="str">
        <f t="array" ref="N82">IFERROR(_xlfn.AGGREGATE(15,6,ROW(Summary!$D$3:$D$70)/(($R$3:$R$70&lt;0)*$P$3:$P$70*$Q$3:$Q$70*$U$3:$U$70),ROW()-27),"")</f>
        <v/>
      </c>
      <c r="O82" t="str">
        <f>Summary!N2</f>
        <v>MENA</v>
      </c>
      <c r="Z82" t="str">
        <f t="shared" si="10"/>
        <v/>
      </c>
      <c r="AA82" t="str">
        <f t="shared" si="11"/>
        <v/>
      </c>
    </row>
    <row r="83" spans="1:27" ht="13">
      <c r="A83" s="7" t="str">
        <f t="shared" si="9"/>
        <v/>
      </c>
      <c r="B83" s="7" t="str">
        <f t="array" ref="B83">IF($N83="","",INDEX(Summary!$B:$B,$N83))</f>
        <v/>
      </c>
      <c r="C83" s="7" t="str">
        <f t="array" ref="C83">IF($N83="","",INDEX(Summary!$D:$D,$N83))</f>
        <v/>
      </c>
      <c r="D83" s="7" t="str">
        <f t="array" ref="D83">IF($N83="","",INDEX(Summary!$E:$E,$N83))</f>
        <v/>
      </c>
      <c r="E83" s="8" t="str">
        <f t="array" ref="E83">IF($N83="","",INDEX($O:$O,$N83))</f>
        <v/>
      </c>
      <c r="F83" s="8" t="str">
        <f t="array" ref="F83">IF($N83="","",INDEX($T:$T,$N83))</f>
        <v/>
      </c>
      <c r="G83" s="8" t="str">
        <f t="array" ref="G83">IF($N83="","",INDEX($R:$R,$N83))</f>
        <v/>
      </c>
      <c r="H83" s="9" t="str">
        <f t="array" ref="H83">IF($N83="","",IFERROR(INDEX($T:$T,$N83)/INDEX($O:$O,$N83),""))</f>
        <v/>
      </c>
      <c r="I83" s="10" t="str">
        <f t="array" ref="I83">IF($N83="","",INDEX(Summary!$BI:$BI,$N83))</f>
        <v/>
      </c>
      <c r="J83" s="10" t="str">
        <f t="array" ref="J83">IF($N83="","",INDEX(Summary!$BJ:$BJ,$N83))</f>
        <v/>
      </c>
      <c r="K83" s="7" t="str">
        <f t="array" ref="K83">IF($N83="","",INDEX(Summary!$BK:$BK,$N83))</f>
        <v/>
      </c>
      <c r="L83" s="7" t="str">
        <f t="array" ref="L83">IF($N83="","",INDEX(Summary!$BG:$BG,$N83))</f>
        <v/>
      </c>
      <c r="M83" s="1"/>
      <c r="N83" t="str">
        <f t="array" ref="N83">IFERROR(_xlfn.AGGREGATE(15,6,ROW(Summary!$D$3:$D$70)/(($R$3:$R$70&lt;0)*$P$3:$P$70*$Q$3:$Q$70*$U$3:$U$70),ROW()-27),"")</f>
        <v/>
      </c>
      <c r="Z83" t="str">
        <f t="shared" si="10"/>
        <v/>
      </c>
      <c r="AA83" t="str">
        <f t="shared" si="11"/>
        <v/>
      </c>
    </row>
    <row r="84" spans="1:27" ht="13">
      <c r="A84" s="7" t="str">
        <f t="shared" si="9"/>
        <v/>
      </c>
      <c r="B84" s="7" t="str">
        <f t="array" ref="B84">IF($N84="","",INDEX(Summary!$B:$B,$N84))</f>
        <v/>
      </c>
      <c r="C84" s="7" t="str">
        <f t="array" ref="C84">IF($N84="","",INDEX(Summary!$D:$D,$N84))</f>
        <v/>
      </c>
      <c r="D84" s="7" t="str">
        <f t="array" ref="D84">IF($N84="","",INDEX(Summary!$E:$E,$N84))</f>
        <v/>
      </c>
      <c r="E84" s="8" t="str">
        <f t="array" ref="E84">IF($N84="","",INDEX($O:$O,$N84))</f>
        <v/>
      </c>
      <c r="F84" s="8" t="str">
        <f t="array" ref="F84">IF($N84="","",INDEX($T:$T,$N84))</f>
        <v/>
      </c>
      <c r="G84" s="8" t="str">
        <f t="array" ref="G84">IF($N84="","",INDEX($R:$R,$N84))</f>
        <v/>
      </c>
      <c r="H84" s="9" t="str">
        <f t="array" ref="H84">IF($N84="","",IFERROR(INDEX($T:$T,$N84)/INDEX($O:$O,$N84),""))</f>
        <v/>
      </c>
      <c r="I84" s="10" t="str">
        <f t="array" ref="I84">IF($N84="","",INDEX(Summary!$BI:$BI,$N84))</f>
        <v/>
      </c>
      <c r="J84" s="10" t="str">
        <f t="array" ref="J84">IF($N84="","",INDEX(Summary!$BJ:$BJ,$N84))</f>
        <v/>
      </c>
      <c r="K84" s="7" t="str">
        <f t="array" ref="K84">IF($N84="","",INDEX(Summary!$BK:$BK,$N84))</f>
        <v/>
      </c>
      <c r="L84" s="7" t="str">
        <f t="array" ref="L84">IF($N84="","",INDEX(Summary!$BG:$BG,$N84))</f>
        <v/>
      </c>
      <c r="M84" s="1"/>
      <c r="N84" t="str">
        <f t="array" ref="N84">IFERROR(_xlfn.AGGREGATE(15,6,ROW(Summary!$D$3:$D$70)/(($R$3:$R$70&lt;0)*$P$3:$P$70*$Q$3:$Q$70*$U$3:$U$70),ROW()-27),"")</f>
        <v/>
      </c>
      <c r="Z84" t="str">
        <f t="shared" si="10"/>
        <v/>
      </c>
      <c r="AA84" t="str">
        <f t="shared" si="11"/>
        <v/>
      </c>
    </row>
    <row r="85" spans="1:27" ht="13">
      <c r="A85" s="7" t="str">
        <f t="shared" si="9"/>
        <v/>
      </c>
      <c r="B85" s="7" t="str">
        <f t="array" ref="B85">IF($N85="","",INDEX(Summary!$B:$B,$N85))</f>
        <v/>
      </c>
      <c r="C85" s="7" t="str">
        <f t="array" ref="C85">IF($N85="","",INDEX(Summary!$D:$D,$N85))</f>
        <v/>
      </c>
      <c r="D85" s="7" t="str">
        <f t="array" ref="D85">IF($N85="","",INDEX(Summary!$E:$E,$N85))</f>
        <v/>
      </c>
      <c r="E85" s="8" t="str">
        <f t="array" ref="E85">IF($N85="","",INDEX($O:$O,$N85))</f>
        <v/>
      </c>
      <c r="F85" s="8" t="str">
        <f t="array" ref="F85">IF($N85="","",INDEX($T:$T,$N85))</f>
        <v/>
      </c>
      <c r="G85" s="8" t="str">
        <f t="array" ref="G85">IF($N85="","",INDEX($R:$R,$N85))</f>
        <v/>
      </c>
      <c r="H85" s="9" t="str">
        <f t="array" ref="H85">IF($N85="","",IFERROR(INDEX($T:$T,$N85)/INDEX($O:$O,$N85),""))</f>
        <v/>
      </c>
      <c r="I85" s="10" t="str">
        <f t="array" ref="I85">IF($N85="","",INDEX(Summary!$BI:$BI,$N85))</f>
        <v/>
      </c>
      <c r="J85" s="10" t="str">
        <f t="array" ref="J85">IF($N85="","",INDEX(Summary!$BJ:$BJ,$N85))</f>
        <v/>
      </c>
      <c r="K85" s="7" t="str">
        <f t="array" ref="K85">IF($N85="","",INDEX(Summary!$BK:$BK,$N85))</f>
        <v/>
      </c>
      <c r="L85" s="7" t="str">
        <f t="array" ref="L85">IF($N85="","",INDEX(Summary!$BG:$BG,$N85))</f>
        <v/>
      </c>
      <c r="M85" s="1"/>
      <c r="N85" t="str">
        <f t="array" ref="N85">IFERROR(_xlfn.AGGREGATE(15,6,ROW(Summary!$D$3:$D$70)/(($R$3:$R$70&lt;0)*$P$3:$P$70*$Q$3:$Q$70*$U$3:$U$70),ROW()-27),"")</f>
        <v/>
      </c>
      <c r="Z85" t="str">
        <f t="shared" si="10"/>
        <v/>
      </c>
      <c r="AA85" t="str">
        <f t="shared" si="11"/>
        <v/>
      </c>
    </row>
    <row r="86" spans="1:27" ht="13">
      <c r="A86" s="7" t="str">
        <f t="shared" si="9"/>
        <v/>
      </c>
      <c r="B86" s="7" t="str">
        <f t="array" ref="B86">IF($N86="","",INDEX(Summary!$B:$B,$N86))</f>
        <v/>
      </c>
      <c r="C86" s="7" t="str">
        <f t="array" ref="C86">IF($N86="","",INDEX(Summary!$D:$D,$N86))</f>
        <v/>
      </c>
      <c r="D86" s="7" t="str">
        <f t="array" ref="D86">IF($N86="","",INDEX(Summary!$E:$E,$N86))</f>
        <v/>
      </c>
      <c r="E86" s="8" t="str">
        <f t="array" ref="E86">IF($N86="","",INDEX($O:$O,$N86))</f>
        <v/>
      </c>
      <c r="F86" s="8" t="str">
        <f t="array" ref="F86">IF($N86="","",INDEX($T:$T,$N86))</f>
        <v/>
      </c>
      <c r="G86" s="8" t="str">
        <f t="array" ref="G86">IF($N86="","",INDEX($R:$R,$N86))</f>
        <v/>
      </c>
      <c r="H86" s="9" t="str">
        <f t="array" ref="H86">IF($N86="","",IFERROR(INDEX($T:$T,$N86)/INDEX($O:$O,$N86),""))</f>
        <v/>
      </c>
      <c r="I86" s="10" t="str">
        <f t="array" ref="I86">IF($N86="","",INDEX(Summary!$BI:$BI,$N86))</f>
        <v/>
      </c>
      <c r="J86" s="10" t="str">
        <f t="array" ref="J86">IF($N86="","",INDEX(Summary!$BJ:$BJ,$N86))</f>
        <v/>
      </c>
      <c r="K86" s="7" t="str">
        <f t="array" ref="K86">IF($N86="","",INDEX(Summary!$BK:$BK,$N86))</f>
        <v/>
      </c>
      <c r="L86" s="7" t="str">
        <f t="array" ref="L86">IF($N86="","",INDEX(Summary!$BG:$BG,$N86))</f>
        <v/>
      </c>
      <c r="M86" s="1"/>
      <c r="N86" t="str">
        <f t="array" ref="N86">IFERROR(_xlfn.AGGREGATE(15,6,ROW(Summary!$D$3:$D$70)/(($R$3:$R$70&lt;0)*$P$3:$P$70*$Q$3:$Q$70*$U$3:$U$70),ROW()-27),"")</f>
        <v/>
      </c>
      <c r="Z86" t="str">
        <f t="shared" si="10"/>
        <v/>
      </c>
      <c r="AA86" t="str">
        <f t="shared" si="11"/>
        <v/>
      </c>
    </row>
    <row r="87" spans="1:27" ht="13">
      <c r="A87" s="7" t="str">
        <f t="shared" si="9"/>
        <v/>
      </c>
      <c r="B87" s="7" t="str">
        <f t="array" ref="B87">IF($N87="","",INDEX(Summary!$B:$B,$N87))</f>
        <v/>
      </c>
      <c r="C87" s="7" t="str">
        <f t="array" ref="C87">IF($N87="","",INDEX(Summary!$D:$D,$N87))</f>
        <v/>
      </c>
      <c r="D87" s="7" t="str">
        <f t="array" ref="D87">IF($N87="","",INDEX(Summary!$E:$E,$N87))</f>
        <v/>
      </c>
      <c r="E87" s="8" t="str">
        <f t="array" ref="E87">IF($N87="","",INDEX($O:$O,$N87))</f>
        <v/>
      </c>
      <c r="F87" s="8" t="str">
        <f t="array" ref="F87">IF($N87="","",INDEX($T:$T,$N87))</f>
        <v/>
      </c>
      <c r="G87" s="8" t="str">
        <f t="array" ref="G87">IF($N87="","",INDEX($R:$R,$N87))</f>
        <v/>
      </c>
      <c r="H87" s="9" t="str">
        <f t="array" ref="H87">IF($N87="","",IFERROR(INDEX($T:$T,$N87)/INDEX($O:$O,$N87),""))</f>
        <v/>
      </c>
      <c r="I87" s="10" t="str">
        <f t="array" ref="I87">IF($N87="","",INDEX(Summary!$BI:$BI,$N87))</f>
        <v/>
      </c>
      <c r="J87" s="10" t="str">
        <f t="array" ref="J87">IF($N87="","",INDEX(Summary!$BJ:$BJ,$N87))</f>
        <v/>
      </c>
      <c r="K87" s="7" t="str">
        <f t="array" ref="K87">IF($N87="","",INDEX(Summary!$BK:$BK,$N87))</f>
        <v/>
      </c>
      <c r="L87" s="7" t="str">
        <f t="array" ref="L87">IF($N87="","",INDEX(Summary!$BG:$BG,$N87))</f>
        <v/>
      </c>
      <c r="M87" s="1"/>
      <c r="N87" t="str">
        <f t="array" ref="N87">IFERROR(_xlfn.AGGREGATE(15,6,ROW(Summary!$D$3:$D$70)/(($R$3:$R$70&lt;0)*$P$3:$P$70*$Q$3:$Q$70*$U$3:$U$70),ROW()-27),"")</f>
        <v/>
      </c>
      <c r="Z87" t="str">
        <f t="shared" si="10"/>
        <v/>
      </c>
      <c r="AA87" t="str">
        <f t="shared" si="11"/>
        <v/>
      </c>
    </row>
    <row r="88" spans="1:27" ht="13">
      <c r="A88" s="7" t="str">
        <f t="shared" si="9"/>
        <v/>
      </c>
      <c r="B88" s="7" t="str">
        <f t="array" ref="B88">IF($N88="","",INDEX(Summary!$B:$B,$N88))</f>
        <v/>
      </c>
      <c r="C88" s="7" t="str">
        <f t="array" ref="C88">IF($N88="","",INDEX(Summary!$D:$D,$N88))</f>
        <v/>
      </c>
      <c r="D88" s="7" t="str">
        <f t="array" ref="D88">IF($N88="","",INDEX(Summary!$E:$E,$N88))</f>
        <v/>
      </c>
      <c r="E88" s="8" t="str">
        <f t="array" ref="E88">IF($N88="","",INDEX($O:$O,$N88))</f>
        <v/>
      </c>
      <c r="F88" s="8" t="str">
        <f t="array" ref="F88">IF($N88="","",INDEX($T:$T,$N88))</f>
        <v/>
      </c>
      <c r="G88" s="8" t="str">
        <f t="array" ref="G88">IF($N88="","",INDEX($R:$R,$N88))</f>
        <v/>
      </c>
      <c r="H88" s="9" t="str">
        <f t="array" ref="H88">IF($N88="","",IFERROR(INDEX($T:$T,$N88)/INDEX($O:$O,$N88),""))</f>
        <v/>
      </c>
      <c r="I88" s="10" t="str">
        <f t="array" ref="I88">IF($N88="","",INDEX(Summary!$BI:$BI,$N88))</f>
        <v/>
      </c>
      <c r="J88" s="10" t="str">
        <f t="array" ref="J88">IF($N88="","",INDEX(Summary!$BJ:$BJ,$N88))</f>
        <v/>
      </c>
      <c r="K88" s="7" t="str">
        <f t="array" ref="K88">IF($N88="","",INDEX(Summary!$BK:$BK,$N88))</f>
        <v/>
      </c>
      <c r="L88" s="7" t="str">
        <f t="array" ref="L88">IF($N88="","",INDEX(Summary!$BG:$BG,$N88))</f>
        <v/>
      </c>
      <c r="M88" s="1"/>
      <c r="N88" t="str">
        <f t="array" ref="N88">IFERROR(_xlfn.AGGREGATE(15,6,ROW(Summary!$D$3:$D$70)/(($R$3:$R$70&lt;0)*$P$3:$P$70*$Q$3:$Q$70*$U$3:$U$70),ROW()-27),"")</f>
        <v/>
      </c>
      <c r="Z88" t="str">
        <f t="shared" si="10"/>
        <v/>
      </c>
      <c r="AA88" t="str">
        <f t="shared" si="11"/>
        <v/>
      </c>
    </row>
    <row r="89" spans="1:27" ht="13">
      <c r="A89" s="7" t="str">
        <f t="shared" si="9"/>
        <v/>
      </c>
      <c r="B89" s="7" t="str">
        <f t="array" ref="B89">IF($N89="","",INDEX(Summary!$B:$B,$N89))</f>
        <v/>
      </c>
      <c r="C89" s="7" t="str">
        <f t="array" ref="C89">IF($N89="","",INDEX(Summary!$D:$D,$N89))</f>
        <v/>
      </c>
      <c r="D89" s="7" t="str">
        <f t="array" ref="D89">IF($N89="","",INDEX(Summary!$E:$E,$N89))</f>
        <v/>
      </c>
      <c r="E89" s="8" t="str">
        <f t="array" ref="E89">IF($N89="","",INDEX($O:$O,$N89))</f>
        <v/>
      </c>
      <c r="F89" s="8" t="str">
        <f t="array" ref="F89">IF($N89="","",INDEX($T:$T,$N89))</f>
        <v/>
      </c>
      <c r="G89" s="8" t="str">
        <f t="array" ref="G89">IF($N89="","",INDEX($R:$R,$N89))</f>
        <v/>
      </c>
      <c r="H89" s="9" t="str">
        <f t="array" ref="H89">IF($N89="","",IFERROR(INDEX($T:$T,$N89)/INDEX($O:$O,$N89),""))</f>
        <v/>
      </c>
      <c r="I89" s="10" t="str">
        <f t="array" ref="I89">IF($N89="","",INDEX(Summary!$BI:$BI,$N89))</f>
        <v/>
      </c>
      <c r="J89" s="10" t="str">
        <f t="array" ref="J89">IF($N89="","",INDEX(Summary!$BJ:$BJ,$N89))</f>
        <v/>
      </c>
      <c r="K89" s="7" t="str">
        <f t="array" ref="K89">IF($N89="","",INDEX(Summary!$BK:$BK,$N89))</f>
        <v/>
      </c>
      <c r="L89" s="7" t="str">
        <f t="array" ref="L89">IF($N89="","",INDEX(Summary!$BG:$BG,$N89))</f>
        <v/>
      </c>
      <c r="M89" s="1"/>
      <c r="N89" t="str">
        <f t="array" ref="N89">IFERROR(_xlfn.AGGREGATE(15,6,ROW(Summary!$D$3:$D$70)/(($R$3:$R$70&lt;0)*$P$3:$P$70*$Q$3:$Q$70*$U$3:$U$70),ROW()-27),"")</f>
        <v/>
      </c>
      <c r="Z89" t="str">
        <f t="shared" si="10"/>
        <v/>
      </c>
      <c r="AA89" t="str">
        <f t="shared" si="11"/>
        <v/>
      </c>
    </row>
    <row r="90" spans="1:27" ht="13">
      <c r="A90" s="7" t="str">
        <f t="shared" si="9"/>
        <v/>
      </c>
      <c r="B90" s="7" t="str">
        <f t="array" ref="B90">IF($N90="","",INDEX(Summary!$B:$B,$N90))</f>
        <v/>
      </c>
      <c r="C90" s="7" t="str">
        <f t="array" ref="C90">IF($N90="","",INDEX(Summary!$D:$D,$N90))</f>
        <v/>
      </c>
      <c r="D90" s="7" t="str">
        <f t="array" ref="D90">IF($N90="","",INDEX(Summary!$E:$E,$N90))</f>
        <v/>
      </c>
      <c r="E90" s="8" t="str">
        <f t="array" ref="E90">IF($N90="","",INDEX($O:$O,$N90))</f>
        <v/>
      </c>
      <c r="F90" s="8" t="str">
        <f t="array" ref="F90">IF($N90="","",INDEX($T:$T,$N90))</f>
        <v/>
      </c>
      <c r="G90" s="8" t="str">
        <f t="array" ref="G90">IF($N90="","",INDEX($R:$R,$N90))</f>
        <v/>
      </c>
      <c r="H90" s="9" t="str">
        <f t="array" ref="H90">IF($N90="","",IFERROR(INDEX($T:$T,$N90)/INDEX($O:$O,$N90),""))</f>
        <v/>
      </c>
      <c r="I90" s="10" t="str">
        <f t="array" ref="I90">IF($N90="","",INDEX(Summary!$BI:$BI,$N90))</f>
        <v/>
      </c>
      <c r="J90" s="10" t="str">
        <f t="array" ref="J90">IF($N90="","",INDEX(Summary!$BJ:$BJ,$N90))</f>
        <v/>
      </c>
      <c r="K90" s="7" t="str">
        <f t="array" ref="K90">IF($N90="","",INDEX(Summary!$BK:$BK,$N90))</f>
        <v/>
      </c>
      <c r="L90" s="7" t="str">
        <f t="array" ref="L90">IF($N90="","",INDEX(Summary!$BG:$BG,$N90))</f>
        <v/>
      </c>
      <c r="M90" s="1"/>
      <c r="N90" t="str">
        <f t="array" ref="N90">IFERROR(_xlfn.AGGREGATE(15,6,ROW(Summary!$D$3:$D$70)/(($R$3:$R$70&lt;0)*$P$3:$P$70*$Q$3:$Q$70*$U$3:$U$70),ROW()-27),"")</f>
        <v/>
      </c>
      <c r="Z90" t="str">
        <f t="shared" si="10"/>
        <v/>
      </c>
      <c r="AA90" t="str">
        <f t="shared" si="11"/>
        <v/>
      </c>
    </row>
    <row r="91" spans="1:27" ht="13">
      <c r="A91" s="7" t="str">
        <f t="shared" si="9"/>
        <v/>
      </c>
      <c r="B91" s="7" t="str">
        <f t="array" ref="B91">IF($N91="","",INDEX(Summary!$B:$B,$N91))</f>
        <v/>
      </c>
      <c r="C91" s="7" t="str">
        <f t="array" ref="C91">IF($N91="","",INDEX(Summary!$D:$D,$N91))</f>
        <v/>
      </c>
      <c r="D91" s="7" t="str">
        <f t="array" ref="D91">IF($N91="","",INDEX(Summary!$E:$E,$N91))</f>
        <v/>
      </c>
      <c r="E91" s="8" t="str">
        <f t="array" ref="E91">IF($N91="","",INDEX($O:$O,$N91))</f>
        <v/>
      </c>
      <c r="F91" s="8" t="str">
        <f t="array" ref="F91">IF($N91="","",INDEX($T:$T,$N91))</f>
        <v/>
      </c>
      <c r="G91" s="8" t="str">
        <f t="array" ref="G91">IF($N91="","",INDEX($R:$R,$N91))</f>
        <v/>
      </c>
      <c r="H91" s="9" t="str">
        <f t="array" ref="H91">IF($N91="","",IFERROR(INDEX($T:$T,$N91)/INDEX($O:$O,$N91),""))</f>
        <v/>
      </c>
      <c r="I91" s="10" t="str">
        <f t="array" ref="I91">IF($N91="","",INDEX(Summary!$BI:$BI,$N91))</f>
        <v/>
      </c>
      <c r="J91" s="10" t="str">
        <f t="array" ref="J91">IF($N91="","",INDEX(Summary!$BJ:$BJ,$N91))</f>
        <v/>
      </c>
      <c r="K91" s="7" t="str">
        <f t="array" ref="K91">IF($N91="","",INDEX(Summary!$BK:$BK,$N91))</f>
        <v/>
      </c>
      <c r="L91" s="7" t="str">
        <f t="array" ref="L91">IF($N91="","",INDEX(Summary!$BG:$BG,$N91))</f>
        <v/>
      </c>
      <c r="M91" s="1"/>
      <c r="N91" t="str">
        <f t="array" ref="N91">IFERROR(_xlfn.AGGREGATE(15,6,ROW(Summary!$D$3:$D$70)/(($R$3:$R$70&lt;0)*$P$3:$P$70*$Q$3:$Q$70*$U$3:$U$70),ROW()-27),"")</f>
        <v/>
      </c>
      <c r="Z91" t="str">
        <f t="shared" si="10"/>
        <v/>
      </c>
      <c r="AA91" t="str">
        <f t="shared" si="11"/>
        <v/>
      </c>
    </row>
    <row r="92" spans="1:27" ht="13">
      <c r="A92" s="7" t="str">
        <f t="shared" si="9"/>
        <v/>
      </c>
      <c r="B92" s="7" t="str">
        <f t="array" ref="B92">IF($N92="","",INDEX(Summary!$B:$B,$N92))</f>
        <v/>
      </c>
      <c r="C92" s="7" t="str">
        <f t="array" ref="C92">IF($N92="","",INDEX(Summary!$D:$D,$N92))</f>
        <v/>
      </c>
      <c r="D92" s="7" t="str">
        <f t="array" ref="D92">IF($N92="","",INDEX(Summary!$E:$E,$N92))</f>
        <v/>
      </c>
      <c r="E92" s="8" t="str">
        <f t="array" ref="E92">IF($N92="","",INDEX($O:$O,$N92))</f>
        <v/>
      </c>
      <c r="F92" s="8" t="str">
        <f t="array" ref="F92">IF($N92="","",INDEX($T:$T,$N92))</f>
        <v/>
      </c>
      <c r="G92" s="8" t="str">
        <f t="array" ref="G92">IF($N92="","",INDEX($R:$R,$N92))</f>
        <v/>
      </c>
      <c r="H92" s="9" t="str">
        <f t="array" ref="H92">IF($N92="","",IFERROR(INDEX($T:$T,$N92)/INDEX($O:$O,$N92),""))</f>
        <v/>
      </c>
      <c r="I92" s="10" t="str">
        <f t="array" ref="I92">IF($N92="","",INDEX(Summary!$BI:$BI,$N92))</f>
        <v/>
      </c>
      <c r="J92" s="10" t="str">
        <f t="array" ref="J92">IF($N92="","",INDEX(Summary!$BJ:$BJ,$N92))</f>
        <v/>
      </c>
      <c r="K92" s="7" t="str">
        <f t="array" ref="K92">IF($N92="","",INDEX(Summary!$BK:$BK,$N92))</f>
        <v/>
      </c>
      <c r="L92" s="7" t="str">
        <f t="array" ref="L92">IF($N92="","",INDEX(Summary!$BG:$BG,$N92))</f>
        <v/>
      </c>
      <c r="M92" s="1"/>
      <c r="N92" t="str">
        <f t="array" ref="N92">IFERROR(_xlfn.AGGREGATE(15,6,ROW(Summary!$D$3:$D$70)/(($R$3:$R$70&lt;0)*$P$3:$P$70*$Q$3:$Q$70*$U$3:$U$70),ROW()-27),"")</f>
        <v/>
      </c>
      <c r="Z92" t="str">
        <f t="shared" si="10"/>
        <v/>
      </c>
      <c r="AA92" t="str">
        <f t="shared" si="11"/>
        <v/>
      </c>
    </row>
    <row r="93" spans="1:27" ht="13">
      <c r="A93" s="7" t="str">
        <f t="shared" si="9"/>
        <v/>
      </c>
      <c r="B93" s="7" t="str">
        <f t="array" ref="B93">IF($N93="","",INDEX(Summary!$B:$B,$N93))</f>
        <v/>
      </c>
      <c r="C93" s="7" t="str">
        <f t="array" ref="C93">IF($N93="","",INDEX(Summary!$D:$D,$N93))</f>
        <v/>
      </c>
      <c r="D93" s="7" t="str">
        <f t="array" ref="D93">IF($N93="","",INDEX(Summary!$E:$E,$N93))</f>
        <v/>
      </c>
      <c r="E93" s="8" t="str">
        <f t="array" ref="E93">IF($N93="","",INDEX($O:$O,$N93))</f>
        <v/>
      </c>
      <c r="F93" s="8" t="str">
        <f t="array" ref="F93">IF($N93="","",INDEX($T:$T,$N93))</f>
        <v/>
      </c>
      <c r="G93" s="8" t="str">
        <f t="array" ref="G93">IF($N93="","",INDEX($R:$R,$N93))</f>
        <v/>
      </c>
      <c r="H93" s="9" t="str">
        <f t="array" ref="H93">IF($N93="","",IFERROR(INDEX($T:$T,$N93)/INDEX($O:$O,$N93),""))</f>
        <v/>
      </c>
      <c r="I93" s="10" t="str">
        <f t="array" ref="I93">IF($N93="","",INDEX(Summary!$BI:$BI,$N93))</f>
        <v/>
      </c>
      <c r="J93" s="10" t="str">
        <f t="array" ref="J93">IF($N93="","",INDEX(Summary!$BJ:$BJ,$N93))</f>
        <v/>
      </c>
      <c r="K93" s="7" t="str">
        <f t="array" ref="K93">IF($N93="","",INDEX(Summary!$BK:$BK,$N93))</f>
        <v/>
      </c>
      <c r="L93" s="7" t="str">
        <f t="array" ref="L93">IF($N93="","",INDEX(Summary!$BG:$BG,$N93))</f>
        <v/>
      </c>
      <c r="M93" s="1"/>
      <c r="N93" t="str">
        <f t="array" ref="N93">IFERROR(_xlfn.AGGREGATE(15,6,ROW(Summary!$D$3:$D$70)/(($R$3:$R$70&lt;0)*$P$3:$P$70*$Q$3:$Q$70*$U$3:$U$70),ROW()-27),"")</f>
        <v/>
      </c>
      <c r="Z93" t="str">
        <f t="shared" si="10"/>
        <v/>
      </c>
      <c r="AA93" t="str">
        <f t="shared" si="11"/>
        <v/>
      </c>
    </row>
    <row r="94" spans="1:27" ht="13">
      <c r="A94" s="7" t="str">
        <f t="shared" si="9"/>
        <v/>
      </c>
      <c r="B94" s="7" t="str">
        <f t="array" ref="B94">IF($N94="","",INDEX(Summary!$B:$B,$N94))</f>
        <v/>
      </c>
      <c r="C94" s="7" t="str">
        <f t="array" ref="C94">IF($N94="","",INDEX(Summary!$D:$D,$N94))</f>
        <v/>
      </c>
      <c r="D94" s="7" t="str">
        <f t="array" ref="D94">IF($N94="","",INDEX(Summary!$E:$E,$N94))</f>
        <v/>
      </c>
      <c r="E94" s="8" t="str">
        <f t="array" ref="E94">IF($N94="","",INDEX($O:$O,$N94))</f>
        <v/>
      </c>
      <c r="F94" s="8" t="str">
        <f t="array" ref="F94">IF($N94="","",INDEX($T:$T,$N94))</f>
        <v/>
      </c>
      <c r="G94" s="8" t="str">
        <f t="array" ref="G94">IF($N94="","",INDEX($R:$R,$N94))</f>
        <v/>
      </c>
      <c r="H94" s="9" t="str">
        <f t="array" ref="H94">IF($N94="","",IFERROR(INDEX($T:$T,$N94)/INDEX($O:$O,$N94),""))</f>
        <v/>
      </c>
      <c r="I94" s="10" t="str">
        <f t="array" ref="I94">IF($N94="","",INDEX(Summary!$BI:$BI,$N94))</f>
        <v/>
      </c>
      <c r="J94" s="10" t="str">
        <f t="array" ref="J94">IF($N94="","",INDEX(Summary!$BJ:$BJ,$N94))</f>
        <v/>
      </c>
      <c r="K94" s="7" t="str">
        <f t="array" ref="K94">IF($N94="","",INDEX(Summary!$BK:$BK,$N94))</f>
        <v/>
      </c>
      <c r="L94" s="7" t="str">
        <f t="array" ref="L94">IF($N94="","",INDEX(Summary!$BG:$BG,$N94))</f>
        <v/>
      </c>
      <c r="M94" s="1"/>
      <c r="N94" t="str">
        <f t="array" ref="N94">IFERROR(_xlfn.AGGREGATE(15,6,ROW(Summary!$D$3:$D$70)/(($R$3:$R$70&lt;0)*$P$3:$P$70*$Q$3:$Q$70*$U$3:$U$70),ROW()-27),"")</f>
        <v/>
      </c>
      <c r="Z94" t="str">
        <f t="shared" si="10"/>
        <v/>
      </c>
      <c r="AA94" t="str">
        <f t="shared" si="11"/>
        <v/>
      </c>
    </row>
    <row r="95" spans="1:27" ht="13">
      <c r="A95" s="7" t="str">
        <f t="shared" si="9"/>
        <v/>
      </c>
      <c r="B95" s="7" t="str">
        <f t="array" ref="B95">IF($N95="","",INDEX(Summary!$B:$B,$N95))</f>
        <v/>
      </c>
      <c r="C95" s="7" t="str">
        <f t="array" ref="C95">IF($N95="","",INDEX(Summary!$D:$D,$N95))</f>
        <v/>
      </c>
      <c r="D95" s="7" t="str">
        <f t="array" ref="D95">IF($N95="","",INDEX(Summary!$E:$E,$N95))</f>
        <v/>
      </c>
      <c r="E95" s="8" t="str">
        <f t="array" ref="E95">IF($N95="","",INDEX($O:$O,$N95))</f>
        <v/>
      </c>
      <c r="F95" s="8" t="str">
        <f t="array" ref="F95">IF($N95="","",INDEX($T:$T,$N95))</f>
        <v/>
      </c>
      <c r="G95" s="8" t="str">
        <f t="array" ref="G95">IF($N95="","",INDEX($R:$R,$N95))</f>
        <v/>
      </c>
      <c r="H95" s="9" t="str">
        <f t="array" ref="H95">IF($N95="","",IFERROR(INDEX($T:$T,$N95)/INDEX($O:$O,$N95),""))</f>
        <v/>
      </c>
      <c r="I95" s="10" t="str">
        <f t="array" ref="I95">IF($N95="","",INDEX(Summary!$BI:$BI,$N95))</f>
        <v/>
      </c>
      <c r="J95" s="10" t="str">
        <f t="array" ref="J95">IF($N95="","",INDEX(Summary!$BJ:$BJ,$N95))</f>
        <v/>
      </c>
      <c r="K95" s="7" t="str">
        <f t="array" ref="K95">IF($N95="","",INDEX(Summary!$BK:$BK,$N95))</f>
        <v/>
      </c>
      <c r="L95" s="7" t="str">
        <f t="array" ref="L95">IF($N95="","",INDEX(Summary!$BG:$BG,$N95))</f>
        <v/>
      </c>
      <c r="M95" s="1"/>
      <c r="N95" t="str">
        <f t="array" ref="N95">IFERROR(_xlfn.AGGREGATE(15,6,ROW(Summary!$D$3:$D$70)/(($R$3:$R$70&lt;0)*$P$3:$P$70*$Q$3:$Q$70*$U$3:$U$70),ROW()-27),"")</f>
        <v/>
      </c>
      <c r="Z95" t="str">
        <f t="shared" si="10"/>
        <v/>
      </c>
      <c r="AA95" t="str">
        <f t="shared" si="11"/>
        <v/>
      </c>
    </row>
    <row r="96" spans="1:27" ht="1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spans="1:35" ht="1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spans="1:35" ht="18.5">
      <c r="A98" s="32" t="s">
        <v>84</v>
      </c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AC98" t="s">
        <v>6</v>
      </c>
      <c r="AD98" t="s">
        <v>30</v>
      </c>
      <c r="AE98" t="s">
        <v>31</v>
      </c>
      <c r="AH98" t="s">
        <v>6</v>
      </c>
      <c r="AI98" t="s">
        <v>32</v>
      </c>
    </row>
    <row r="99" spans="1:35" ht="1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AC99" t="str">
        <f t="shared" ref="AC99:AC104" si="12">IF($A13="","",$A13)</f>
        <v>Ghee</v>
      </c>
      <c r="AD99">
        <f t="shared" ref="AD99:AD104" si="13">IF($A13="",NA(),$B13)</f>
        <v>129806.55</v>
      </c>
      <c r="AE99">
        <f t="shared" ref="AE99:AE104" si="14">IF($A13="",NA(),$C13)</f>
        <v>73114</v>
      </c>
      <c r="AH99" t="str">
        <f t="shared" ref="AH99:AH104" si="15">IF($A13="","",$A13)</f>
        <v>Ghee</v>
      </c>
      <c r="AI99">
        <f t="shared" ref="AI99:AI104" si="16">IF($A13="",NA(),$D13)</f>
        <v>0.56325354922382576</v>
      </c>
    </row>
    <row r="100" spans="1:35" ht="14.5">
      <c r="A100" s="33" t="s">
        <v>85</v>
      </c>
      <c r="B100" s="33"/>
      <c r="C100" s="33"/>
      <c r="D100" s="1"/>
      <c r="E100" s="1"/>
      <c r="F100" s="1"/>
      <c r="G100" s="1"/>
      <c r="H100" s="1"/>
      <c r="I100" s="1"/>
      <c r="J100" s="1"/>
      <c r="K100" s="1"/>
      <c r="L100" s="1"/>
      <c r="M100" s="1"/>
      <c r="AC100" t="str">
        <f t="shared" si="12"/>
        <v/>
      </c>
      <c r="AD100" t="e">
        <f t="shared" si="13"/>
        <v>#N/A</v>
      </c>
      <c r="AE100" t="e">
        <f t="shared" si="14"/>
        <v>#N/A</v>
      </c>
      <c r="AH100" t="str">
        <f t="shared" si="15"/>
        <v/>
      </c>
      <c r="AI100" t="e">
        <f t="shared" si="16"/>
        <v>#N/A</v>
      </c>
    </row>
    <row r="101" spans="1:35" ht="13">
      <c r="A101" s="11" t="s">
        <v>86</v>
      </c>
      <c r="B101" s="11"/>
      <c r="C101" s="12">
        <v>30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AC101" t="str">
        <f t="shared" si="12"/>
        <v/>
      </c>
      <c r="AD101" t="e">
        <f t="shared" si="13"/>
        <v>#N/A</v>
      </c>
      <c r="AE101" t="e">
        <f t="shared" si="14"/>
        <v>#N/A</v>
      </c>
      <c r="AH101" t="str">
        <f t="shared" si="15"/>
        <v/>
      </c>
      <c r="AI101" t="e">
        <f t="shared" si="16"/>
        <v>#N/A</v>
      </c>
    </row>
    <row r="102" spans="1:35" ht="13">
      <c r="A102" s="11" t="s">
        <v>87</v>
      </c>
      <c r="B102" s="11"/>
      <c r="C102" s="12">
        <v>30</v>
      </c>
      <c r="D102" s="1"/>
      <c r="E102" s="1"/>
      <c r="F102" s="1"/>
      <c r="G102" s="1"/>
      <c r="H102" s="1"/>
      <c r="I102" s="1"/>
      <c r="J102" s="1"/>
      <c r="K102" s="1"/>
      <c r="L102" s="1"/>
      <c r="M102" s="1"/>
      <c r="AC102" t="str">
        <f t="shared" si="12"/>
        <v/>
      </c>
      <c r="AD102" t="e">
        <f t="shared" si="13"/>
        <v>#N/A</v>
      </c>
      <c r="AE102" t="e">
        <f t="shared" si="14"/>
        <v>#N/A</v>
      </c>
      <c r="AH102" t="str">
        <f t="shared" si="15"/>
        <v/>
      </c>
      <c r="AI102" t="e">
        <f t="shared" si="16"/>
        <v>#N/A</v>
      </c>
    </row>
    <row r="103" spans="1:35" ht="13">
      <c r="A103" s="11" t="s">
        <v>88</v>
      </c>
      <c r="B103" s="11"/>
      <c r="C103" s="13">
        <f>MAX(C101-C102,0)</f>
        <v>0</v>
      </c>
      <c r="D103" s="1"/>
      <c r="E103" s="1"/>
      <c r="F103" s="1"/>
      <c r="G103" s="1"/>
      <c r="H103" s="1"/>
      <c r="I103" s="1"/>
      <c r="J103" s="1"/>
      <c r="K103" s="1"/>
      <c r="L103" s="1"/>
      <c r="M103" s="1"/>
      <c r="AC103" t="str">
        <f t="shared" si="12"/>
        <v/>
      </c>
      <c r="AD103" t="e">
        <f t="shared" si="13"/>
        <v>#N/A</v>
      </c>
      <c r="AE103" t="e">
        <f t="shared" si="14"/>
        <v>#N/A</v>
      </c>
      <c r="AH103" t="str">
        <f t="shared" si="15"/>
        <v/>
      </c>
      <c r="AI103" t="e">
        <f t="shared" si="16"/>
        <v>#N/A</v>
      </c>
    </row>
    <row r="104" spans="1:35" ht="13">
      <c r="A104" s="11" t="s">
        <v>89</v>
      </c>
      <c r="B104" s="11"/>
      <c r="C104" s="14">
        <f>$A$6</f>
        <v>129806.55</v>
      </c>
      <c r="D104" s="1"/>
      <c r="E104" s="1"/>
      <c r="F104" s="1"/>
      <c r="G104" s="1"/>
      <c r="H104" s="1"/>
      <c r="I104" s="1"/>
      <c r="J104" s="1"/>
      <c r="K104" s="1"/>
      <c r="L104" s="1"/>
      <c r="M104" s="1"/>
      <c r="AC104" t="str">
        <f t="shared" si="12"/>
        <v/>
      </c>
      <c r="AD104" t="e">
        <f t="shared" si="13"/>
        <v>#N/A</v>
      </c>
      <c r="AE104" t="e">
        <f t="shared" si="14"/>
        <v>#N/A</v>
      </c>
      <c r="AH104" t="str">
        <f t="shared" si="15"/>
        <v/>
      </c>
      <c r="AI104" t="e">
        <f t="shared" si="16"/>
        <v>#N/A</v>
      </c>
    </row>
    <row r="105" spans="1:35" ht="13">
      <c r="A105" s="11" t="s">
        <v>90</v>
      </c>
      <c r="B105" s="11"/>
      <c r="C105" s="14">
        <f>$C$6</f>
        <v>73114</v>
      </c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spans="1:35" ht="13">
      <c r="A106" s="11" t="s">
        <v>91</v>
      </c>
      <c r="B106" s="11"/>
      <c r="C106" s="14">
        <f>MAX($A$6-$C$6,0)</f>
        <v>56692.55</v>
      </c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spans="1:35" ht="13">
      <c r="A107" s="11" t="s">
        <v>92</v>
      </c>
      <c r="B107" s="11"/>
      <c r="C107" s="15">
        <f>IFERROR($C$6/C102,0)</f>
        <v>2437.1333333333332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AC107" t="s">
        <v>60</v>
      </c>
      <c r="AD107" t="s">
        <v>18</v>
      </c>
    </row>
    <row r="108" spans="1:35" ht="13">
      <c r="A108" s="11" t="s">
        <v>93</v>
      </c>
      <c r="B108" s="11"/>
      <c r="C108" s="15">
        <f>IFERROR(C106/C103,0)</f>
        <v>0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AC108" t="str">
        <f t="shared" ref="AC108:AC117" si="17">IFERROR(INDEX($D$28:$D$95,MATCH(LARGE($AA$28:$AA$95,ROW()-107),$AA$28:$AA$95,0)),"")</f>
        <v>Buffalo Ghee - A2 Cultured 500ml</v>
      </c>
      <c r="AD108">
        <f t="shared" ref="AD108:AD117" si="18">IFERROR(LARGE($AA$28:$AA$95,ROW()-107),"")</f>
        <v>18586</v>
      </c>
    </row>
    <row r="109" spans="1:35" ht="13">
      <c r="A109" s="11" t="s">
        <v>94</v>
      </c>
      <c r="B109" s="11"/>
      <c r="C109" s="15">
        <f>C107*C101</f>
        <v>73114</v>
      </c>
      <c r="D109" s="1"/>
      <c r="E109" s="1"/>
      <c r="F109" s="1"/>
      <c r="G109" s="1"/>
      <c r="H109" s="1"/>
      <c r="I109" s="1"/>
      <c r="J109" s="1"/>
      <c r="K109" s="1"/>
      <c r="L109" s="1"/>
      <c r="M109" s="1"/>
      <c r="AC109" t="str">
        <f t="shared" si="17"/>
        <v>A2 Cultured Ghee - 500 ml</v>
      </c>
      <c r="AD109">
        <f t="shared" si="18"/>
        <v>14481.25</v>
      </c>
    </row>
    <row r="110" spans="1:35" ht="13">
      <c r="A110" s="11" t="s">
        <v>95</v>
      </c>
      <c r="B110" s="11"/>
      <c r="C110" s="16">
        <f>IFERROR(C109/$A$6,0)</f>
        <v>0.56325354922382576</v>
      </c>
      <c r="D110" s="1"/>
      <c r="E110" s="1"/>
      <c r="F110" s="1"/>
      <c r="G110" s="1"/>
      <c r="H110" s="1"/>
      <c r="I110" s="1"/>
      <c r="J110" s="1"/>
      <c r="K110" s="1"/>
      <c r="L110" s="1"/>
      <c r="M110" s="1"/>
      <c r="AC110" t="str">
        <f t="shared" si="17"/>
        <v>A2 Desi Cow Ghee - 500ml</v>
      </c>
      <c r="AD110">
        <f t="shared" si="18"/>
        <v>7087.7000000000007</v>
      </c>
    </row>
    <row r="111" spans="1:35" ht="13">
      <c r="A111" s="11" t="s">
        <v>96</v>
      </c>
      <c r="B111" s="11"/>
      <c r="C111" s="17" t="str">
        <f>IF($A$6="","-",IF(C107&gt;=C108,"ON TRACK","BEHIND"))</f>
        <v>ON TRACK</v>
      </c>
      <c r="D111" s="1"/>
      <c r="E111" s="1"/>
      <c r="F111" s="1"/>
      <c r="G111" s="1"/>
      <c r="H111" s="1"/>
      <c r="I111" s="1"/>
      <c r="J111" s="1"/>
      <c r="K111" s="1"/>
      <c r="L111" s="1"/>
      <c r="M111" s="1"/>
      <c r="AC111" t="str">
        <f t="shared" si="17"/>
        <v>A2 Cultured Ghee - 250 ml</v>
      </c>
      <c r="AD111">
        <f t="shared" si="18"/>
        <v>6541.7000000000007</v>
      </c>
    </row>
    <row r="112" spans="1:35" ht="1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AC112" t="str">
        <f t="shared" si="17"/>
        <v>Non cultured ghee 1l</v>
      </c>
      <c r="AD112">
        <f t="shared" si="18"/>
        <v>3718</v>
      </c>
    </row>
    <row r="113" spans="1:31" ht="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AC113" t="str">
        <f t="shared" si="17"/>
        <v>A2 Cultured Ghee - 1000 ml</v>
      </c>
      <c r="AD113">
        <f t="shared" si="18"/>
        <v>3333.6000000000004</v>
      </c>
    </row>
    <row r="114" spans="1:31" ht="14.5">
      <c r="A114" s="34" t="s">
        <v>97</v>
      </c>
      <c r="B114" s="34"/>
      <c r="C114" s="34"/>
      <c r="D114" s="34"/>
      <c r="E114" s="1"/>
      <c r="F114" s="1"/>
      <c r="G114" s="1"/>
      <c r="H114" s="1"/>
      <c r="I114" s="1"/>
      <c r="J114" s="1"/>
      <c r="K114" s="1"/>
      <c r="L114" s="1"/>
      <c r="M114" s="1"/>
      <c r="AC114" t="str">
        <f t="shared" si="17"/>
        <v>Full Moon Cultured Ghee - 500 ml</v>
      </c>
      <c r="AD114">
        <f t="shared" si="18"/>
        <v>1701.3000000000002</v>
      </c>
    </row>
    <row r="115" spans="1:31" ht="13">
      <c r="A115" s="35" t="s">
        <v>60</v>
      </c>
      <c r="B115" s="35"/>
      <c r="C115" s="18" t="s">
        <v>6</v>
      </c>
      <c r="D115" s="18" t="s">
        <v>18</v>
      </c>
      <c r="E115" s="1"/>
      <c r="F115" s="1"/>
      <c r="G115" s="1"/>
      <c r="H115" s="1"/>
      <c r="I115" s="1"/>
      <c r="J115" s="1"/>
      <c r="K115" s="1"/>
      <c r="L115" s="1"/>
      <c r="M115" s="1"/>
      <c r="AC115" t="str">
        <f t="shared" si="17"/>
        <v>Colostrum Powder, Desi Gir Cow - 100 gm</v>
      </c>
      <c r="AD115">
        <f t="shared" si="18"/>
        <v>799</v>
      </c>
    </row>
    <row r="116" spans="1:31" ht="13">
      <c r="A116" s="36" t="str">
        <f t="shared" ref="A116:A125" si="19">IFERROR(INDEX($D$28:$D$95,MATCH(LARGE($Z$28:$Z$95,ROW()-115),$Z$28:$Z$95,0)),"")</f>
        <v>Buffalo Ghee - A2 Cultured 500ml</v>
      </c>
      <c r="B116" s="36"/>
      <c r="C116" s="1" t="str">
        <f t="shared" ref="C116:C125" si="20">IFERROR(INDEX($B$28:$B$95,MATCH(LARGE($Z$28:$Z$95,ROW()-115),$Z$28:$Z$95,0)),"")</f>
        <v>Ghee</v>
      </c>
      <c r="D116" s="4">
        <f t="shared" ref="D116:D125" si="21">IFERROR(LARGE($Z$28:$Z$95,ROW()-115),"")</f>
        <v>18586</v>
      </c>
      <c r="E116" s="1"/>
      <c r="F116" s="1"/>
      <c r="G116" s="1"/>
      <c r="H116" s="1"/>
      <c r="I116" s="1"/>
      <c r="J116" s="1"/>
      <c r="K116" s="1"/>
      <c r="L116" s="1"/>
      <c r="M116" s="1"/>
      <c r="AC116" t="str">
        <f t="shared" si="17"/>
        <v xml:space="preserve">A2 Cultured Ghee - 5 Ltr </v>
      </c>
      <c r="AD116">
        <f t="shared" si="18"/>
        <v>441.25</v>
      </c>
    </row>
    <row r="117" spans="1:31" ht="13">
      <c r="A117" s="36" t="str">
        <f t="shared" si="19"/>
        <v>A2 Cultured Ghee - 500 ml</v>
      </c>
      <c r="B117" s="36"/>
      <c r="C117" s="1" t="str">
        <f t="shared" si="20"/>
        <v>Ghee</v>
      </c>
      <c r="D117" s="4">
        <f t="shared" si="21"/>
        <v>14481.25</v>
      </c>
      <c r="E117" s="1"/>
      <c r="F117" s="1"/>
      <c r="G117" s="1"/>
      <c r="H117" s="1"/>
      <c r="I117" s="1"/>
      <c r="J117" s="1"/>
      <c r="K117" s="1"/>
      <c r="L117" s="1"/>
      <c r="M117" s="1"/>
      <c r="AC117" t="str">
        <f t="shared" si="17"/>
        <v>Shatavari Ghee - 250 gm</v>
      </c>
      <c r="AD117">
        <f t="shared" si="18"/>
        <v>255</v>
      </c>
    </row>
    <row r="118" spans="1:31" ht="13">
      <c r="A118" s="36" t="str">
        <f t="shared" si="19"/>
        <v>A2 Desi Cow Ghee - 500ml</v>
      </c>
      <c r="B118" s="36"/>
      <c r="C118" s="1" t="str">
        <f t="shared" si="20"/>
        <v>Ghee</v>
      </c>
      <c r="D118" s="4">
        <f t="shared" si="21"/>
        <v>7087.7000000000007</v>
      </c>
      <c r="E118" s="1"/>
      <c r="F118" s="1"/>
      <c r="G118" s="1"/>
      <c r="H118" s="1"/>
      <c r="I118" s="1"/>
      <c r="J118" s="1"/>
      <c r="K118" s="1"/>
      <c r="L118" s="1"/>
      <c r="M118" s="1"/>
    </row>
    <row r="119" spans="1:31" ht="13">
      <c r="A119" s="36" t="str">
        <f t="shared" si="19"/>
        <v>A2 Cultured Ghee - 250 ml</v>
      </c>
      <c r="B119" s="36"/>
      <c r="C119" s="1" t="str">
        <f t="shared" si="20"/>
        <v>Ghee</v>
      </c>
      <c r="D119" s="4">
        <f t="shared" si="21"/>
        <v>6541.7000000000007</v>
      </c>
      <c r="E119" s="1"/>
      <c r="F119" s="1"/>
      <c r="G119" s="1"/>
      <c r="H119" s="1"/>
      <c r="I119" s="1"/>
      <c r="J119" s="1"/>
      <c r="K119" s="1"/>
      <c r="L119" s="1"/>
      <c r="M119" s="1"/>
    </row>
    <row r="120" spans="1:31" ht="13">
      <c r="A120" s="36" t="str">
        <f t="shared" si="19"/>
        <v>Non cultured ghee 1l</v>
      </c>
      <c r="B120" s="36"/>
      <c r="C120" s="1" t="str">
        <f t="shared" si="20"/>
        <v>Ghee</v>
      </c>
      <c r="D120" s="4">
        <f t="shared" si="21"/>
        <v>3718</v>
      </c>
      <c r="E120" s="1"/>
      <c r="F120" s="1"/>
      <c r="G120" s="1"/>
      <c r="H120" s="1"/>
      <c r="I120" s="1"/>
      <c r="J120" s="1"/>
      <c r="K120" s="1"/>
      <c r="L120" s="1"/>
      <c r="M120" s="1"/>
      <c r="AC120" t="s">
        <v>98</v>
      </c>
      <c r="AD120" t="s">
        <v>99</v>
      </c>
      <c r="AE120" t="s">
        <v>100</v>
      </c>
    </row>
    <row r="121" spans="1:31" ht="13">
      <c r="A121" s="36" t="str">
        <f t="shared" si="19"/>
        <v>A2 Cultured Ghee - 1000 ml</v>
      </c>
      <c r="B121" s="36"/>
      <c r="C121" s="1" t="str">
        <f t="shared" si="20"/>
        <v>Ghee</v>
      </c>
      <c r="D121" s="4">
        <f t="shared" si="21"/>
        <v>3333.6000000000004</v>
      </c>
      <c r="E121" s="1"/>
      <c r="F121" s="1"/>
      <c r="G121" s="1"/>
      <c r="H121" s="1"/>
      <c r="I121" s="1"/>
      <c r="J121" s="1"/>
      <c r="K121" s="1"/>
      <c r="L121" s="1"/>
      <c r="M121" s="1"/>
      <c r="AC121">
        <f t="shared" ref="AC121:AC151" si="22">$A130</f>
        <v>46258</v>
      </c>
      <c r="AD121">
        <f t="shared" ref="AD121:AD151" si="23">$C130</f>
        <v>598</v>
      </c>
      <c r="AE121">
        <f t="shared" ref="AE121:AE151" si="24">$D130</f>
        <v>4327</v>
      </c>
    </row>
    <row r="122" spans="1:31" ht="13">
      <c r="A122" s="36" t="str">
        <f t="shared" si="19"/>
        <v>Colostrum Powder, Desi Gir Cow - 100 gm</v>
      </c>
      <c r="B122" s="36"/>
      <c r="C122" s="1" t="str">
        <f t="shared" si="20"/>
        <v>Ghee</v>
      </c>
      <c r="D122" s="4">
        <f t="shared" si="21"/>
        <v>799</v>
      </c>
      <c r="E122" s="1"/>
      <c r="F122" s="1"/>
      <c r="G122" s="1"/>
      <c r="H122" s="1"/>
      <c r="I122" s="1"/>
      <c r="J122" s="1"/>
      <c r="K122" s="1"/>
      <c r="L122" s="1"/>
      <c r="M122" s="1"/>
      <c r="AC122">
        <f t="shared" si="22"/>
        <v>46259</v>
      </c>
      <c r="AD122">
        <f t="shared" si="23"/>
        <v>2966</v>
      </c>
      <c r="AE122">
        <f t="shared" si="24"/>
        <v>8654</v>
      </c>
    </row>
    <row r="123" spans="1:31" ht="13">
      <c r="A123" s="36" t="str">
        <f t="shared" si="19"/>
        <v xml:space="preserve">A2 Cultured Ghee - 5 Ltr </v>
      </c>
      <c r="B123" s="36"/>
      <c r="C123" s="1" t="str">
        <f t="shared" si="20"/>
        <v>Ghee</v>
      </c>
      <c r="D123" s="4">
        <f t="shared" si="21"/>
        <v>441.25</v>
      </c>
      <c r="E123" s="1"/>
      <c r="F123" s="1"/>
      <c r="G123" s="1"/>
      <c r="H123" s="1"/>
      <c r="I123" s="1"/>
      <c r="J123" s="1"/>
      <c r="K123" s="1"/>
      <c r="L123" s="1"/>
      <c r="M123" s="1"/>
      <c r="AC123">
        <f t="shared" si="22"/>
        <v>46260</v>
      </c>
      <c r="AD123">
        <f t="shared" si="23"/>
        <v>5630</v>
      </c>
      <c r="AE123">
        <f t="shared" si="24"/>
        <v>12981</v>
      </c>
    </row>
    <row r="124" spans="1:31" ht="13">
      <c r="A124" s="36" t="str">
        <f t="shared" si="19"/>
        <v>Shatavari Ghee - 250 gm</v>
      </c>
      <c r="B124" s="36"/>
      <c r="C124" s="1" t="str">
        <f t="shared" si="20"/>
        <v>Ghee</v>
      </c>
      <c r="D124" s="4">
        <f t="shared" si="21"/>
        <v>255</v>
      </c>
      <c r="E124" s="1"/>
      <c r="F124" s="1"/>
      <c r="G124" s="1"/>
      <c r="H124" s="1"/>
      <c r="I124" s="1"/>
      <c r="J124" s="1"/>
      <c r="K124" s="1"/>
      <c r="L124" s="1"/>
      <c r="M124" s="1"/>
      <c r="AC124">
        <f t="shared" si="22"/>
        <v>46261</v>
      </c>
      <c r="AD124">
        <f t="shared" si="23"/>
        <v>7924</v>
      </c>
      <c r="AE124">
        <f t="shared" si="24"/>
        <v>17308</v>
      </c>
    </row>
    <row r="125" spans="1:31" ht="13">
      <c r="A125" s="36" t="str">
        <f t="shared" si="19"/>
        <v>Butter/Makhan - 200 gm</v>
      </c>
      <c r="B125" s="36"/>
      <c r="C125" s="1" t="str">
        <f t="shared" si="20"/>
        <v>Ghee</v>
      </c>
      <c r="D125" s="4">
        <f t="shared" si="21"/>
        <v>186</v>
      </c>
      <c r="E125" s="1"/>
      <c r="F125" s="1"/>
      <c r="G125" s="1"/>
      <c r="H125" s="1"/>
      <c r="I125" s="1"/>
      <c r="J125" s="1"/>
      <c r="K125" s="1"/>
      <c r="L125" s="1"/>
      <c r="M125" s="1"/>
      <c r="AC125">
        <f t="shared" si="22"/>
        <v>46262</v>
      </c>
      <c r="AD125">
        <f t="shared" si="23"/>
        <v>9342</v>
      </c>
      <c r="AE125">
        <f t="shared" si="24"/>
        <v>21634</v>
      </c>
    </row>
    <row r="126" spans="1:31" ht="1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AC126">
        <f t="shared" si="22"/>
        <v>46263</v>
      </c>
      <c r="AD126">
        <f t="shared" si="23"/>
        <v>10562</v>
      </c>
      <c r="AE126">
        <f t="shared" si="24"/>
        <v>25961</v>
      </c>
    </row>
    <row r="127" spans="1:31" ht="1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AC127">
        <f t="shared" si="22"/>
        <v>46264</v>
      </c>
      <c r="AD127">
        <f t="shared" si="23"/>
        <v>12170</v>
      </c>
      <c r="AE127">
        <f t="shared" si="24"/>
        <v>30288</v>
      </c>
    </row>
    <row r="128" spans="1:31" ht="14.5">
      <c r="A128" s="34" t="s">
        <v>101</v>
      </c>
      <c r="B128" s="34"/>
      <c r="C128" s="34"/>
      <c r="D128" s="34"/>
      <c r="E128" s="34"/>
      <c r="F128" s="1"/>
      <c r="G128" s="1"/>
      <c r="H128" s="1"/>
      <c r="I128" s="1"/>
      <c r="J128" s="1"/>
      <c r="K128" s="1"/>
      <c r="L128" s="1"/>
      <c r="M128" s="1"/>
      <c r="AC128">
        <f t="shared" si="22"/>
        <v>46265</v>
      </c>
      <c r="AD128">
        <f t="shared" si="23"/>
        <v>13487</v>
      </c>
      <c r="AE128">
        <f t="shared" si="24"/>
        <v>34615</v>
      </c>
    </row>
    <row r="129" spans="1:31" ht="26">
      <c r="A129" s="19" t="s">
        <v>98</v>
      </c>
      <c r="B129" s="19" t="s">
        <v>102</v>
      </c>
      <c r="C129" s="19" t="s">
        <v>103</v>
      </c>
      <c r="D129" s="19" t="s">
        <v>104</v>
      </c>
      <c r="E129" s="19" t="s">
        <v>105</v>
      </c>
      <c r="F129" s="1"/>
      <c r="G129" s="1"/>
      <c r="H129" s="1"/>
      <c r="I129" s="1"/>
      <c r="J129" s="1"/>
      <c r="K129" s="1"/>
      <c r="L129" s="1"/>
      <c r="M129" s="1"/>
      <c r="AC129">
        <f t="shared" si="22"/>
        <v>46266</v>
      </c>
      <c r="AD129">
        <f t="shared" si="23"/>
        <v>15509</v>
      </c>
      <c r="AE129">
        <f t="shared" si="24"/>
        <v>38942</v>
      </c>
    </row>
    <row r="130" spans="1:31" ht="13">
      <c r="A130" s="20">
        <f t="array" ref="A130">IFERROR(INDEX(Summary!$P$2:$AT$2,1,ROW()-129),"")</f>
        <v>46258</v>
      </c>
      <c r="B130" s="4">
        <f>IFERROR(SUMPRODUCT($P$3:$P$70,$U$3:$U$70,INDEX(Summary!$P$3:$AT$70,0,ROW()-129)),0)</f>
        <v>598</v>
      </c>
      <c r="C130" s="4">
        <f>SUM($B$130:B130)</f>
        <v>598</v>
      </c>
      <c r="D130" s="4">
        <f t="shared" ref="D130:D160" si="25">ROUND($C$104/$C$101*(ROW()-129),0)</f>
        <v>4327</v>
      </c>
      <c r="E130" s="4">
        <f t="shared" ref="E130:E160" si="26">C130-D130</f>
        <v>-3729</v>
      </c>
      <c r="F130" s="1"/>
      <c r="G130" s="1"/>
      <c r="H130" s="1"/>
      <c r="I130" s="1"/>
      <c r="J130" s="1"/>
      <c r="K130" s="1"/>
      <c r="L130" s="1"/>
      <c r="M130" s="1"/>
      <c r="AC130">
        <f t="shared" si="22"/>
        <v>46267</v>
      </c>
      <c r="AD130">
        <f t="shared" si="23"/>
        <v>17560</v>
      </c>
      <c r="AE130">
        <f t="shared" si="24"/>
        <v>43269</v>
      </c>
    </row>
    <row r="131" spans="1:31" ht="13">
      <c r="A131" s="20">
        <f t="array" ref="A131">IFERROR(INDEX(Summary!$P$2:$AT$2,1,ROW()-129),"")</f>
        <v>46259</v>
      </c>
      <c r="B131" s="4">
        <f>IFERROR(SUMPRODUCT($P$3:$P$70,$U$3:$U$70,INDEX(Summary!$P$3:$AT$70,0,ROW()-129)),0)</f>
        <v>2368</v>
      </c>
      <c r="C131" s="4">
        <f>SUM($B$130:B131)</f>
        <v>2966</v>
      </c>
      <c r="D131" s="4">
        <f t="shared" si="25"/>
        <v>8654</v>
      </c>
      <c r="E131" s="4">
        <f t="shared" si="26"/>
        <v>-5688</v>
      </c>
      <c r="F131" s="1"/>
      <c r="G131" s="1"/>
      <c r="H131" s="1"/>
      <c r="I131" s="1"/>
      <c r="J131" s="1"/>
      <c r="K131" s="1"/>
      <c r="L131" s="1"/>
      <c r="M131" s="1"/>
      <c r="AC131">
        <f t="shared" si="22"/>
        <v>46268</v>
      </c>
      <c r="AD131">
        <f t="shared" si="23"/>
        <v>20219</v>
      </c>
      <c r="AE131">
        <f t="shared" si="24"/>
        <v>47596</v>
      </c>
    </row>
    <row r="132" spans="1:31" ht="13">
      <c r="A132" s="20">
        <f t="array" ref="A132">IFERROR(INDEX(Summary!$P$2:$AT$2,1,ROW()-129),"")</f>
        <v>46260</v>
      </c>
      <c r="B132" s="4">
        <f>IFERROR(SUMPRODUCT($P$3:$P$70,$U$3:$U$70,INDEX(Summary!$P$3:$AT$70,0,ROW()-129)),0)</f>
        <v>2664</v>
      </c>
      <c r="C132" s="4">
        <f>SUM($B$130:B132)</f>
        <v>5630</v>
      </c>
      <c r="D132" s="4">
        <f t="shared" si="25"/>
        <v>12981</v>
      </c>
      <c r="E132" s="4">
        <f t="shared" si="26"/>
        <v>-7351</v>
      </c>
      <c r="F132" s="1"/>
      <c r="G132" s="1"/>
      <c r="H132" s="1"/>
      <c r="I132" s="1"/>
      <c r="J132" s="1"/>
      <c r="K132" s="1"/>
      <c r="L132" s="1"/>
      <c r="M132" s="1"/>
      <c r="AC132">
        <f t="shared" si="22"/>
        <v>46269</v>
      </c>
      <c r="AD132">
        <f t="shared" si="23"/>
        <v>22504</v>
      </c>
      <c r="AE132">
        <f t="shared" si="24"/>
        <v>51923</v>
      </c>
    </row>
    <row r="133" spans="1:31" ht="13">
      <c r="A133" s="20">
        <f t="array" ref="A133">IFERROR(INDEX(Summary!$P$2:$AT$2,1,ROW()-129),"")</f>
        <v>46261</v>
      </c>
      <c r="B133" s="4">
        <f>IFERROR(SUMPRODUCT($P$3:$P$70,$U$3:$U$70,INDEX(Summary!$P$3:$AT$70,0,ROW()-129)),0)</f>
        <v>2294</v>
      </c>
      <c r="C133" s="4">
        <f>SUM($B$130:B133)</f>
        <v>7924</v>
      </c>
      <c r="D133" s="4">
        <f t="shared" si="25"/>
        <v>17308</v>
      </c>
      <c r="E133" s="4">
        <f t="shared" si="26"/>
        <v>-9384</v>
      </c>
      <c r="F133" s="1"/>
      <c r="G133" s="1"/>
      <c r="H133" s="1"/>
      <c r="I133" s="1"/>
      <c r="J133" s="1"/>
      <c r="K133" s="1"/>
      <c r="L133" s="1"/>
      <c r="M133" s="1"/>
      <c r="AC133">
        <f t="shared" si="22"/>
        <v>46270</v>
      </c>
      <c r="AD133">
        <f t="shared" si="23"/>
        <v>24588</v>
      </c>
      <c r="AE133">
        <f t="shared" si="24"/>
        <v>56250</v>
      </c>
    </row>
    <row r="134" spans="1:31" ht="13">
      <c r="A134" s="20">
        <f t="array" ref="A134">IFERROR(INDEX(Summary!$P$2:$AT$2,1,ROW()-129),"")</f>
        <v>46262</v>
      </c>
      <c r="B134" s="4">
        <f>IFERROR(SUMPRODUCT($P$3:$P$70,$U$3:$U$70,INDEX(Summary!$P$3:$AT$70,0,ROW()-129)),0)</f>
        <v>1418</v>
      </c>
      <c r="C134" s="4">
        <f>SUM($B$130:B134)</f>
        <v>9342</v>
      </c>
      <c r="D134" s="4">
        <f t="shared" si="25"/>
        <v>21634</v>
      </c>
      <c r="E134" s="4">
        <f t="shared" si="26"/>
        <v>-12292</v>
      </c>
      <c r="F134" s="1"/>
      <c r="G134" s="1"/>
      <c r="H134" s="1"/>
      <c r="I134" s="1"/>
      <c r="J134" s="1"/>
      <c r="K134" s="1"/>
      <c r="L134" s="1"/>
      <c r="M134" s="1"/>
      <c r="AC134">
        <f t="shared" si="22"/>
        <v>46271</v>
      </c>
      <c r="AD134">
        <f t="shared" si="23"/>
        <v>24588</v>
      </c>
      <c r="AE134">
        <f t="shared" si="24"/>
        <v>60576</v>
      </c>
    </row>
    <row r="135" spans="1:31" ht="13">
      <c r="A135" s="20">
        <f t="array" ref="A135">IFERROR(INDEX(Summary!$P$2:$AT$2,1,ROW()-129),"")</f>
        <v>46263</v>
      </c>
      <c r="B135" s="4">
        <f>IFERROR(SUMPRODUCT($P$3:$P$70,$U$3:$U$70,INDEX(Summary!$P$3:$AT$70,0,ROW()-129)),0)</f>
        <v>1220</v>
      </c>
      <c r="C135" s="4">
        <f>SUM($B$130:B135)</f>
        <v>10562</v>
      </c>
      <c r="D135" s="4">
        <f t="shared" si="25"/>
        <v>25961</v>
      </c>
      <c r="E135" s="4">
        <f t="shared" si="26"/>
        <v>-15399</v>
      </c>
      <c r="F135" s="1"/>
      <c r="G135" s="1"/>
      <c r="H135" s="1"/>
      <c r="I135" s="1"/>
      <c r="J135" s="1"/>
      <c r="K135" s="1"/>
      <c r="L135" s="1"/>
      <c r="M135" s="1"/>
      <c r="AC135">
        <f t="shared" si="22"/>
        <v>46272</v>
      </c>
      <c r="AD135">
        <f t="shared" si="23"/>
        <v>27217</v>
      </c>
      <c r="AE135">
        <f t="shared" si="24"/>
        <v>64903</v>
      </c>
    </row>
    <row r="136" spans="1:31" ht="13">
      <c r="A136" s="20">
        <f t="array" ref="A136">IFERROR(INDEX(Summary!$P$2:$AT$2,1,ROW()-129),"")</f>
        <v>46264</v>
      </c>
      <c r="B136" s="4">
        <f>IFERROR(SUMPRODUCT($P$3:$P$70,$U$3:$U$70,INDEX(Summary!$P$3:$AT$70,0,ROW()-129)),0)</f>
        <v>1608</v>
      </c>
      <c r="C136" s="4">
        <f>SUM($B$130:B136)</f>
        <v>12170</v>
      </c>
      <c r="D136" s="4">
        <f t="shared" si="25"/>
        <v>30288</v>
      </c>
      <c r="E136" s="4">
        <f t="shared" si="26"/>
        <v>-18118</v>
      </c>
      <c r="F136" s="1"/>
      <c r="G136" s="1"/>
      <c r="H136" s="1"/>
      <c r="I136" s="1"/>
      <c r="J136" s="1"/>
      <c r="K136" s="1"/>
      <c r="L136" s="1"/>
      <c r="M136" s="1"/>
      <c r="AC136">
        <f t="shared" si="22"/>
        <v>46273</v>
      </c>
      <c r="AD136">
        <f t="shared" si="23"/>
        <v>30597</v>
      </c>
      <c r="AE136">
        <f t="shared" si="24"/>
        <v>69230</v>
      </c>
    </row>
    <row r="137" spans="1:31" ht="13">
      <c r="A137" s="20">
        <f t="array" ref="A137">IFERROR(INDEX(Summary!$P$2:$AT$2,1,ROW()-129),"")</f>
        <v>46265</v>
      </c>
      <c r="B137" s="4">
        <f>IFERROR(SUMPRODUCT($P$3:$P$70,$U$3:$U$70,INDEX(Summary!$P$3:$AT$70,0,ROW()-129)),0)</f>
        <v>1317</v>
      </c>
      <c r="C137" s="4">
        <f>SUM($B$130:B137)</f>
        <v>13487</v>
      </c>
      <c r="D137" s="4">
        <f t="shared" si="25"/>
        <v>34615</v>
      </c>
      <c r="E137" s="4">
        <f t="shared" si="26"/>
        <v>-21128</v>
      </c>
      <c r="F137" s="1"/>
      <c r="G137" s="1"/>
      <c r="H137" s="1"/>
      <c r="I137" s="1"/>
      <c r="J137" s="1"/>
      <c r="K137" s="1"/>
      <c r="L137" s="1"/>
      <c r="M137" s="1"/>
      <c r="AC137">
        <f t="shared" si="22"/>
        <v>46274</v>
      </c>
      <c r="AD137">
        <f t="shared" si="23"/>
        <v>33263</v>
      </c>
      <c r="AE137">
        <f t="shared" si="24"/>
        <v>73557</v>
      </c>
    </row>
    <row r="138" spans="1:31" ht="13">
      <c r="A138" s="20">
        <f t="array" ref="A138">IFERROR(INDEX(Summary!$P$2:$AT$2,1,ROW()-129),"")</f>
        <v>46266</v>
      </c>
      <c r="B138" s="4">
        <f>IFERROR(SUMPRODUCT($P$3:$P$70,$U$3:$U$70,INDEX(Summary!$P$3:$AT$70,0,ROW()-129)),0)</f>
        <v>2022</v>
      </c>
      <c r="C138" s="4">
        <f>SUM($B$130:B138)</f>
        <v>15509</v>
      </c>
      <c r="D138" s="4">
        <f t="shared" si="25"/>
        <v>38942</v>
      </c>
      <c r="E138" s="4">
        <f t="shared" si="26"/>
        <v>-23433</v>
      </c>
      <c r="F138" s="1"/>
      <c r="G138" s="1"/>
      <c r="H138" s="1"/>
      <c r="I138" s="1"/>
      <c r="J138" s="1"/>
      <c r="K138" s="1"/>
      <c r="L138" s="1"/>
      <c r="M138" s="1"/>
      <c r="AC138">
        <f t="shared" si="22"/>
        <v>46275</v>
      </c>
      <c r="AD138">
        <f t="shared" si="23"/>
        <v>35463</v>
      </c>
      <c r="AE138">
        <f t="shared" si="24"/>
        <v>77884</v>
      </c>
    </row>
    <row r="139" spans="1:31" ht="13">
      <c r="A139" s="20">
        <f t="array" ref="A139">IFERROR(INDEX(Summary!$P$2:$AT$2,1,ROW()-129),"")</f>
        <v>46267</v>
      </c>
      <c r="B139" s="4">
        <f>IFERROR(SUMPRODUCT($P$3:$P$70,$U$3:$U$70,INDEX(Summary!$P$3:$AT$70,0,ROW()-129)),0)</f>
        <v>2051</v>
      </c>
      <c r="C139" s="4">
        <f>SUM($B$130:B139)</f>
        <v>17560</v>
      </c>
      <c r="D139" s="4">
        <f t="shared" si="25"/>
        <v>43269</v>
      </c>
      <c r="E139" s="4">
        <f t="shared" si="26"/>
        <v>-25709</v>
      </c>
      <c r="F139" s="1"/>
      <c r="G139" s="1"/>
      <c r="H139" s="1"/>
      <c r="I139" s="1"/>
      <c r="J139" s="1"/>
      <c r="K139" s="1"/>
      <c r="L139" s="1"/>
      <c r="M139" s="1"/>
      <c r="AC139">
        <f t="shared" si="22"/>
        <v>46276</v>
      </c>
      <c r="AD139">
        <f t="shared" si="23"/>
        <v>37590</v>
      </c>
      <c r="AE139">
        <f t="shared" si="24"/>
        <v>82211</v>
      </c>
    </row>
    <row r="140" spans="1:31" ht="13">
      <c r="A140" s="20">
        <f t="array" ref="A140">IFERROR(INDEX(Summary!$P$2:$AT$2,1,ROW()-129),"")</f>
        <v>46268</v>
      </c>
      <c r="B140" s="4">
        <f>IFERROR(SUMPRODUCT($P$3:$P$70,$U$3:$U$70,INDEX(Summary!$P$3:$AT$70,0,ROW()-129)),0)</f>
        <v>2659</v>
      </c>
      <c r="C140" s="4">
        <f>SUM($B$130:B140)</f>
        <v>20219</v>
      </c>
      <c r="D140" s="4">
        <f t="shared" si="25"/>
        <v>47596</v>
      </c>
      <c r="E140" s="4">
        <f t="shared" si="26"/>
        <v>-27377</v>
      </c>
      <c r="F140" s="1"/>
      <c r="G140" s="1"/>
      <c r="H140" s="1"/>
      <c r="I140" s="1"/>
      <c r="J140" s="1"/>
      <c r="K140" s="1"/>
      <c r="L140" s="1"/>
      <c r="M140" s="1"/>
      <c r="AC140">
        <f t="shared" si="22"/>
        <v>46277</v>
      </c>
      <c r="AD140">
        <f t="shared" si="23"/>
        <v>40396</v>
      </c>
      <c r="AE140">
        <f t="shared" si="24"/>
        <v>86538</v>
      </c>
    </row>
    <row r="141" spans="1:31" ht="13">
      <c r="A141" s="20">
        <f t="array" ref="A141">IFERROR(INDEX(Summary!$P$2:$AT$2,1,ROW()-129),"")</f>
        <v>46269</v>
      </c>
      <c r="B141" s="4">
        <f>IFERROR(SUMPRODUCT($P$3:$P$70,$U$3:$U$70,INDEX(Summary!$P$3:$AT$70,0,ROW()-129)),0)</f>
        <v>2285</v>
      </c>
      <c r="C141" s="4">
        <f>SUM($B$130:B141)</f>
        <v>22504</v>
      </c>
      <c r="D141" s="4">
        <f t="shared" si="25"/>
        <v>51923</v>
      </c>
      <c r="E141" s="4">
        <f t="shared" si="26"/>
        <v>-29419</v>
      </c>
      <c r="F141" s="1"/>
      <c r="G141" s="1"/>
      <c r="H141" s="1"/>
      <c r="I141" s="1"/>
      <c r="J141" s="1"/>
      <c r="K141" s="1"/>
      <c r="L141" s="1"/>
      <c r="M141" s="1"/>
      <c r="AC141">
        <f t="shared" si="22"/>
        <v>46278</v>
      </c>
      <c r="AD141">
        <f t="shared" si="23"/>
        <v>42983</v>
      </c>
      <c r="AE141">
        <f t="shared" si="24"/>
        <v>90865</v>
      </c>
    </row>
    <row r="142" spans="1:31" ht="13">
      <c r="A142" s="20">
        <f t="array" ref="A142">IFERROR(INDEX(Summary!$P$2:$AT$2,1,ROW()-129),"")</f>
        <v>46270</v>
      </c>
      <c r="B142" s="4">
        <f>IFERROR(SUMPRODUCT($P$3:$P$70,$U$3:$U$70,INDEX(Summary!$P$3:$AT$70,0,ROW()-129)),0)</f>
        <v>2084</v>
      </c>
      <c r="C142" s="4">
        <f>SUM($B$130:B142)</f>
        <v>24588</v>
      </c>
      <c r="D142" s="4">
        <f t="shared" si="25"/>
        <v>56250</v>
      </c>
      <c r="E142" s="4">
        <f t="shared" si="26"/>
        <v>-31662</v>
      </c>
      <c r="F142" s="1"/>
      <c r="G142" s="1"/>
      <c r="H142" s="1"/>
      <c r="I142" s="1"/>
      <c r="J142" s="1"/>
      <c r="K142" s="1"/>
      <c r="L142" s="1"/>
      <c r="M142" s="1"/>
      <c r="AC142">
        <f t="shared" si="22"/>
        <v>46279</v>
      </c>
      <c r="AD142">
        <f t="shared" si="23"/>
        <v>42983</v>
      </c>
      <c r="AE142">
        <f t="shared" si="24"/>
        <v>95191</v>
      </c>
    </row>
    <row r="143" spans="1:31" ht="13">
      <c r="A143" s="20">
        <f t="array" ref="A143">IFERROR(INDEX(Summary!$P$2:$AT$2,1,ROW()-129),"")</f>
        <v>46271</v>
      </c>
      <c r="B143" s="4">
        <f>IFERROR(SUMPRODUCT($P$3:$P$70,$U$3:$U$70,INDEX(Summary!$P$3:$AT$70,0,ROW()-129)),0)</f>
        <v>0</v>
      </c>
      <c r="C143" s="4">
        <f>SUM($B$130:B143)</f>
        <v>24588</v>
      </c>
      <c r="D143" s="4">
        <f t="shared" si="25"/>
        <v>60576</v>
      </c>
      <c r="E143" s="4">
        <f t="shared" si="26"/>
        <v>-35988</v>
      </c>
      <c r="F143" s="1"/>
      <c r="G143" s="1"/>
      <c r="H143" s="1"/>
      <c r="I143" s="1"/>
      <c r="J143" s="1"/>
      <c r="K143" s="1"/>
      <c r="L143" s="1"/>
      <c r="M143" s="1"/>
      <c r="AC143">
        <f t="shared" si="22"/>
        <v>46280</v>
      </c>
      <c r="AD143">
        <f t="shared" si="23"/>
        <v>44998</v>
      </c>
      <c r="AE143">
        <f t="shared" si="24"/>
        <v>99518</v>
      </c>
    </row>
    <row r="144" spans="1:31" ht="13">
      <c r="A144" s="20">
        <f t="array" ref="A144">IFERROR(INDEX(Summary!$P$2:$AT$2,1,ROW()-129),"")</f>
        <v>46272</v>
      </c>
      <c r="B144" s="4">
        <f>IFERROR(SUMPRODUCT($P$3:$P$70,$U$3:$U$70,INDEX(Summary!$P$3:$AT$70,0,ROW()-129)),0)</f>
        <v>2629</v>
      </c>
      <c r="C144" s="4">
        <f>SUM($B$130:B144)</f>
        <v>27217</v>
      </c>
      <c r="D144" s="4">
        <f t="shared" si="25"/>
        <v>64903</v>
      </c>
      <c r="E144" s="4">
        <f t="shared" si="26"/>
        <v>-37686</v>
      </c>
      <c r="F144" s="1"/>
      <c r="G144" s="1"/>
      <c r="H144" s="1"/>
      <c r="I144" s="1"/>
      <c r="J144" s="1"/>
      <c r="K144" s="1"/>
      <c r="L144" s="1"/>
      <c r="M144" s="1"/>
      <c r="AC144">
        <f t="shared" si="22"/>
        <v>46281</v>
      </c>
      <c r="AD144">
        <f t="shared" si="23"/>
        <v>47557</v>
      </c>
      <c r="AE144">
        <f t="shared" si="24"/>
        <v>103845</v>
      </c>
    </row>
    <row r="145" spans="1:31" ht="13">
      <c r="A145" s="20">
        <f t="array" ref="A145">IFERROR(INDEX(Summary!$P$2:$AT$2,1,ROW()-129),"")</f>
        <v>46273</v>
      </c>
      <c r="B145" s="4">
        <f>IFERROR(SUMPRODUCT($P$3:$P$70,$U$3:$U$70,INDEX(Summary!$P$3:$AT$70,0,ROW()-129)),0)</f>
        <v>3380</v>
      </c>
      <c r="C145" s="4">
        <f>SUM($B$130:B145)</f>
        <v>30597</v>
      </c>
      <c r="D145" s="4">
        <f t="shared" si="25"/>
        <v>69230</v>
      </c>
      <c r="E145" s="4">
        <f t="shared" si="26"/>
        <v>-38633</v>
      </c>
      <c r="F145" s="1"/>
      <c r="G145" s="1"/>
      <c r="H145" s="1"/>
      <c r="I145" s="1"/>
      <c r="J145" s="1"/>
      <c r="K145" s="1"/>
      <c r="L145" s="1"/>
      <c r="M145" s="1"/>
      <c r="AC145">
        <f t="shared" si="22"/>
        <v>46282</v>
      </c>
      <c r="AD145">
        <f t="shared" si="23"/>
        <v>50090</v>
      </c>
      <c r="AE145">
        <f t="shared" si="24"/>
        <v>108172</v>
      </c>
    </row>
    <row r="146" spans="1:31" ht="13">
      <c r="A146" s="20">
        <f t="array" ref="A146">IFERROR(INDEX(Summary!$P$2:$AT$2,1,ROW()-129),"")</f>
        <v>46274</v>
      </c>
      <c r="B146" s="4">
        <f>IFERROR(SUMPRODUCT($P$3:$P$70,$U$3:$U$70,INDEX(Summary!$P$3:$AT$70,0,ROW()-129)),0)</f>
        <v>2666</v>
      </c>
      <c r="C146" s="4">
        <f>SUM($B$130:B146)</f>
        <v>33263</v>
      </c>
      <c r="D146" s="4">
        <f t="shared" si="25"/>
        <v>73557</v>
      </c>
      <c r="E146" s="4">
        <f t="shared" si="26"/>
        <v>-40294</v>
      </c>
      <c r="F146" s="1"/>
      <c r="G146" s="1"/>
      <c r="H146" s="1"/>
      <c r="I146" s="1"/>
      <c r="J146" s="1"/>
      <c r="K146" s="1"/>
      <c r="L146" s="1"/>
      <c r="M146" s="1"/>
      <c r="AC146">
        <f t="shared" si="22"/>
        <v>46283</v>
      </c>
      <c r="AD146">
        <f t="shared" si="23"/>
        <v>52633</v>
      </c>
      <c r="AE146">
        <f t="shared" si="24"/>
        <v>112499</v>
      </c>
    </row>
    <row r="147" spans="1:31" ht="13">
      <c r="A147" s="20">
        <f t="array" ref="A147">IFERROR(INDEX(Summary!$P$2:$AT$2,1,ROW()-129),"")</f>
        <v>46275</v>
      </c>
      <c r="B147" s="4">
        <f>IFERROR(SUMPRODUCT($P$3:$P$70,$U$3:$U$70,INDEX(Summary!$P$3:$AT$70,0,ROW()-129)),0)</f>
        <v>2200</v>
      </c>
      <c r="C147" s="4">
        <f>SUM($B$130:B147)</f>
        <v>35463</v>
      </c>
      <c r="D147" s="4">
        <f t="shared" si="25"/>
        <v>77884</v>
      </c>
      <c r="E147" s="4">
        <f t="shared" si="26"/>
        <v>-42421</v>
      </c>
      <c r="F147" s="1"/>
      <c r="G147" s="1"/>
      <c r="H147" s="1"/>
      <c r="I147" s="1"/>
      <c r="J147" s="1"/>
      <c r="K147" s="1"/>
      <c r="L147" s="1"/>
      <c r="M147" s="1"/>
      <c r="AC147">
        <f t="shared" si="22"/>
        <v>46284</v>
      </c>
      <c r="AD147">
        <f t="shared" si="23"/>
        <v>54672</v>
      </c>
      <c r="AE147">
        <f t="shared" si="24"/>
        <v>116826</v>
      </c>
    </row>
    <row r="148" spans="1:31" ht="13">
      <c r="A148" s="20">
        <f t="array" ref="A148">IFERROR(INDEX(Summary!$P$2:$AT$2,1,ROW()-129),"")</f>
        <v>46276</v>
      </c>
      <c r="B148" s="4">
        <f>IFERROR(SUMPRODUCT($P$3:$P$70,$U$3:$U$70,INDEX(Summary!$P$3:$AT$70,0,ROW()-129)),0)</f>
        <v>2127</v>
      </c>
      <c r="C148" s="4">
        <f>SUM($B$130:B148)</f>
        <v>37590</v>
      </c>
      <c r="D148" s="4">
        <f t="shared" si="25"/>
        <v>82211</v>
      </c>
      <c r="E148" s="4">
        <f t="shared" si="26"/>
        <v>-44621</v>
      </c>
      <c r="F148" s="1"/>
      <c r="G148" s="1"/>
      <c r="H148" s="1"/>
      <c r="I148" s="1"/>
      <c r="J148" s="1"/>
      <c r="K148" s="1"/>
      <c r="L148" s="1"/>
      <c r="M148" s="1"/>
      <c r="AC148">
        <f t="shared" si="22"/>
        <v>46285</v>
      </c>
      <c r="AD148">
        <f t="shared" si="23"/>
        <v>54672</v>
      </c>
      <c r="AE148">
        <f t="shared" si="24"/>
        <v>121153</v>
      </c>
    </row>
    <row r="149" spans="1:31" ht="13">
      <c r="A149" s="20">
        <f t="array" ref="A149">IFERROR(INDEX(Summary!$P$2:$AT$2,1,ROW()-129),"")</f>
        <v>46277</v>
      </c>
      <c r="B149" s="4">
        <f>IFERROR(SUMPRODUCT($P$3:$P$70,$U$3:$U$70,INDEX(Summary!$P$3:$AT$70,0,ROW()-129)),0)</f>
        <v>2806</v>
      </c>
      <c r="C149" s="4">
        <f>SUM($B$130:B149)</f>
        <v>40396</v>
      </c>
      <c r="D149" s="4">
        <f t="shared" si="25"/>
        <v>86538</v>
      </c>
      <c r="E149" s="4">
        <f t="shared" si="26"/>
        <v>-46142</v>
      </c>
      <c r="F149" s="1"/>
      <c r="G149" s="1"/>
      <c r="H149" s="1"/>
      <c r="I149" s="1"/>
      <c r="J149" s="1"/>
      <c r="K149" s="1"/>
      <c r="L149" s="1"/>
      <c r="M149" s="1"/>
      <c r="AC149">
        <f t="shared" si="22"/>
        <v>46286</v>
      </c>
      <c r="AD149">
        <f t="shared" si="23"/>
        <v>57235</v>
      </c>
      <c r="AE149">
        <f t="shared" si="24"/>
        <v>125480</v>
      </c>
    </row>
    <row r="150" spans="1:31" ht="13">
      <c r="A150" s="20">
        <f t="array" ref="A150">IFERROR(INDEX(Summary!$P$2:$AT$2,1,ROW()-129),"")</f>
        <v>46278</v>
      </c>
      <c r="B150" s="4">
        <f>IFERROR(SUMPRODUCT($P$3:$P$70,$U$3:$U$70,INDEX(Summary!$P$3:$AT$70,0,ROW()-129)),0)</f>
        <v>2587</v>
      </c>
      <c r="C150" s="4">
        <f>SUM($B$130:B150)</f>
        <v>42983</v>
      </c>
      <c r="D150" s="4">
        <f t="shared" si="25"/>
        <v>90865</v>
      </c>
      <c r="E150" s="4">
        <f t="shared" si="26"/>
        <v>-47882</v>
      </c>
      <c r="F150" s="1"/>
      <c r="G150" s="1"/>
      <c r="H150" s="1"/>
      <c r="I150" s="1"/>
      <c r="J150" s="1"/>
      <c r="K150" s="1"/>
      <c r="L150" s="1"/>
      <c r="M150" s="1"/>
      <c r="AC150">
        <f t="shared" si="22"/>
        <v>46287</v>
      </c>
      <c r="AD150">
        <f t="shared" si="23"/>
        <v>59801</v>
      </c>
      <c r="AE150">
        <f t="shared" si="24"/>
        <v>129807</v>
      </c>
    </row>
    <row r="151" spans="1:31" ht="13">
      <c r="A151" s="20">
        <f t="array" ref="A151">IFERROR(INDEX(Summary!$P$2:$AT$2,1,ROW()-129),"")</f>
        <v>46279</v>
      </c>
      <c r="B151" s="4">
        <f>IFERROR(SUMPRODUCT($P$3:$P$70,$U$3:$U$70,INDEX(Summary!$P$3:$AT$70,0,ROW()-129)),0)</f>
        <v>0</v>
      </c>
      <c r="C151" s="4">
        <f>SUM($B$130:B151)</f>
        <v>42983</v>
      </c>
      <c r="D151" s="4">
        <f t="shared" si="25"/>
        <v>95191</v>
      </c>
      <c r="E151" s="4">
        <f t="shared" si="26"/>
        <v>-52208</v>
      </c>
      <c r="F151" s="1"/>
      <c r="G151" s="1"/>
      <c r="H151" s="1"/>
      <c r="I151" s="1"/>
      <c r="J151" s="1"/>
      <c r="K151" s="1"/>
      <c r="L151" s="1"/>
      <c r="M151" s="1"/>
      <c r="AC151">
        <f t="shared" si="22"/>
        <v>46288</v>
      </c>
      <c r="AD151">
        <f t="shared" si="23"/>
        <v>63863</v>
      </c>
      <c r="AE151">
        <f t="shared" si="24"/>
        <v>134133</v>
      </c>
    </row>
    <row r="152" spans="1:31" ht="13">
      <c r="A152" s="20">
        <f t="array" ref="A152">IFERROR(INDEX(Summary!$P$2:$AT$2,1,ROW()-129),"")</f>
        <v>46280</v>
      </c>
      <c r="B152" s="4">
        <f>IFERROR(SUMPRODUCT($P$3:$P$70,$U$3:$U$70,INDEX(Summary!$P$3:$AT$70,0,ROW()-129)),0)</f>
        <v>2015</v>
      </c>
      <c r="C152" s="4">
        <f>SUM($B$130:B152)</f>
        <v>44998</v>
      </c>
      <c r="D152" s="4">
        <f t="shared" si="25"/>
        <v>99518</v>
      </c>
      <c r="E152" s="4">
        <f t="shared" si="26"/>
        <v>-54520</v>
      </c>
      <c r="F152" s="1"/>
      <c r="G152" s="1"/>
      <c r="H152" s="1"/>
      <c r="I152" s="1"/>
      <c r="J152" s="1"/>
      <c r="K152" s="1"/>
      <c r="L152" s="1"/>
      <c r="M152" s="1"/>
    </row>
    <row r="153" spans="1:31" ht="13">
      <c r="A153" s="20">
        <f t="array" ref="A153">IFERROR(INDEX(Summary!$P$2:$AT$2,1,ROW()-129),"")</f>
        <v>46281</v>
      </c>
      <c r="B153" s="4">
        <f>IFERROR(SUMPRODUCT($P$3:$P$70,$U$3:$U$70,INDEX(Summary!$P$3:$AT$70,0,ROW()-129)),0)</f>
        <v>2559</v>
      </c>
      <c r="C153" s="4">
        <f>SUM($B$130:B153)</f>
        <v>47557</v>
      </c>
      <c r="D153" s="4">
        <f t="shared" si="25"/>
        <v>103845</v>
      </c>
      <c r="E153" s="4">
        <f t="shared" si="26"/>
        <v>-56288</v>
      </c>
      <c r="F153" s="1"/>
      <c r="G153" s="1"/>
      <c r="H153" s="1"/>
      <c r="I153" s="1"/>
      <c r="J153" s="1"/>
      <c r="K153" s="1"/>
      <c r="L153" s="1"/>
      <c r="M153" s="1"/>
    </row>
    <row r="154" spans="1:31" ht="13">
      <c r="A154" s="20">
        <f t="array" ref="A154">IFERROR(INDEX(Summary!$P$2:$AT$2,1,ROW()-129),"")</f>
        <v>46282</v>
      </c>
      <c r="B154" s="4">
        <f>IFERROR(SUMPRODUCT($P$3:$P$70,$U$3:$U$70,INDEX(Summary!$P$3:$AT$70,0,ROW()-129)),0)</f>
        <v>2533</v>
      </c>
      <c r="C154" s="4">
        <f>SUM($B$130:B154)</f>
        <v>50090</v>
      </c>
      <c r="D154" s="4">
        <f t="shared" si="25"/>
        <v>108172</v>
      </c>
      <c r="E154" s="4">
        <f t="shared" si="26"/>
        <v>-58082</v>
      </c>
      <c r="F154" s="1"/>
      <c r="G154" s="1"/>
      <c r="H154" s="1"/>
      <c r="I154" s="1"/>
      <c r="J154" s="1"/>
      <c r="K154" s="1"/>
      <c r="L154" s="1"/>
      <c r="M154" s="1"/>
    </row>
    <row r="155" spans="1:31" ht="13">
      <c r="A155" s="20">
        <f t="array" ref="A155">IFERROR(INDEX(Summary!$P$2:$AT$2,1,ROW()-129),"")</f>
        <v>46283</v>
      </c>
      <c r="B155" s="4">
        <f>IFERROR(SUMPRODUCT($P$3:$P$70,$U$3:$U$70,INDEX(Summary!$P$3:$AT$70,0,ROW()-129)),0)</f>
        <v>2543</v>
      </c>
      <c r="C155" s="4">
        <f>SUM($B$130:B155)</f>
        <v>52633</v>
      </c>
      <c r="D155" s="4">
        <f t="shared" si="25"/>
        <v>112499</v>
      </c>
      <c r="E155" s="4">
        <f t="shared" si="26"/>
        <v>-59866</v>
      </c>
      <c r="F155" s="1"/>
      <c r="G155" s="1"/>
      <c r="H155" s="1"/>
      <c r="I155" s="1"/>
      <c r="J155" s="1"/>
      <c r="K155" s="1"/>
      <c r="L155" s="1"/>
      <c r="M155" s="1"/>
    </row>
    <row r="156" spans="1:31" ht="13">
      <c r="A156" s="20">
        <f t="array" ref="A156">IFERROR(INDEX(Summary!$P$2:$AT$2,1,ROW()-129),"")</f>
        <v>46284</v>
      </c>
      <c r="B156" s="4">
        <f>IFERROR(SUMPRODUCT($P$3:$P$70,$U$3:$U$70,INDEX(Summary!$P$3:$AT$70,0,ROW()-129)),0)</f>
        <v>2039</v>
      </c>
      <c r="C156" s="4">
        <f>SUM($B$130:B156)</f>
        <v>54672</v>
      </c>
      <c r="D156" s="4">
        <f t="shared" si="25"/>
        <v>116826</v>
      </c>
      <c r="E156" s="4">
        <f t="shared" si="26"/>
        <v>-62154</v>
      </c>
      <c r="F156" s="1"/>
      <c r="G156" s="1"/>
      <c r="H156" s="1"/>
      <c r="I156" s="1"/>
      <c r="J156" s="1"/>
      <c r="K156" s="1"/>
      <c r="L156" s="1"/>
      <c r="M156" s="1"/>
    </row>
    <row r="157" spans="1:31" ht="13">
      <c r="A157" s="20">
        <f t="array" ref="A157">IFERROR(INDEX(Summary!$P$2:$AT$2,1,ROW()-129),"")</f>
        <v>46285</v>
      </c>
      <c r="B157" s="4">
        <f>IFERROR(SUMPRODUCT($P$3:$P$70,$U$3:$U$70,INDEX(Summary!$P$3:$AT$70,0,ROW()-129)),0)</f>
        <v>0</v>
      </c>
      <c r="C157" s="4">
        <f>SUM($B$130:B157)</f>
        <v>54672</v>
      </c>
      <c r="D157" s="4">
        <f t="shared" si="25"/>
        <v>121153</v>
      </c>
      <c r="E157" s="4">
        <f t="shared" si="26"/>
        <v>-66481</v>
      </c>
      <c r="F157" s="1"/>
      <c r="G157" s="1"/>
      <c r="H157" s="1"/>
      <c r="I157" s="1"/>
      <c r="J157" s="1"/>
      <c r="K157" s="1"/>
      <c r="L157" s="1"/>
      <c r="M157" s="1"/>
    </row>
    <row r="158" spans="1:31" ht="13">
      <c r="A158" s="20">
        <f t="array" ref="A158">IFERROR(INDEX(Summary!$P$2:$AT$2,1,ROW()-129),"")</f>
        <v>46286</v>
      </c>
      <c r="B158" s="4">
        <f>IFERROR(SUMPRODUCT($P$3:$P$70,$U$3:$U$70,INDEX(Summary!$P$3:$AT$70,0,ROW()-129)),0)</f>
        <v>2563</v>
      </c>
      <c r="C158" s="4">
        <f>SUM($B$130:B158)</f>
        <v>57235</v>
      </c>
      <c r="D158" s="4">
        <f t="shared" si="25"/>
        <v>125480</v>
      </c>
      <c r="E158" s="4">
        <f t="shared" si="26"/>
        <v>-68245</v>
      </c>
      <c r="F158" s="1"/>
      <c r="G158" s="1"/>
      <c r="H158" s="1"/>
      <c r="I158" s="1"/>
      <c r="J158" s="1"/>
      <c r="K158" s="1"/>
      <c r="L158" s="1"/>
      <c r="M158" s="1"/>
    </row>
    <row r="159" spans="1:31" ht="13">
      <c r="A159" s="20">
        <f t="array" ref="A159">IFERROR(INDEX(Summary!$P$2:$AT$2,1,ROW()-129),"")</f>
        <v>46287</v>
      </c>
      <c r="B159" s="4">
        <f>IFERROR(SUMPRODUCT($P$3:$P$70,$U$3:$U$70,INDEX(Summary!$P$3:$AT$70,0,ROW()-129)),0)</f>
        <v>2566</v>
      </c>
      <c r="C159" s="4">
        <f>SUM($B$130:B159)</f>
        <v>59801</v>
      </c>
      <c r="D159" s="4">
        <f t="shared" si="25"/>
        <v>129807</v>
      </c>
      <c r="E159" s="4">
        <f t="shared" si="26"/>
        <v>-70006</v>
      </c>
      <c r="F159" s="1"/>
      <c r="G159" s="1"/>
      <c r="H159" s="1"/>
      <c r="I159" s="1"/>
      <c r="J159" s="1"/>
      <c r="K159" s="1"/>
      <c r="L159" s="1"/>
      <c r="M159" s="1"/>
    </row>
    <row r="160" spans="1:31" ht="13">
      <c r="A160" s="20">
        <f t="array" ref="A160">IFERROR(INDEX(Summary!$P$2:$AT$2,1,ROW()-129),"")</f>
        <v>46288</v>
      </c>
      <c r="B160" s="4">
        <f>IFERROR(SUMPRODUCT($P$3:$P$70,$U$3:$U$70,INDEX(Summary!$P$3:$AT$70,0,ROW()-129)),0)</f>
        <v>4062</v>
      </c>
      <c r="C160" s="4">
        <f>SUM($B$130:B160)</f>
        <v>63863</v>
      </c>
      <c r="D160" s="4">
        <f t="shared" si="25"/>
        <v>134133</v>
      </c>
      <c r="E160" s="4">
        <f t="shared" si="26"/>
        <v>-70270</v>
      </c>
      <c r="F160" s="1"/>
      <c r="G160" s="1"/>
      <c r="H160" s="1"/>
      <c r="I160" s="1"/>
      <c r="J160" s="1"/>
      <c r="K160" s="1"/>
      <c r="L160" s="1"/>
      <c r="M160" s="1"/>
    </row>
    <row r="161" spans="1:13" ht="1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spans="1:13" ht="1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spans="1:13" ht="1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spans="1:13" ht="1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spans="1:13" ht="1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spans="1:13" ht="1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spans="1:13" ht="1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spans="1:13" ht="1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spans="1:13" ht="1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spans="1:13" ht="1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</sheetData>
  <mergeCells count="42">
    <mergeCell ref="A121:B121"/>
    <mergeCell ref="A122:B122"/>
    <mergeCell ref="A123:B123"/>
    <mergeCell ref="A124:B124"/>
    <mergeCell ref="A125:B125"/>
    <mergeCell ref="A128:E128"/>
    <mergeCell ref="A115:B115"/>
    <mergeCell ref="A116:B116"/>
    <mergeCell ref="A117:B117"/>
    <mergeCell ref="A118:B118"/>
    <mergeCell ref="A119:B119"/>
    <mergeCell ref="A120:B120"/>
    <mergeCell ref="A23:F23"/>
    <mergeCell ref="A24:F24"/>
    <mergeCell ref="A26:M26"/>
    <mergeCell ref="A98:M98"/>
    <mergeCell ref="A100:C100"/>
    <mergeCell ref="A114:D114"/>
    <mergeCell ref="A9:M10"/>
    <mergeCell ref="A11:F11"/>
    <mergeCell ref="H11:J11"/>
    <mergeCell ref="A20:F20"/>
    <mergeCell ref="A21:F21"/>
    <mergeCell ref="A22:F22"/>
    <mergeCell ref="A6:B7"/>
    <mergeCell ref="C6:D7"/>
    <mergeCell ref="E6:F7"/>
    <mergeCell ref="G6:H7"/>
    <mergeCell ref="I6:J7"/>
    <mergeCell ref="K6:M7"/>
    <mergeCell ref="A5:B5"/>
    <mergeCell ref="C5:D5"/>
    <mergeCell ref="E5:F5"/>
    <mergeCell ref="G5:H5"/>
    <mergeCell ref="I5:J5"/>
    <mergeCell ref="K5:M5"/>
    <mergeCell ref="A1:M1"/>
    <mergeCell ref="A2:M2"/>
    <mergeCell ref="A3:B3"/>
    <mergeCell ref="C3:D3"/>
    <mergeCell ref="E3:F3"/>
    <mergeCell ref="G3:H3"/>
  </mergeCells>
  <conditionalFormatting sqref="C111">
    <cfRule type="expression" dxfId="21" priority="1" stopIfTrue="1">
      <formula>NOT(ISERROR(SEARCH("BEHIND",C111)))</formula>
    </cfRule>
  </conditionalFormatting>
  <conditionalFormatting sqref="C111">
    <cfRule type="expression" dxfId="20" priority="2" stopIfTrue="1">
      <formula>NOT(ISERROR(SEARCH("ON TRACK",C111)))</formula>
    </cfRule>
  </conditionalFormatting>
  <dataValidations count="2">
    <dataValidation type="list" allowBlank="1" showInputMessage="1" showErrorMessage="1" sqref="C3" xr:uid="{7FDE4C17-67A0-410D-B0E2-8943B2B7B6AB}">
      <formula1>$Y$1:$Y$68</formula1>
    </dataValidation>
    <dataValidation type="list" allowBlank="1" showInputMessage="1" showErrorMessage="1" sqref="G3" xr:uid="{34EAF976-A497-479E-AB76-D4C446FBC781}">
      <formula1>$O$74:$O$82</formula1>
    </dataValidation>
  </dataValidations>
  <pageMargins left="0.70000000000000007" right="0.70000000000000007" top="0.75" bottom="0.75" header="0.30000000000000004" footer="0.30000000000000004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E4D92-A5D9-4225-AB1F-C9EAC7EEBB17}">
  <dimension ref="A1:BL20"/>
  <sheetViews>
    <sheetView workbookViewId="0"/>
  </sheetViews>
  <sheetFormatPr defaultRowHeight="12.75" customHeight="1"/>
  <cols>
    <col min="1" max="1" width="6.90625" customWidth="1"/>
    <col min="2" max="2" width="7.1796875" customWidth="1"/>
    <col min="3" max="3" width="9.54296875" hidden="1" customWidth="1"/>
    <col min="4" max="4" width="10.6328125" customWidth="1"/>
    <col min="5" max="5" width="23.54296875" customWidth="1"/>
    <col min="6" max="6" width="8.81640625" bestFit="1" customWidth="1"/>
    <col min="7" max="7" width="13.453125" hidden="1" customWidth="1"/>
    <col min="8" max="8" width="10.7265625" hidden="1" customWidth="1"/>
    <col min="9" max="10" width="11.54296875" hidden="1" customWidth="1"/>
    <col min="11" max="11" width="10.6328125" hidden="1" customWidth="1"/>
    <col min="12" max="12" width="11.26953125" hidden="1" customWidth="1"/>
    <col min="13" max="13" width="7.1796875" hidden="1" customWidth="1"/>
    <col min="14" max="14" width="9.54296875" hidden="1" customWidth="1"/>
    <col min="15" max="15" width="13.6328125" bestFit="1" customWidth="1"/>
    <col min="16" max="16" width="10.1796875" bestFit="1" customWidth="1"/>
    <col min="17" max="23" width="9" bestFit="1" customWidth="1"/>
    <col min="24" max="32" width="8" bestFit="1" customWidth="1"/>
    <col min="33" max="46" width="9" bestFit="1" customWidth="1"/>
    <col min="47" max="53" width="6.81640625" customWidth="1"/>
    <col min="54" max="54" width="18.26953125" bestFit="1" customWidth="1"/>
    <col min="55" max="55" width="17.26953125" bestFit="1" customWidth="1"/>
    <col min="56" max="56" width="16.08984375" bestFit="1" customWidth="1"/>
    <col min="57" max="57" width="14.1796875" hidden="1" customWidth="1"/>
    <col min="58" max="58" width="13.90625" bestFit="1" customWidth="1"/>
    <col min="59" max="59" width="11" hidden="1" customWidth="1"/>
    <col min="60" max="60" width="15.90625" hidden="1" customWidth="1"/>
    <col min="61" max="61" width="8.7265625" hidden="1" customWidth="1"/>
    <col min="62" max="62" width="13.1796875" hidden="1" customWidth="1"/>
    <col min="63" max="63" width="10.453125" bestFit="1" customWidth="1"/>
    <col min="64" max="64" width="12.81640625" customWidth="1"/>
    <col min="65" max="65" width="8.7265625" customWidth="1"/>
  </cols>
  <sheetData>
    <row r="1" spans="1:64" ht="13">
      <c r="A1" s="37"/>
      <c r="B1" s="37"/>
      <c r="C1" s="37"/>
      <c r="D1" s="37"/>
      <c r="E1" s="37"/>
      <c r="F1" s="37"/>
      <c r="G1" s="38">
        <f t="shared" ref="G1:O1" si="0">SUBTOTAL(9,G3:G19)</f>
        <v>113086.55</v>
      </c>
      <c r="H1" s="38">
        <f t="shared" si="0"/>
        <v>0</v>
      </c>
      <c r="I1" s="38">
        <f t="shared" si="0"/>
        <v>2171</v>
      </c>
      <c r="J1" s="38">
        <f t="shared" si="0"/>
        <v>6819</v>
      </c>
      <c r="K1" s="38">
        <f t="shared" si="0"/>
        <v>0</v>
      </c>
      <c r="L1" s="38">
        <f t="shared" si="0"/>
        <v>735</v>
      </c>
      <c r="M1" s="38">
        <f t="shared" si="0"/>
        <v>0</v>
      </c>
      <c r="N1" s="38">
        <f t="shared" si="0"/>
        <v>6995</v>
      </c>
      <c r="O1" s="38">
        <f t="shared" si="0"/>
        <v>129806.55</v>
      </c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  <c r="BD1" s="37"/>
      <c r="BE1" s="37"/>
      <c r="BF1" s="37"/>
      <c r="BG1" s="37"/>
      <c r="BH1" s="37"/>
      <c r="BI1" s="37"/>
      <c r="BJ1" s="37"/>
      <c r="BK1" s="37"/>
    </row>
    <row r="2" spans="1:64" ht="42" customHeight="1">
      <c r="A2" s="39" t="s">
        <v>106</v>
      </c>
      <c r="B2" s="40" t="s">
        <v>6</v>
      </c>
      <c r="C2" s="40" t="s">
        <v>107</v>
      </c>
      <c r="D2" s="40" t="s">
        <v>59</v>
      </c>
      <c r="E2" s="40" t="s">
        <v>108</v>
      </c>
      <c r="F2" s="40" t="s">
        <v>109</v>
      </c>
      <c r="G2" s="40" t="s">
        <v>36</v>
      </c>
      <c r="H2" s="40" t="s">
        <v>39</v>
      </c>
      <c r="I2" s="40" t="s">
        <v>41</v>
      </c>
      <c r="J2" s="40" t="s">
        <v>43</v>
      </c>
      <c r="K2" s="40" t="s">
        <v>45</v>
      </c>
      <c r="L2" s="40" t="s">
        <v>47</v>
      </c>
      <c r="M2" s="40" t="s">
        <v>49</v>
      </c>
      <c r="N2" s="40" t="s">
        <v>51</v>
      </c>
      <c r="O2" s="40" t="s">
        <v>110</v>
      </c>
      <c r="P2" s="41">
        <v>46258</v>
      </c>
      <c r="Q2" s="41">
        <v>46259</v>
      </c>
      <c r="R2" s="41">
        <v>46260</v>
      </c>
      <c r="S2" s="41">
        <v>46261</v>
      </c>
      <c r="T2" s="41">
        <v>46262</v>
      </c>
      <c r="U2" s="41">
        <v>46263</v>
      </c>
      <c r="V2" s="41">
        <v>46264</v>
      </c>
      <c r="W2" s="41">
        <v>46265</v>
      </c>
      <c r="X2" s="41">
        <v>46266</v>
      </c>
      <c r="Y2" s="41">
        <v>46267</v>
      </c>
      <c r="Z2" s="41">
        <v>46268</v>
      </c>
      <c r="AA2" s="41">
        <v>46269</v>
      </c>
      <c r="AB2" s="41">
        <v>46270</v>
      </c>
      <c r="AC2" s="41">
        <v>46271</v>
      </c>
      <c r="AD2" s="41">
        <v>46272</v>
      </c>
      <c r="AE2" s="41">
        <v>46273</v>
      </c>
      <c r="AF2" s="41">
        <v>46274</v>
      </c>
      <c r="AG2" s="41">
        <v>46275</v>
      </c>
      <c r="AH2" s="41">
        <v>46276</v>
      </c>
      <c r="AI2" s="41">
        <v>46277</v>
      </c>
      <c r="AJ2" s="41">
        <v>46278</v>
      </c>
      <c r="AK2" s="41">
        <v>46279</v>
      </c>
      <c r="AL2" s="41">
        <v>46280</v>
      </c>
      <c r="AM2" s="41">
        <v>46281</v>
      </c>
      <c r="AN2" s="41">
        <v>46282</v>
      </c>
      <c r="AO2" s="41">
        <v>46283</v>
      </c>
      <c r="AP2" s="41">
        <v>46284</v>
      </c>
      <c r="AQ2" s="41">
        <v>46285</v>
      </c>
      <c r="AR2" s="41">
        <v>46286</v>
      </c>
      <c r="AS2" s="41">
        <v>46287</v>
      </c>
      <c r="AT2" s="41">
        <v>46288</v>
      </c>
      <c r="AU2" s="41">
        <v>46289</v>
      </c>
      <c r="AV2" s="41">
        <v>46290</v>
      </c>
      <c r="AW2" s="41">
        <v>46291</v>
      </c>
      <c r="AX2" s="41">
        <v>46292</v>
      </c>
      <c r="AY2" s="41">
        <v>46293</v>
      </c>
      <c r="AZ2" s="41">
        <v>46294</v>
      </c>
      <c r="BA2" s="41">
        <v>46295</v>
      </c>
      <c r="BB2" s="40" t="s">
        <v>111</v>
      </c>
      <c r="BC2" s="40" t="s">
        <v>112</v>
      </c>
      <c r="BD2" s="40" t="s">
        <v>113</v>
      </c>
      <c r="BE2" s="40" t="s">
        <v>114</v>
      </c>
      <c r="BF2" s="40" t="s">
        <v>115</v>
      </c>
      <c r="BG2" s="40" t="s">
        <v>63</v>
      </c>
      <c r="BH2" s="40" t="s">
        <v>116</v>
      </c>
      <c r="BI2" s="40" t="s">
        <v>61</v>
      </c>
      <c r="BJ2" s="40" t="s">
        <v>117</v>
      </c>
      <c r="BK2" s="42" t="s">
        <v>52</v>
      </c>
      <c r="BL2" s="43"/>
    </row>
    <row r="3" spans="1:64" ht="13">
      <c r="A3" s="44">
        <f>13</f>
        <v>13</v>
      </c>
      <c r="B3" s="45" t="s">
        <v>12</v>
      </c>
      <c r="C3" s="45"/>
      <c r="D3" s="46" t="str">
        <f>Projection_!A16</f>
        <v>FG00005</v>
      </c>
      <c r="E3" s="47" t="str">
        <f>Projection_!B16</f>
        <v>Butter/Makhan - 200 gm</v>
      </c>
      <c r="F3" s="48">
        <v>0.2</v>
      </c>
      <c r="G3" s="49">
        <f>IFERROR(_xlfn.XLOOKUP($D3,Projection_!$A:$A,Projection_!$J:$J),0)</f>
        <v>186</v>
      </c>
      <c r="H3" s="49">
        <f>IFERROR(_xlfn.XLOOKUP($D3,Projection_!$A:$A,Projection_!$K:$K),0)</f>
        <v>0</v>
      </c>
      <c r="I3" s="49">
        <f>IFERROR(_xlfn.XLOOKUP($D3,Projection_!$A:$A,Projection_!$L:$L),0)</f>
        <v>0</v>
      </c>
      <c r="J3" s="49">
        <f>IFERROR(_xlfn.XLOOKUP($D3,Projection_!$A:$A,Projection_!$M:$M),0)</f>
        <v>0</v>
      </c>
      <c r="K3" s="49">
        <f>IFERROR(_xlfn.XLOOKUP($D3,Projection_!$A:$A,Projection_!$Q:$Q),0)</f>
        <v>0</v>
      </c>
      <c r="L3" s="49">
        <f>IFERROR(_xlfn.XLOOKUP($D3,Projection_!$A:$A,Projection_!$R:$R),0)</f>
        <v>0</v>
      </c>
      <c r="M3" s="49">
        <f>IFERROR(_xlfn.XLOOKUP($D3,Projection_!$A:$A,Projection_!$O:$O),0)</f>
        <v>0</v>
      </c>
      <c r="N3" s="49">
        <f>IFERROR(_xlfn.XLOOKUP($D3,Projection_!$A:$A,Projection_!$P:$P),0)</f>
        <v>0</v>
      </c>
      <c r="O3" s="50">
        <f t="shared" ref="O3:O19" si="1">SUM(G3:N3)</f>
        <v>186</v>
      </c>
      <c r="P3" s="51">
        <f>SUM(IFERROR(_xlfn.XLOOKUP($D3,Domestic!$C:$C,Domestic!I:I),0),IFERROR(_xlfn.XLOOKUP($D3,'INT-_Manjiri'!$C:$C,'INT-_Manjiri'!H:H),0),IFERROR(_xlfn.XLOOKUP($D3,'USA-_Sea_shipment'!$C:$C,'USA-_Sea_shipment'!H:H),0),IFERROR(_xlfn.XLOOKUP($D3,Amazon_USA_Sea!$C:$C,Amazon_USA_Sea!H:H),0),IFERROR(_xlfn.XLOOKUP($D3,USA_Air_Shipment!$C:$C,USA_Air_Shipment!G:G),0),IFERROR(_xlfn.XLOOKUP($D3,Amazon_USA_Air_Shipment!$C:$C,Amazon_USA_Air_Shipment!G:G),0),IFERROR(_xlfn.XLOOKUP($D3,MENA!$C:$C,MENA!G:G),0),IFERROR(_xlfn.XLOOKUP($D3,UK!$C:$C,UK!G:G),0),IFERROR(_xlfn.XLOOKUP($D3,BMM_Order!$C:$C,BMM_Order!G:G),0),IFERROR(_xlfn.XLOOKUP($D3,'Adhoc-_Backlog'!$C:$C,'Adhoc-_Backlog'!I:I),0))</f>
        <v>0</v>
      </c>
      <c r="Q3" s="51">
        <f>SUM(IFERROR(_xlfn.XLOOKUP($D3,Domestic!$C:$C,Domestic!J:J),0),IFERROR(_xlfn.XLOOKUP($D3,'INT-_Manjiri'!$C:$C,'INT-_Manjiri'!I:I),0),IFERROR(_xlfn.XLOOKUP($D3,'USA-_Sea_shipment'!$C:$C,'USA-_Sea_shipment'!I:I),0),IFERROR(_xlfn.XLOOKUP($D3,Amazon_USA_Sea!$C:$C,Amazon_USA_Sea!I:I),0),IFERROR(_xlfn.XLOOKUP($D3,USA_Air_Shipment!$C:$C,USA_Air_Shipment!H:H),0),IFERROR(_xlfn.XLOOKUP($D3,Amazon_USA_Air_Shipment!$C:$C,Amazon_USA_Air_Shipment!H:H),0),IFERROR(_xlfn.XLOOKUP($D3,MENA!$C:$C,MENA!H:H),0),IFERROR(_xlfn.XLOOKUP($D3,UK!$C:$C,UK!H:H),0),IFERROR(_xlfn.XLOOKUP($D3,BMM_Order!$C:$C,BMM_Order!H:H),0),IFERROR(_xlfn.XLOOKUP($D3,'Adhoc-_Backlog'!$C:$C,'Adhoc-_Backlog'!J:J),0))</f>
        <v>0</v>
      </c>
      <c r="R3" s="51">
        <f>SUM(IFERROR(_xlfn.XLOOKUP($D3,Domestic!$C:$C,Domestic!K:K),0),IFERROR(_xlfn.XLOOKUP($D3,'INT-_Manjiri'!$C:$C,'INT-_Manjiri'!J:J),0),IFERROR(_xlfn.XLOOKUP($D3,'USA-_Sea_shipment'!$C:$C,'USA-_Sea_shipment'!J:J),0),IFERROR(_xlfn.XLOOKUP($D3,Amazon_USA_Sea!$C:$C,Amazon_USA_Sea!J:J),0),IFERROR(_xlfn.XLOOKUP($D3,USA_Air_Shipment!$C:$C,USA_Air_Shipment!I:I),0),IFERROR(_xlfn.XLOOKUP($D3,Amazon_USA_Air_Shipment!$C:$C,Amazon_USA_Air_Shipment!I:I),0),IFERROR(_xlfn.XLOOKUP($D3,MENA!$C:$C,MENA!I:I),0),IFERROR(_xlfn.XLOOKUP($D3,UK!$C:$C,UK!I:I),0),IFERROR(_xlfn.XLOOKUP($D3,BMM_Order!$C:$C,BMM_Order!I:I),0),IFERROR(_xlfn.XLOOKUP($D3,'Adhoc-_Backlog'!$C:$C,'Adhoc-_Backlog'!K:K),0))</f>
        <v>0</v>
      </c>
      <c r="S3" s="51">
        <f>SUM(IFERROR(_xlfn.XLOOKUP($D3,Domestic!$C:$C,Domestic!L:L),0),IFERROR(_xlfn.XLOOKUP($D3,'INT-_Manjiri'!$C:$C,'INT-_Manjiri'!K:K),0),IFERROR(_xlfn.XLOOKUP($D3,'USA-_Sea_shipment'!$C:$C,'USA-_Sea_shipment'!K:K),0),IFERROR(_xlfn.XLOOKUP($D3,Amazon_USA_Sea!$C:$C,Amazon_USA_Sea!K:K),0),IFERROR(_xlfn.XLOOKUP($D3,USA_Air_Shipment!$C:$C,USA_Air_Shipment!J:J),0),IFERROR(_xlfn.XLOOKUP($D3,Amazon_USA_Air_Shipment!$C:$C,Amazon_USA_Air_Shipment!J:J),0),IFERROR(_xlfn.XLOOKUP($D3,MENA!$C:$C,MENA!J:J),0),IFERROR(_xlfn.XLOOKUP($D3,UK!$C:$C,UK!J:J),0),IFERROR(_xlfn.XLOOKUP($D3,BMM_Order!$C:$C,BMM_Order!J:J),0),IFERROR(_xlfn.XLOOKUP($D3,'Adhoc-_Backlog'!$C:$C,'Adhoc-_Backlog'!L:L),0))</f>
        <v>0</v>
      </c>
      <c r="T3" s="51">
        <f>SUM(IFERROR(_xlfn.XLOOKUP($D3,Domestic!$C:$C,Domestic!M:M),0),IFERROR(_xlfn.XLOOKUP($D3,'INT-_Manjiri'!$C:$C,'INT-_Manjiri'!L:L),0),IFERROR(_xlfn.XLOOKUP($D3,'USA-_Sea_shipment'!$C:$C,'USA-_Sea_shipment'!L:L),0),IFERROR(_xlfn.XLOOKUP($D3,Amazon_USA_Sea!$C:$C,Amazon_USA_Sea!L:L),0),IFERROR(_xlfn.XLOOKUP($D3,USA_Air_Shipment!$C:$C,USA_Air_Shipment!K:K),0),IFERROR(_xlfn.XLOOKUP($D3,Amazon_USA_Air_Shipment!$C:$C,Amazon_USA_Air_Shipment!K:K),0),IFERROR(_xlfn.XLOOKUP($D3,MENA!$C:$C,MENA!K:K),0),IFERROR(_xlfn.XLOOKUP($D3,UK!$C:$C,UK!K:K),0),IFERROR(_xlfn.XLOOKUP($D3,BMM_Order!$C:$C,BMM_Order!K:K),0),IFERROR(_xlfn.XLOOKUP($D3,'Adhoc-_Backlog'!$C:$C,'Adhoc-_Backlog'!M:M),0))</f>
        <v>0</v>
      </c>
      <c r="U3" s="51">
        <f>SUM(IFERROR(_xlfn.XLOOKUP($D3,Domestic!$C:$C,Domestic!N:N),0),IFERROR(_xlfn.XLOOKUP($D3,'INT-_Manjiri'!$C:$C,'INT-_Manjiri'!M:M),0),IFERROR(_xlfn.XLOOKUP($D3,'USA-_Sea_shipment'!$C:$C,'USA-_Sea_shipment'!M:M),0),IFERROR(_xlfn.XLOOKUP($D3,Amazon_USA_Sea!$C:$C,Amazon_USA_Sea!M:M),0),IFERROR(_xlfn.XLOOKUP($D3,USA_Air_Shipment!$C:$C,USA_Air_Shipment!L:L),0),IFERROR(_xlfn.XLOOKUP($D3,Amazon_USA_Air_Shipment!$C:$C,Amazon_USA_Air_Shipment!L:L),0),IFERROR(_xlfn.XLOOKUP($D3,MENA!$C:$C,MENA!L:L),0),IFERROR(_xlfn.XLOOKUP($D3,UK!$C:$C,UK!L:L),0),IFERROR(_xlfn.XLOOKUP($D3,BMM_Order!$C:$C,BMM_Order!L:L),0),IFERROR(_xlfn.XLOOKUP($D3,'Adhoc-_Backlog'!$C:$C,'Adhoc-_Backlog'!N:N),0))</f>
        <v>0</v>
      </c>
      <c r="V3" s="51">
        <f>SUM(IFERROR(_xlfn.XLOOKUP($D3,Domestic!$C:$C,Domestic!O:O),0),IFERROR(_xlfn.XLOOKUP($D3,'INT-_Manjiri'!$C:$C,'INT-_Manjiri'!N:N),0),IFERROR(_xlfn.XLOOKUP($D3,'USA-_Sea_shipment'!$C:$C,'USA-_Sea_shipment'!N:N),0),IFERROR(_xlfn.XLOOKUP($D3,Amazon_USA_Sea!$C:$C,Amazon_USA_Sea!N:N),0),IFERROR(_xlfn.XLOOKUP($D3,USA_Air_Shipment!$C:$C,USA_Air_Shipment!M:M),0),IFERROR(_xlfn.XLOOKUP($D3,Amazon_USA_Air_Shipment!$C:$C,Amazon_USA_Air_Shipment!M:M),0),IFERROR(_xlfn.XLOOKUP($D3,MENA!$C:$C,MENA!M:M),0),IFERROR(_xlfn.XLOOKUP($D3,UK!$C:$C,UK!M:M),0),IFERROR(_xlfn.XLOOKUP($D3,BMM_Order!$C:$C,BMM_Order!M:M),0),IFERROR(_xlfn.XLOOKUP($D3,'Adhoc-_Backlog'!$C:$C,'Adhoc-_Backlog'!O:O),0))</f>
        <v>0</v>
      </c>
      <c r="W3" s="51">
        <f>SUM(IFERROR(_xlfn.XLOOKUP($D3,Domestic!$C:$C,Domestic!P:P),0),IFERROR(_xlfn.XLOOKUP($D3,'INT-_Manjiri'!$C:$C,'INT-_Manjiri'!O:O),0),IFERROR(_xlfn.XLOOKUP($D3,'USA-_Sea_shipment'!$C:$C,'USA-_Sea_shipment'!O:O),0),IFERROR(_xlfn.XLOOKUP($D3,Amazon_USA_Sea!$C:$C,Amazon_USA_Sea!O:O),0),IFERROR(_xlfn.XLOOKUP($D3,USA_Air_Shipment!$C:$C,USA_Air_Shipment!N:N),0),IFERROR(_xlfn.XLOOKUP($D3,Amazon_USA_Air_Shipment!$C:$C,Amazon_USA_Air_Shipment!N:N),0),IFERROR(_xlfn.XLOOKUP($D3,MENA!$C:$C,MENA!N:N),0),IFERROR(_xlfn.XLOOKUP($D3,UK!$C:$C,UK!N:N),0),IFERROR(_xlfn.XLOOKUP($D3,BMM_Order!$C:$C,BMM_Order!N:N),0),IFERROR(_xlfn.XLOOKUP($D3,'Adhoc-_Backlog'!$C:$C,'Adhoc-_Backlog'!P:P),0))</f>
        <v>0</v>
      </c>
      <c r="X3" s="51">
        <f>SUM(IFERROR(_xlfn.XLOOKUP($D3,Domestic!$C:$C,Domestic!Q:Q),0),IFERROR(_xlfn.XLOOKUP($D3,'INT-_Manjiri'!$C:$C,'INT-_Manjiri'!P:P),0),IFERROR(_xlfn.XLOOKUP($D3,'USA-_Sea_shipment'!$C:$C,'USA-_Sea_shipment'!P:P),0),IFERROR(_xlfn.XLOOKUP($D3,Amazon_USA_Sea!$C:$C,Amazon_USA_Sea!P:P),0),IFERROR(_xlfn.XLOOKUP($D3,USA_Air_Shipment!$C:$C,USA_Air_Shipment!O:O),0),IFERROR(_xlfn.XLOOKUP($D3,Amazon_USA_Air_Shipment!$C:$C,Amazon_USA_Air_Shipment!O:O),0),IFERROR(_xlfn.XLOOKUP($D3,MENA!$C:$C,MENA!O:O),0),IFERROR(_xlfn.XLOOKUP($D3,UK!$C:$C,UK!O:O),0),IFERROR(_xlfn.XLOOKUP($D3,BMM_Order!$C:$C,BMM_Order!O:O),0),IFERROR(_xlfn.XLOOKUP($D3,'Adhoc-_Backlog'!$C:$C,'Adhoc-_Backlog'!Q:Q),0))</f>
        <v>0</v>
      </c>
      <c r="Y3" s="51">
        <f>SUM(IFERROR(_xlfn.XLOOKUP($D3,Domestic!$C:$C,Domestic!R:R),0),IFERROR(_xlfn.XLOOKUP($D3,'INT-_Manjiri'!$C:$C,'INT-_Manjiri'!Q:Q),0),IFERROR(_xlfn.XLOOKUP($D3,'USA-_Sea_shipment'!$C:$C,'USA-_Sea_shipment'!Q:Q),0),IFERROR(_xlfn.XLOOKUP($D3,Amazon_USA_Sea!$C:$C,Amazon_USA_Sea!Q:Q),0),IFERROR(_xlfn.XLOOKUP($D3,USA_Air_Shipment!$C:$C,USA_Air_Shipment!P:P),0),IFERROR(_xlfn.XLOOKUP($D3,Amazon_USA_Air_Shipment!$C:$C,Amazon_USA_Air_Shipment!P:P),0),IFERROR(_xlfn.XLOOKUP($D3,MENA!$C:$C,MENA!P:P),0),IFERROR(_xlfn.XLOOKUP($D3,UK!$C:$C,UK!P:P),0),IFERROR(_xlfn.XLOOKUP($D3,BMM_Order!$C:$C,BMM_Order!P:P),0),IFERROR(_xlfn.XLOOKUP($D3,'Adhoc-_Backlog'!$C:$C,'Adhoc-_Backlog'!R:R),0))</f>
        <v>0</v>
      </c>
      <c r="Z3" s="51">
        <f>SUM(IFERROR(_xlfn.XLOOKUP($D3,Domestic!$C:$C,Domestic!S:S),0),IFERROR(_xlfn.XLOOKUP($D3,'INT-_Manjiri'!$C:$C,'INT-_Manjiri'!R:R),0),IFERROR(_xlfn.XLOOKUP($D3,'USA-_Sea_shipment'!$C:$C,'USA-_Sea_shipment'!R:R),0),IFERROR(_xlfn.XLOOKUP($D3,Amazon_USA_Sea!$C:$C,Amazon_USA_Sea!R:R),0),IFERROR(_xlfn.XLOOKUP($D3,USA_Air_Shipment!$C:$C,USA_Air_Shipment!Q:Q),0),IFERROR(_xlfn.XLOOKUP($D3,Amazon_USA_Air_Shipment!$C:$C,Amazon_USA_Air_Shipment!Q:Q),0),IFERROR(_xlfn.XLOOKUP($D3,MENA!$C:$C,MENA!Q:Q),0),IFERROR(_xlfn.XLOOKUP($D3,UK!$C:$C,UK!Q:Q),0),IFERROR(_xlfn.XLOOKUP($D3,BMM_Order!$C:$C,BMM_Order!Q:Q),0),IFERROR(_xlfn.XLOOKUP($D3,'Adhoc-_Backlog'!$C:$C,'Adhoc-_Backlog'!S:S),0))</f>
        <v>0</v>
      </c>
      <c r="AA3" s="51">
        <f>SUM(IFERROR(_xlfn.XLOOKUP($D3,Domestic!$C:$C,Domestic!T:T),0),IFERROR(_xlfn.XLOOKUP($D3,'INT-_Manjiri'!$C:$C,'INT-_Manjiri'!S:S),0),IFERROR(_xlfn.XLOOKUP($D3,'USA-_Sea_shipment'!$C:$C,'USA-_Sea_shipment'!S:S),0),IFERROR(_xlfn.XLOOKUP($D3,Amazon_USA_Sea!$C:$C,Amazon_USA_Sea!S:S),0),IFERROR(_xlfn.XLOOKUP($D3,USA_Air_Shipment!$C:$C,USA_Air_Shipment!R:R),0),IFERROR(_xlfn.XLOOKUP($D3,Amazon_USA_Air_Shipment!$C:$C,Amazon_USA_Air_Shipment!R:R),0),IFERROR(_xlfn.XLOOKUP($D3,MENA!$C:$C,MENA!R:R),0),IFERROR(_xlfn.XLOOKUP($D3,UK!$C:$C,UK!R:R),0),IFERROR(_xlfn.XLOOKUP($D3,BMM_Order!$C:$C,BMM_Order!R:R),0),IFERROR(_xlfn.XLOOKUP($D3,'Adhoc-_Backlog'!$C:$C,'Adhoc-_Backlog'!T:T),0))</f>
        <v>0</v>
      </c>
      <c r="AB3" s="51">
        <f>SUM(IFERROR(_xlfn.XLOOKUP($D3,Domestic!$C:$C,Domestic!U:U),0),IFERROR(_xlfn.XLOOKUP($D3,'INT-_Manjiri'!$C:$C,'INT-_Manjiri'!T:T),0),IFERROR(_xlfn.XLOOKUP($D3,'USA-_Sea_shipment'!$C:$C,'USA-_Sea_shipment'!T:T),0),IFERROR(_xlfn.XLOOKUP($D3,Amazon_USA_Sea!$C:$C,Amazon_USA_Sea!T:T),0),IFERROR(_xlfn.XLOOKUP($D3,USA_Air_Shipment!$C:$C,USA_Air_Shipment!S:S),0),IFERROR(_xlfn.XLOOKUP($D3,Amazon_USA_Air_Shipment!$C:$C,Amazon_USA_Air_Shipment!S:S),0),IFERROR(_xlfn.XLOOKUP($D3,MENA!$C:$C,MENA!S:S),0),IFERROR(_xlfn.XLOOKUP($D3,UK!$C:$C,UK!S:S),0),IFERROR(_xlfn.XLOOKUP($D3,BMM_Order!$C:$C,BMM_Order!S:S),0),IFERROR(_xlfn.XLOOKUP($D3,'Adhoc-_Backlog'!$C:$C,'Adhoc-_Backlog'!U:U),0))</f>
        <v>0</v>
      </c>
      <c r="AC3" s="51">
        <f>SUM(IFERROR(_xlfn.XLOOKUP($D3,Domestic!$C:$C,Domestic!V:V),0),IFERROR(_xlfn.XLOOKUP($D3,'INT-_Manjiri'!$C:$C,'INT-_Manjiri'!U:U),0),IFERROR(_xlfn.XLOOKUP($D3,'USA-_Sea_shipment'!$C:$C,'USA-_Sea_shipment'!U:U),0),IFERROR(_xlfn.XLOOKUP($D3,Amazon_USA_Sea!$C:$C,Amazon_USA_Sea!U:U),0),IFERROR(_xlfn.XLOOKUP($D3,USA_Air_Shipment!$C:$C,USA_Air_Shipment!T:T),0),IFERROR(_xlfn.XLOOKUP($D3,Amazon_USA_Air_Shipment!$C:$C,Amazon_USA_Air_Shipment!T:T),0),IFERROR(_xlfn.XLOOKUP($D3,MENA!$C:$C,MENA!T:T),0),IFERROR(_xlfn.XLOOKUP($D3,UK!$C:$C,UK!T:T),0),IFERROR(_xlfn.XLOOKUP($D3,BMM_Order!$C:$C,BMM_Order!T:T),0),IFERROR(_xlfn.XLOOKUP($D3,'Adhoc-_Backlog'!$C:$C,'Adhoc-_Backlog'!V:V),0))</f>
        <v>0</v>
      </c>
      <c r="AD3" s="51">
        <f>SUM(IFERROR(_xlfn.XLOOKUP($D3,Domestic!$C:$C,Domestic!W:W),0),IFERROR(_xlfn.XLOOKUP($D3,'INT-_Manjiri'!$C:$C,'INT-_Manjiri'!V:V),0),IFERROR(_xlfn.XLOOKUP($D3,'USA-_Sea_shipment'!$C:$C,'USA-_Sea_shipment'!V:V),0),IFERROR(_xlfn.XLOOKUP($D3,Amazon_USA_Sea!$C:$C,Amazon_USA_Sea!V:V),0),IFERROR(_xlfn.XLOOKUP($D3,USA_Air_Shipment!$C:$C,USA_Air_Shipment!U:U),0),IFERROR(_xlfn.XLOOKUP($D3,Amazon_USA_Air_Shipment!$C:$C,Amazon_USA_Air_Shipment!U:U),0),IFERROR(_xlfn.XLOOKUP($D3,MENA!$C:$C,MENA!U:U),0),IFERROR(_xlfn.XLOOKUP($D3,UK!$C:$C,UK!U:U),0),IFERROR(_xlfn.XLOOKUP($D3,BMM_Order!$C:$C,BMM_Order!U:U),0),IFERROR(_xlfn.XLOOKUP($D3,'Adhoc-_Backlog'!$C:$C,'Adhoc-_Backlog'!W:W),0))</f>
        <v>0</v>
      </c>
      <c r="AE3" s="51">
        <f>SUM(IFERROR(_xlfn.XLOOKUP($D3,Domestic!$C:$C,Domestic!X:X),0),IFERROR(_xlfn.XLOOKUP($D3,'INT-_Manjiri'!$C:$C,'INT-_Manjiri'!W:W),0),IFERROR(_xlfn.XLOOKUP($D3,'USA-_Sea_shipment'!$C:$C,'USA-_Sea_shipment'!W:W),0),IFERROR(_xlfn.XLOOKUP($D3,Amazon_USA_Sea!$C:$C,Amazon_USA_Sea!W:W),0),IFERROR(_xlfn.XLOOKUP($D3,USA_Air_Shipment!$C:$C,USA_Air_Shipment!V:V),0),IFERROR(_xlfn.XLOOKUP($D3,Amazon_USA_Air_Shipment!$C:$C,Amazon_USA_Air_Shipment!V:V),0),IFERROR(_xlfn.XLOOKUP($D3,MENA!$C:$C,MENA!V:V),0),IFERROR(_xlfn.XLOOKUP($D3,UK!$C:$C,UK!V:V),0),IFERROR(_xlfn.XLOOKUP($D3,BMM_Order!$C:$C,BMM_Order!V:V),0),IFERROR(_xlfn.XLOOKUP($D3,'Adhoc-_Backlog'!$C:$C,'Adhoc-_Backlog'!X:X),0))</f>
        <v>0</v>
      </c>
      <c r="AF3" s="51">
        <f>SUM(IFERROR(_xlfn.XLOOKUP($D3,Domestic!$C:$C,Domestic!Y:Y),0),IFERROR(_xlfn.XLOOKUP($D3,'INT-_Manjiri'!$C:$C,'INT-_Manjiri'!X:X),0),IFERROR(_xlfn.XLOOKUP($D3,'USA-_Sea_shipment'!$C:$C,'USA-_Sea_shipment'!X:X),0),IFERROR(_xlfn.XLOOKUP($D3,Amazon_USA_Sea!$C:$C,Amazon_USA_Sea!X:X),0),IFERROR(_xlfn.XLOOKUP($D3,USA_Air_Shipment!$C:$C,USA_Air_Shipment!W:W),0),IFERROR(_xlfn.XLOOKUP($D3,Amazon_USA_Air_Shipment!$C:$C,Amazon_USA_Air_Shipment!W:W),0),IFERROR(_xlfn.XLOOKUP($D3,MENA!$C:$C,MENA!W:W),0),IFERROR(_xlfn.XLOOKUP($D3,UK!$C:$C,UK!W:W),0),IFERROR(_xlfn.XLOOKUP($D3,BMM_Order!$C:$C,BMM_Order!W:W),0),IFERROR(_xlfn.XLOOKUP($D3,'Adhoc-_Backlog'!$C:$C,'Adhoc-_Backlog'!Y:Y),0))</f>
        <v>0</v>
      </c>
      <c r="AG3" s="51">
        <f>SUM(IFERROR(_xlfn.XLOOKUP($D3,Domestic!$C:$C,Domestic!Z:Z),0),IFERROR(_xlfn.XLOOKUP($D3,'INT-_Manjiri'!$C:$C,'INT-_Manjiri'!Y:Y),0),IFERROR(_xlfn.XLOOKUP($D3,'USA-_Sea_shipment'!$C:$C,'USA-_Sea_shipment'!Y:Y),0),IFERROR(_xlfn.XLOOKUP($D3,Amazon_USA_Sea!$C:$C,Amazon_USA_Sea!Y:Y),0),IFERROR(_xlfn.XLOOKUP($D3,USA_Air_Shipment!$C:$C,USA_Air_Shipment!X:X),0),IFERROR(_xlfn.XLOOKUP($D3,Amazon_USA_Air_Shipment!$C:$C,Amazon_USA_Air_Shipment!X:X),0),IFERROR(_xlfn.XLOOKUP($D3,MENA!$C:$C,MENA!X:X),0),IFERROR(_xlfn.XLOOKUP($D3,UK!$C:$C,UK!X:X),0),IFERROR(_xlfn.XLOOKUP($D3,BMM_Order!$C:$C,BMM_Order!X:X),0),IFERROR(_xlfn.XLOOKUP($D3,'Adhoc-_Backlog'!$C:$C,'Adhoc-_Backlog'!Z:Z),0))</f>
        <v>0</v>
      </c>
      <c r="AH3" s="51">
        <f>SUM(IFERROR(_xlfn.XLOOKUP($D3,Domestic!$C:$C,Domestic!AA:AA),0),IFERROR(_xlfn.XLOOKUP($D3,'INT-_Manjiri'!$C:$C,'INT-_Manjiri'!Z:Z),0),IFERROR(_xlfn.XLOOKUP($D3,'USA-_Sea_shipment'!$C:$C,'USA-_Sea_shipment'!Z:Z),0),IFERROR(_xlfn.XLOOKUP($D3,Amazon_USA_Sea!$C:$C,Amazon_USA_Sea!Z:Z),0),IFERROR(_xlfn.XLOOKUP($D3,USA_Air_Shipment!$C:$C,USA_Air_Shipment!Y:Y),0),IFERROR(_xlfn.XLOOKUP($D3,Amazon_USA_Air_Shipment!$C:$C,Amazon_USA_Air_Shipment!Y:Y),0),IFERROR(_xlfn.XLOOKUP($D3,MENA!$C:$C,MENA!Y:Y),0),IFERROR(_xlfn.XLOOKUP($D3,UK!$C:$C,UK!Y:Y),0),IFERROR(_xlfn.XLOOKUP($D3,BMM_Order!$C:$C,BMM_Order!Y:Y),0),IFERROR(_xlfn.XLOOKUP($D3,'Adhoc-_Backlog'!$C:$C,'Adhoc-_Backlog'!AA:AA),0))</f>
        <v>0</v>
      </c>
      <c r="AI3" s="51">
        <f>SUM(IFERROR(_xlfn.XLOOKUP($D3,Domestic!$C:$C,Domestic!AB:AB),0),IFERROR(_xlfn.XLOOKUP($D3,'INT-_Manjiri'!$C:$C,'INT-_Manjiri'!AA:AA),0),IFERROR(_xlfn.XLOOKUP($D3,'USA-_Sea_shipment'!$C:$C,'USA-_Sea_shipment'!AA:AA),0),IFERROR(_xlfn.XLOOKUP($D3,Amazon_USA_Sea!$C:$C,Amazon_USA_Sea!AA:AA),0),IFERROR(_xlfn.XLOOKUP($D3,USA_Air_Shipment!$C:$C,USA_Air_Shipment!Z:Z),0),IFERROR(_xlfn.XLOOKUP($D3,Amazon_USA_Air_Shipment!$C:$C,Amazon_USA_Air_Shipment!Z:Z),0),IFERROR(_xlfn.XLOOKUP($D3,MENA!$C:$C,MENA!Z:Z),0),IFERROR(_xlfn.XLOOKUP($D3,UK!$C:$C,UK!Z:Z),0),IFERROR(_xlfn.XLOOKUP($D3,BMM_Order!$C:$C,BMM_Order!Z:Z),0),IFERROR(_xlfn.XLOOKUP($D3,'Adhoc-_Backlog'!$C:$C,'Adhoc-_Backlog'!AB:AB),0))</f>
        <v>0</v>
      </c>
      <c r="AJ3" s="51">
        <f>SUM(IFERROR(_xlfn.XLOOKUP($D3,Domestic!$C:$C,Domestic!AC:AC),0),IFERROR(_xlfn.XLOOKUP($D3,'INT-_Manjiri'!$C:$C,'INT-_Manjiri'!AB:AB),0),IFERROR(_xlfn.XLOOKUP($D3,'USA-_Sea_shipment'!$C:$C,'USA-_Sea_shipment'!AB:AB),0),IFERROR(_xlfn.XLOOKUP($D3,Amazon_USA_Sea!$C:$C,Amazon_USA_Sea!AB:AB),0),IFERROR(_xlfn.XLOOKUP($D3,USA_Air_Shipment!$C:$C,USA_Air_Shipment!AA:AA),0),IFERROR(_xlfn.XLOOKUP($D3,Amazon_USA_Air_Shipment!$C:$C,Amazon_USA_Air_Shipment!AA:AA),0),IFERROR(_xlfn.XLOOKUP($D3,MENA!$C:$C,MENA!AA:AA),0),IFERROR(_xlfn.XLOOKUP($D3,UK!$C:$C,UK!AA:AA),0),IFERROR(_xlfn.XLOOKUP($D3,BMM_Order!$C:$C,BMM_Order!AA:AA),0),IFERROR(_xlfn.XLOOKUP($D3,'Adhoc-_Backlog'!$C:$C,'Adhoc-_Backlog'!AC:AC),0))</f>
        <v>0</v>
      </c>
      <c r="AK3" s="51">
        <f>SUM(IFERROR(_xlfn.XLOOKUP($D3,Domestic!$C:$C,Domestic!AD:AD),0),IFERROR(_xlfn.XLOOKUP($D3,'INT-_Manjiri'!$C:$C,'INT-_Manjiri'!AC:AC),0),IFERROR(_xlfn.XLOOKUP($D3,'USA-_Sea_shipment'!$C:$C,'USA-_Sea_shipment'!AC:AC),0),IFERROR(_xlfn.XLOOKUP($D3,Amazon_USA_Sea!$C:$C,Amazon_USA_Sea!AC:AC),0),IFERROR(_xlfn.XLOOKUP($D3,USA_Air_Shipment!$C:$C,USA_Air_Shipment!AB:AB),0),IFERROR(_xlfn.XLOOKUP($D3,Amazon_USA_Air_Shipment!$C:$C,Amazon_USA_Air_Shipment!AB:AB),0),IFERROR(_xlfn.XLOOKUP($D3,MENA!$C:$C,MENA!AB:AB),0),IFERROR(_xlfn.XLOOKUP($D3,UK!$C:$C,UK!AB:AB),0),IFERROR(_xlfn.XLOOKUP($D3,BMM_Order!$C:$C,BMM_Order!AB:AB),0),IFERROR(_xlfn.XLOOKUP($D3,'Adhoc-_Backlog'!$C:$C,'Adhoc-_Backlog'!AD:AD),0))</f>
        <v>0</v>
      </c>
      <c r="AL3" s="51">
        <f>SUM(IFERROR(_xlfn.XLOOKUP($D3,Domestic!$C:$C,Domestic!AE:AE),0),IFERROR(_xlfn.XLOOKUP($D3,'INT-_Manjiri'!$C:$C,'INT-_Manjiri'!AD:AD),0),IFERROR(_xlfn.XLOOKUP($D3,'USA-_Sea_shipment'!$C:$C,'USA-_Sea_shipment'!AD:AD),0),IFERROR(_xlfn.XLOOKUP($D3,Amazon_USA_Sea!$C:$C,Amazon_USA_Sea!AD:AD),0),IFERROR(_xlfn.XLOOKUP($D3,USA_Air_Shipment!$C:$C,USA_Air_Shipment!AC:AC),0),IFERROR(_xlfn.XLOOKUP($D3,Amazon_USA_Air_Shipment!$C:$C,Amazon_USA_Air_Shipment!AC:AC),0),IFERROR(_xlfn.XLOOKUP($D3,MENA!$C:$C,MENA!AC:AC),0),IFERROR(_xlfn.XLOOKUP($D3,UK!$C:$C,UK!AC:AC),0),IFERROR(_xlfn.XLOOKUP($D3,BMM_Order!$C:$C,BMM_Order!AC:AC),0),IFERROR(_xlfn.XLOOKUP($D3,'Adhoc-_Backlog'!$C:$C,'Adhoc-_Backlog'!AE:AE),0))</f>
        <v>0</v>
      </c>
      <c r="AM3" s="51">
        <f>SUM(IFERROR(_xlfn.XLOOKUP($D3,Domestic!$C:$C,Domestic!AF:AF),0),IFERROR(_xlfn.XLOOKUP($D3,'INT-_Manjiri'!$C:$C,'INT-_Manjiri'!AE:AE),0),IFERROR(_xlfn.XLOOKUP($D3,'USA-_Sea_shipment'!$C:$C,'USA-_Sea_shipment'!AE:AE),0),IFERROR(_xlfn.XLOOKUP($D3,Amazon_USA_Sea!$C:$C,Amazon_USA_Sea!AE:AE),0),IFERROR(_xlfn.XLOOKUP($D3,USA_Air_Shipment!$C:$C,USA_Air_Shipment!AD:AD),0),IFERROR(_xlfn.XLOOKUP($D3,Amazon_USA_Air_Shipment!$C:$C,Amazon_USA_Air_Shipment!AD:AD),0),IFERROR(_xlfn.XLOOKUP($D3,MENA!$C:$C,MENA!AD:AD),0),IFERROR(_xlfn.XLOOKUP($D3,UK!$C:$C,UK!AD:AD),0),IFERROR(_xlfn.XLOOKUP($D3,BMM_Order!$C:$C,BMM_Order!AD:AD),0),IFERROR(_xlfn.XLOOKUP($D3,'Adhoc-_Backlog'!$C:$C,'Adhoc-_Backlog'!AF:AF),0))</f>
        <v>0</v>
      </c>
      <c r="AN3" s="51">
        <f>SUM(IFERROR(_xlfn.XLOOKUP($D3,Domestic!$C:$C,Domestic!AG:AG),0),IFERROR(_xlfn.XLOOKUP($D3,'INT-_Manjiri'!$C:$C,'INT-_Manjiri'!AF:AF),0),IFERROR(_xlfn.XLOOKUP($D3,'USA-_Sea_shipment'!$C:$C,'USA-_Sea_shipment'!AF:AF),0),IFERROR(_xlfn.XLOOKUP($D3,Amazon_USA_Sea!$C:$C,Amazon_USA_Sea!AF:AF),0),IFERROR(_xlfn.XLOOKUP($D3,USA_Air_Shipment!$C:$C,USA_Air_Shipment!AE:AE),0),IFERROR(_xlfn.XLOOKUP($D3,Amazon_USA_Air_Shipment!$C:$C,Amazon_USA_Air_Shipment!AE:AE),0),IFERROR(_xlfn.XLOOKUP($D3,MENA!$C:$C,MENA!AE:AE),0),IFERROR(_xlfn.XLOOKUP($D3,UK!$C:$C,UK!AE:AE),0),IFERROR(_xlfn.XLOOKUP($D3,BMM_Order!$C:$C,BMM_Order!AE:AE),0),IFERROR(_xlfn.XLOOKUP($D3,'Adhoc-_Backlog'!$C:$C,'Adhoc-_Backlog'!AG:AG),0))</f>
        <v>0</v>
      </c>
      <c r="AO3" s="51">
        <f>SUM(IFERROR(_xlfn.XLOOKUP($D3,Domestic!$C:$C,Domestic!AH:AH),0),IFERROR(_xlfn.XLOOKUP($D3,'INT-_Manjiri'!$C:$C,'INT-_Manjiri'!AG:AG),0),IFERROR(_xlfn.XLOOKUP($D3,'USA-_Sea_shipment'!$C:$C,'USA-_Sea_shipment'!AG:AG),0),IFERROR(_xlfn.XLOOKUP($D3,Amazon_USA_Sea!$C:$C,Amazon_USA_Sea!AG:AG),0),IFERROR(_xlfn.XLOOKUP($D3,USA_Air_Shipment!$C:$C,USA_Air_Shipment!AF:AF),0),IFERROR(_xlfn.XLOOKUP($D3,Amazon_USA_Air_Shipment!$C:$C,Amazon_USA_Air_Shipment!AF:AF),0),IFERROR(_xlfn.XLOOKUP($D3,MENA!$C:$C,MENA!AF:AF),0),IFERROR(_xlfn.XLOOKUP($D3,UK!$C:$C,UK!AF:AF),0),IFERROR(_xlfn.XLOOKUP($D3,BMM_Order!$C:$C,BMM_Order!AF:AF),0),IFERROR(_xlfn.XLOOKUP($D3,'Adhoc-_Backlog'!$C:$C,'Adhoc-_Backlog'!AH:AH),0))</f>
        <v>0</v>
      </c>
      <c r="AP3" s="51">
        <f>SUM(IFERROR(_xlfn.XLOOKUP($D3,Domestic!$C:$C,Domestic!AI:AI),0),IFERROR(_xlfn.XLOOKUP($D3,'INT-_Manjiri'!$C:$C,'INT-_Manjiri'!AH:AH),0),IFERROR(_xlfn.XLOOKUP($D3,'USA-_Sea_shipment'!$C:$C,'USA-_Sea_shipment'!AH:AH),0),IFERROR(_xlfn.XLOOKUP($D3,Amazon_USA_Sea!$C:$C,Amazon_USA_Sea!AH:AH),0),IFERROR(_xlfn.XLOOKUP($D3,USA_Air_Shipment!$C:$C,USA_Air_Shipment!AG:AG),0),IFERROR(_xlfn.XLOOKUP($D3,Amazon_USA_Air_Shipment!$C:$C,Amazon_USA_Air_Shipment!AG:AG),0),IFERROR(_xlfn.XLOOKUP($D3,MENA!$C:$C,MENA!AG:AG),0),IFERROR(_xlfn.XLOOKUP($D3,UK!$C:$C,UK!AG:AG),0),IFERROR(_xlfn.XLOOKUP($D3,BMM_Order!$C:$C,BMM_Order!AG:AG),0),IFERROR(_xlfn.XLOOKUP($D3,'Adhoc-_Backlog'!$C:$C,'Adhoc-_Backlog'!AI:AI),0))</f>
        <v>0</v>
      </c>
      <c r="AQ3" s="51">
        <f>SUM(IFERROR(_xlfn.XLOOKUP($D3,Domestic!$C:$C,Domestic!AJ:AJ),0),IFERROR(_xlfn.XLOOKUP($D3,'INT-_Manjiri'!$C:$C,'INT-_Manjiri'!AI:AI),0),IFERROR(_xlfn.XLOOKUP($D3,'USA-_Sea_shipment'!$C:$C,'USA-_Sea_shipment'!AI:AI),0),IFERROR(_xlfn.XLOOKUP($D3,Amazon_USA_Sea!$C:$C,Amazon_USA_Sea!AI:AI),0),IFERROR(_xlfn.XLOOKUP($D3,USA_Air_Shipment!$C:$C,USA_Air_Shipment!AH:AH),0),IFERROR(_xlfn.XLOOKUP($D3,Amazon_USA_Air_Shipment!$C:$C,Amazon_USA_Air_Shipment!AH:AH),0),IFERROR(_xlfn.XLOOKUP($D3,MENA!$C:$C,MENA!AH:AH),0),IFERROR(_xlfn.XLOOKUP($D3,UK!$C:$C,UK!AH:AH),0),IFERROR(_xlfn.XLOOKUP($D3,BMM_Order!$C:$C,BMM_Order!AH:AH),0),IFERROR(_xlfn.XLOOKUP($D3,'Adhoc-_Backlog'!$C:$C,'Adhoc-_Backlog'!AJ:AJ),0))</f>
        <v>0</v>
      </c>
      <c r="AR3" s="51">
        <f>SUM(IFERROR(_xlfn.XLOOKUP($D3,Domestic!$C:$C,Domestic!AK:AK),0),IFERROR(_xlfn.XLOOKUP($D3,'INT-_Manjiri'!$C:$C,'INT-_Manjiri'!AJ:AJ),0),IFERROR(_xlfn.XLOOKUP($D3,'USA-_Sea_shipment'!$C:$C,'USA-_Sea_shipment'!AJ:AJ),0),IFERROR(_xlfn.XLOOKUP($D3,Amazon_USA_Sea!$C:$C,Amazon_USA_Sea!AJ:AJ),0),IFERROR(_xlfn.XLOOKUP($D3,USA_Air_Shipment!$C:$C,USA_Air_Shipment!AI:AI),0),IFERROR(_xlfn.XLOOKUP($D3,Amazon_USA_Air_Shipment!$C:$C,Amazon_USA_Air_Shipment!AI:AI),0),IFERROR(_xlfn.XLOOKUP($D3,MENA!$C:$C,MENA!AI:AI),0),IFERROR(_xlfn.XLOOKUP($D3,UK!$C:$C,UK!AI:AI),0),IFERROR(_xlfn.XLOOKUP($D3,BMM_Order!$C:$C,BMM_Order!AI:AI),0),IFERROR(_xlfn.XLOOKUP($D3,'Adhoc-_Backlog'!$C:$C,'Adhoc-_Backlog'!AK:AK),0))</f>
        <v>0</v>
      </c>
      <c r="AS3" s="51">
        <f>SUM(IFERROR(_xlfn.XLOOKUP($D3,Domestic!$C:$C,Domestic!AL:AL),0),IFERROR(_xlfn.XLOOKUP($D3,'INT-_Manjiri'!$C:$C,'INT-_Manjiri'!AK:AK),0),IFERROR(_xlfn.XLOOKUP($D3,'USA-_Sea_shipment'!$C:$C,'USA-_Sea_shipment'!AK:AK),0),IFERROR(_xlfn.XLOOKUP($D3,Amazon_USA_Sea!$C:$C,Amazon_USA_Sea!AK:AK),0),IFERROR(_xlfn.XLOOKUP($D3,USA_Air_Shipment!$C:$C,USA_Air_Shipment!AJ:AJ),0),IFERROR(_xlfn.XLOOKUP($D3,Amazon_USA_Air_Shipment!$C:$C,Amazon_USA_Air_Shipment!AJ:AJ),0),IFERROR(_xlfn.XLOOKUP($D3,MENA!$C:$C,MENA!AJ:AJ),0),IFERROR(_xlfn.XLOOKUP($D3,UK!$C:$C,UK!AJ:AJ),0),IFERROR(_xlfn.XLOOKUP($D3,BMM_Order!$C:$C,BMM_Order!AJ:AJ),0),IFERROR(_xlfn.XLOOKUP($D3,'Adhoc-_Backlog'!$C:$C,'Adhoc-_Backlog'!AL:AL),0))</f>
        <v>0</v>
      </c>
      <c r="AT3" s="51">
        <f>SUM(IFERROR(_xlfn.XLOOKUP($D3,Domestic!$C:$C,Domestic!AM:AM),0),IFERROR(_xlfn.XLOOKUP($D3,'INT-_Manjiri'!$C:$C,'INT-_Manjiri'!AL:AL),0),IFERROR(_xlfn.XLOOKUP($D3,'USA-_Sea_shipment'!$C:$C,'USA-_Sea_shipment'!AL:AL),0),IFERROR(_xlfn.XLOOKUP($D3,Amazon_USA_Sea!$C:$C,Amazon_USA_Sea!AL:AL),0),IFERROR(_xlfn.XLOOKUP($D3,USA_Air_Shipment!$C:$C,USA_Air_Shipment!AK:AK),0),IFERROR(_xlfn.XLOOKUP($D3,Amazon_USA_Air_Shipment!$C:$C,Amazon_USA_Air_Shipment!AK:AK),0),IFERROR(_xlfn.XLOOKUP($D3,MENA!$C:$C,MENA!AK:AK),0),IFERROR(_xlfn.XLOOKUP($D3,UK!$C:$C,UK!AK:AK),0),IFERROR(_xlfn.XLOOKUP($D3,BMM_Order!$C:$C,BMM_Order!AK:AK),0),IFERROR(_xlfn.XLOOKUP($D3,'Adhoc-_Backlog'!$C:$C,'Adhoc-_Backlog'!AM:AM),0))</f>
        <v>0</v>
      </c>
      <c r="AU3" s="51">
        <f>SUM(IFERROR(_xlfn.XLOOKUP($D3,Domestic!$C:$C,Domestic!AN:AN),0),IFERROR(_xlfn.XLOOKUP($D3,'INT-_Manjiri'!$C:$C,'INT-_Manjiri'!AM:AM),0),IFERROR(_xlfn.XLOOKUP($D3,'USA-_Sea_shipment'!$C:$C,'USA-_Sea_shipment'!AM:AM),0),IFERROR(_xlfn.XLOOKUP($D3,Amazon_USA_Sea!$C:$C,Amazon_USA_Sea!AM:AM),0),IFERROR(_xlfn.XLOOKUP($D3,USA_Air_Shipment!$C:$C,USA_Air_Shipment!AL:AL),0),IFERROR(_xlfn.XLOOKUP($D3,Amazon_USA_Air_Shipment!$C:$C,Amazon_USA_Air_Shipment!AL:AL),0),IFERROR(_xlfn.XLOOKUP($D3,MENA!$C:$C,MENA!AL:AL),0),IFERROR(_xlfn.XLOOKUP($D3,UK!$C:$C,UK!AL:AL),0),IFERROR(_xlfn.XLOOKUP($D3,BMM_Order!$C:$C,BMM_Order!AL:AL),0),IFERROR(_xlfn.XLOOKUP($D3,'Adhoc-_Backlog'!$C:$C,'Adhoc-_Backlog'!AN:AN),0))</f>
        <v>0</v>
      </c>
      <c r="AV3" s="51">
        <f>SUM(IFERROR(_xlfn.XLOOKUP($D3,Domestic!$C:$C,Domestic!AO:AO),0),IFERROR(_xlfn.XLOOKUP($D3,'INT-_Manjiri'!$C:$C,'INT-_Manjiri'!AN:AN),0),IFERROR(_xlfn.XLOOKUP($D3,'USA-_Sea_shipment'!$C:$C,'USA-_Sea_shipment'!AN:AN),0),IFERROR(_xlfn.XLOOKUP($D3,Amazon_USA_Sea!$C:$C,Amazon_USA_Sea!AN:AN),0),IFERROR(_xlfn.XLOOKUP($D3,USA_Air_Shipment!$C:$C,USA_Air_Shipment!AM:AM),0),IFERROR(_xlfn.XLOOKUP($D3,Amazon_USA_Air_Shipment!$C:$C,Amazon_USA_Air_Shipment!AM:AM),0),IFERROR(_xlfn.XLOOKUP($D3,MENA!$C:$C,MENA!AM:AM),0),IFERROR(_xlfn.XLOOKUP($D3,UK!$C:$C,UK!AM:AM),0),IFERROR(_xlfn.XLOOKUP($D3,BMM_Order!$C:$C,BMM_Order!AM:AM),0),IFERROR(_xlfn.XLOOKUP($D3,'Adhoc-_Backlog'!$C:$C,'Adhoc-_Backlog'!AO:AO),0))</f>
        <v>0</v>
      </c>
      <c r="AW3" s="51">
        <f>SUM(IFERROR(_xlfn.XLOOKUP($D3,Domestic!$C:$C,Domestic!AP:AP),0),IFERROR(_xlfn.XLOOKUP($D3,'INT-_Manjiri'!$C:$C,'INT-_Manjiri'!AO:AO),0),IFERROR(_xlfn.XLOOKUP($D3,'USA-_Sea_shipment'!$C:$C,'USA-_Sea_shipment'!AO:AO),0),IFERROR(_xlfn.XLOOKUP($D3,Amazon_USA_Sea!$C:$C,Amazon_USA_Sea!AO:AO),0),IFERROR(_xlfn.XLOOKUP($D3,USA_Air_Shipment!$C:$C,USA_Air_Shipment!AN:AN),0),IFERROR(_xlfn.XLOOKUP($D3,Amazon_USA_Air_Shipment!$C:$C,Amazon_USA_Air_Shipment!AN:AN),0),IFERROR(_xlfn.XLOOKUP($D3,MENA!$C:$C,MENA!AN:AN),0),IFERROR(_xlfn.XLOOKUP($D3,UK!$C:$C,UK!AN:AN),0),IFERROR(_xlfn.XLOOKUP($D3,BMM_Order!$C:$C,BMM_Order!AN:AN),0),IFERROR(_xlfn.XLOOKUP($D3,'Adhoc-_Backlog'!$C:$C,'Adhoc-_Backlog'!AP:AP),0))</f>
        <v>0</v>
      </c>
      <c r="AX3" s="51">
        <f>SUM(IFERROR(_xlfn.XLOOKUP($D3,Domestic!$C:$C,Domestic!AQ:AQ),0),IFERROR(_xlfn.XLOOKUP($D3,'INT-_Manjiri'!$C:$C,'INT-_Manjiri'!AP:AP),0),IFERROR(_xlfn.XLOOKUP($D3,'USA-_Sea_shipment'!$C:$C,'USA-_Sea_shipment'!AP:AP),0),IFERROR(_xlfn.XLOOKUP($D3,Amazon_USA_Sea!$C:$C,Amazon_USA_Sea!AP:AP),0),IFERROR(_xlfn.XLOOKUP($D3,USA_Air_Shipment!$C:$C,USA_Air_Shipment!AO:AO),0),IFERROR(_xlfn.XLOOKUP($D3,Amazon_USA_Air_Shipment!$C:$C,Amazon_USA_Air_Shipment!AO:AO),0),IFERROR(_xlfn.XLOOKUP($D3,MENA!$C:$C,MENA!AO:AO),0),IFERROR(_xlfn.XLOOKUP($D3,UK!$C:$C,UK!AO:AO),0),IFERROR(_xlfn.XLOOKUP($D3,BMM_Order!$C:$C,BMM_Order!AO:AO),0),IFERROR(_xlfn.XLOOKUP($D3,'Adhoc-_Backlog'!$C:$C,'Adhoc-_Backlog'!AQ:AQ),0))</f>
        <v>0</v>
      </c>
      <c r="AY3" s="51">
        <f>SUM(IFERROR(_xlfn.XLOOKUP($D3,Domestic!$C:$C,Domestic!AR:AR),0),IFERROR(_xlfn.XLOOKUP($D3,'INT-_Manjiri'!$C:$C,'INT-_Manjiri'!AQ:AQ),0),IFERROR(_xlfn.XLOOKUP($D3,'USA-_Sea_shipment'!$C:$C,'USA-_Sea_shipment'!AQ:AQ),0),IFERROR(_xlfn.XLOOKUP($D3,Amazon_USA_Sea!$C:$C,Amazon_USA_Sea!AQ:AQ),0),IFERROR(_xlfn.XLOOKUP($D3,USA_Air_Shipment!$C:$C,USA_Air_Shipment!AP:AP),0),IFERROR(_xlfn.XLOOKUP($D3,Amazon_USA_Air_Shipment!$C:$C,Amazon_USA_Air_Shipment!AP:AP),0),IFERROR(_xlfn.XLOOKUP($D3,MENA!$C:$C,MENA!AP:AP),0),IFERROR(_xlfn.XLOOKUP($D3,UK!$C:$C,UK!AP:AP),0),IFERROR(_xlfn.XLOOKUP($D3,BMM_Order!$C:$C,BMM_Order!AP:AP),0),IFERROR(_xlfn.XLOOKUP($D3,'Adhoc-_Backlog'!$C:$C,'Adhoc-_Backlog'!AR:AR),0))</f>
        <v>0</v>
      </c>
      <c r="AZ3" s="51">
        <f>SUM(IFERROR(_xlfn.XLOOKUP($D3,Domestic!$C:$C,Domestic!AS:AS),0),IFERROR(_xlfn.XLOOKUP($D3,'INT-_Manjiri'!$C:$C,'INT-_Manjiri'!AR:AR),0),IFERROR(_xlfn.XLOOKUP($D3,'USA-_Sea_shipment'!$C:$C,'USA-_Sea_shipment'!AR:AR),0),IFERROR(_xlfn.XLOOKUP($D3,Amazon_USA_Sea!$C:$C,Amazon_USA_Sea!AR:AR),0),IFERROR(_xlfn.XLOOKUP($D3,USA_Air_Shipment!$C:$C,USA_Air_Shipment!AQ:AQ),0),IFERROR(_xlfn.XLOOKUP($D3,Amazon_USA_Air_Shipment!$C:$C,Amazon_USA_Air_Shipment!AQ:AQ),0),IFERROR(_xlfn.XLOOKUP($D3,MENA!$C:$C,MENA!AQ:AQ),0),IFERROR(_xlfn.XLOOKUP($D3,UK!$C:$C,UK!AQ:AQ),0),IFERROR(_xlfn.XLOOKUP($D3,BMM_Order!$C:$C,BMM_Order!AQ:AQ),0),IFERROR(_xlfn.XLOOKUP($D3,'Adhoc-_Backlog'!$C:$C,'Adhoc-_Backlog'!AS:AS),0))</f>
        <v>0</v>
      </c>
      <c r="BA3" s="51">
        <f>SUM(IFERROR(_xlfn.XLOOKUP($D3,Domestic!$C:$C,Domestic!AT:AT),0),IFERROR(_xlfn.XLOOKUP($D3,'INT-_Manjiri'!$C:$C,'INT-_Manjiri'!AS:AS),0),IFERROR(_xlfn.XLOOKUP($D3,'USA-_Sea_shipment'!$C:$C,'USA-_Sea_shipment'!AS:AS),0),IFERROR(_xlfn.XLOOKUP($D3,Amazon_USA_Sea!$C:$C,Amazon_USA_Sea!AS:AS),0),IFERROR(_xlfn.XLOOKUP($D3,USA_Air_Shipment!$C:$C,USA_Air_Shipment!AR:AR),0),IFERROR(_xlfn.XLOOKUP($D3,Amazon_USA_Air_Shipment!$C:$C,Amazon_USA_Air_Shipment!AR:AR),0),IFERROR(_xlfn.XLOOKUP($D3,MENA!$C:$C,MENA!AR:AR),0),IFERROR(_xlfn.XLOOKUP($D3,UK!$C:$C,UK!AR:AR),0),IFERROR(_xlfn.XLOOKUP($D3,BMM_Order!$C:$C,BMM_Order!AR:AR),0),IFERROR(_xlfn.XLOOKUP($D3,'Adhoc-_Backlog'!$C:$C,'Adhoc-_Backlog'!AT:AT),0))</f>
        <v>0</v>
      </c>
      <c r="BB3" s="52">
        <f t="shared" ref="BB3:BB19" si="2">SUM($P3:$BA3)</f>
        <v>0</v>
      </c>
      <c r="BC3" s="53">
        <f t="shared" ref="BC3:BC19" si="3">BB3*$F3</f>
        <v>0</v>
      </c>
      <c r="BD3" s="51">
        <f t="shared" ref="BD3:BD19" si="4">$O3-BB3</f>
        <v>186</v>
      </c>
      <c r="BE3" s="53">
        <f t="shared" ref="BE3:BE19" si="5">BD3*$F3</f>
        <v>37.200000000000003</v>
      </c>
      <c r="BF3" s="54">
        <f t="shared" ref="BF3:BF19" si="6">IFERROR(BB3/$O3,0)</f>
        <v>0</v>
      </c>
      <c r="BG3" s="55" t="str">
        <f>_xlfn.TEXTJOIN(" | ",TRUE,IFERROR(_xlfn.XLOOKUP($D3,Domestic!$C:$C,Domestic!$BG:$BG,""),""),IFERROR(_xlfn.XLOOKUP($D3,'INT-_Manjiri'!$C:$C,'INT-_Manjiri'!$AY:$AY,""),""),IFERROR(_xlfn.XLOOKUP($D3,'USA-_Sea_shipment'!$C:$C,'USA-_Sea_shipment'!#REF!,""),""),IFERROR(_xlfn.XLOOKUP($D3,Amazon_USA_Sea!$C:$C,Amazon_USA_Sea!$AY:$AY,""),""),IFERROR(_xlfn.XLOOKUP($D3,USA_Air_Shipment!$C:$C,USA_Air_Shipment!$AW:$AW,""),""),IFERROR(_xlfn.XLOOKUP($D3,Amazon_USA_Air_Shipment!$C:$C,Amazon_USA_Air_Shipment!$AW:$AW,""),""),IFERROR(_xlfn.XLOOKUP($D3,MENA!$C:$C,MENA!$AW:$AW,""),""),IFERROR(_xlfn.XLOOKUP($D3,UK!$C:$C,UK!$BA:$BA,""),""),IFERROR(_xlfn.XLOOKUP($D3,BMM_Order!$C:$C,BMM_Order!$BA:$BA,""),""),IFERROR(_xlfn.XLOOKUP($D3,'Adhoc-_Backlog'!$C:$C,'Adhoc-_Backlog'!$BD:$BD,""),""))</f>
        <v/>
      </c>
      <c r="BH3" s="55">
        <f>_xlfn.XLOOKUP(D3,Raw_Data!A:A,Raw_Data!B:B)</f>
        <v>2</v>
      </c>
      <c r="BI3" s="56">
        <f t="shared" ref="BI3:BI19" si="7">BH3/(O3/30)</f>
        <v>0.32258064516129031</v>
      </c>
      <c r="BJ3" s="55">
        <f t="shared" ref="BJ3:BJ19" si="8">IF(BI3="","",IF(BI3&lt;=5,10,IF(BI3&lt;=10,7,IF(BI3&lt;=20,5,3))))</f>
        <v>10</v>
      </c>
      <c r="BK3" s="57" t="str">
        <f t="shared" ref="BK3:BK19" si="9">IF(N($O3)=0,"P3 – Normal",
IF($BJ3="","",
IF($BJ3=10,"P1 – Critical",
IF($BJ3=7,"P2 – High","P3 – Normal"))))</f>
        <v>P1 – Critical</v>
      </c>
      <c r="BL3" t="s">
        <v>118</v>
      </c>
    </row>
    <row r="4" spans="1:64" ht="13">
      <c r="A4" s="44">
        <f>15</f>
        <v>15</v>
      </c>
      <c r="B4" s="45" t="s">
        <v>12</v>
      </c>
      <c r="C4" s="45"/>
      <c r="D4" s="46" t="str">
        <f>Projection_!A18</f>
        <v>FG00039</v>
      </c>
      <c r="E4" s="47" t="str">
        <f>Projection_!B18</f>
        <v>Brahmi Ghee - 250 gm</v>
      </c>
      <c r="F4" s="48">
        <v>0.25</v>
      </c>
      <c r="G4" s="49">
        <f>IFERROR(_xlfn.XLOOKUP($D4,Projection_!$A:$A,Projection_!$J:$J),0)</f>
        <v>218</v>
      </c>
      <c r="H4" s="49">
        <f>IFERROR(_xlfn.XLOOKUP($D4,Projection_!$A:$A,Projection_!$K:$K),0)</f>
        <v>0</v>
      </c>
      <c r="I4" s="49">
        <f>IFERROR(_xlfn.XLOOKUP($D4,Projection_!$A:$A,Projection_!$L:$L),0)</f>
        <v>35</v>
      </c>
      <c r="J4" s="49">
        <f>IFERROR(_xlfn.XLOOKUP($D4,Projection_!$A:$A,Projection_!$M:$M),0)</f>
        <v>0</v>
      </c>
      <c r="K4" s="49">
        <f>IFERROR(_xlfn.XLOOKUP($D4,Projection_!$A:$A,Projection_!$Q:$Q),0)</f>
        <v>0</v>
      </c>
      <c r="L4" s="49">
        <f>IFERROR(_xlfn.XLOOKUP($D4,Projection_!$A:$A,Projection_!$R:$R),0)</f>
        <v>0</v>
      </c>
      <c r="M4" s="49">
        <f>IFERROR(_xlfn.XLOOKUP($D4,Projection_!$A:$A,Projection_!$O:$O),0)</f>
        <v>0</v>
      </c>
      <c r="N4" s="49">
        <f>IFERROR(_xlfn.XLOOKUP($D4,Projection_!$A:$A,Projection_!$P:$P),0)</f>
        <v>0</v>
      </c>
      <c r="O4" s="50">
        <f t="shared" si="1"/>
        <v>253</v>
      </c>
      <c r="P4" s="51">
        <f>SUM(IFERROR(_xlfn.XLOOKUP($D4,Domestic!$C:$C,Domestic!I:I),0),IFERROR(_xlfn.XLOOKUP($D4,'INT-_Manjiri'!$C:$C,'INT-_Manjiri'!H:H),0),IFERROR(_xlfn.XLOOKUP($D4,'USA-_Sea_shipment'!$C:$C,'USA-_Sea_shipment'!H:H),0),IFERROR(_xlfn.XLOOKUP($D4,Amazon_USA_Sea!$C:$C,Amazon_USA_Sea!H:H),0),IFERROR(_xlfn.XLOOKUP($D4,USA_Air_Shipment!$C:$C,USA_Air_Shipment!G:G),0),IFERROR(_xlfn.XLOOKUP($D4,Amazon_USA_Air_Shipment!$C:$C,Amazon_USA_Air_Shipment!G:G),0),IFERROR(_xlfn.XLOOKUP($D4,MENA!$C:$C,MENA!G:G),0),IFERROR(_xlfn.XLOOKUP($D4,UK!$C:$C,UK!G:G),0),IFERROR(_xlfn.XLOOKUP($D4,BMM_Order!$C:$C,BMM_Order!G:G),0),IFERROR(_xlfn.XLOOKUP($D4,'Adhoc-_Backlog'!$C:$C,'Adhoc-_Backlog'!I:I),0))</f>
        <v>0</v>
      </c>
      <c r="Q4" s="51">
        <f>SUM(IFERROR(_xlfn.XLOOKUP($D4,Domestic!$C:$C,Domestic!J:J),0),IFERROR(_xlfn.XLOOKUP($D4,'INT-_Manjiri'!$C:$C,'INT-_Manjiri'!I:I),0),IFERROR(_xlfn.XLOOKUP($D4,'USA-_Sea_shipment'!$C:$C,'USA-_Sea_shipment'!I:I),0),IFERROR(_xlfn.XLOOKUP($D4,Amazon_USA_Sea!$C:$C,Amazon_USA_Sea!I:I),0),IFERROR(_xlfn.XLOOKUP($D4,USA_Air_Shipment!$C:$C,USA_Air_Shipment!H:H),0),IFERROR(_xlfn.XLOOKUP($D4,Amazon_USA_Air_Shipment!$C:$C,Amazon_USA_Air_Shipment!H:H),0),IFERROR(_xlfn.XLOOKUP($D4,MENA!$C:$C,MENA!H:H),0),IFERROR(_xlfn.XLOOKUP($D4,UK!$C:$C,UK!H:H),0),IFERROR(_xlfn.XLOOKUP($D4,BMM_Order!$C:$C,BMM_Order!H:H),0),IFERROR(_xlfn.XLOOKUP($D4,'Adhoc-_Backlog'!$C:$C,'Adhoc-_Backlog'!J:J),0))</f>
        <v>0</v>
      </c>
      <c r="R4" s="51">
        <f>SUM(IFERROR(_xlfn.XLOOKUP($D4,Domestic!$C:$C,Domestic!K:K),0),IFERROR(_xlfn.XLOOKUP($D4,'INT-_Manjiri'!$C:$C,'INT-_Manjiri'!J:J),0),IFERROR(_xlfn.XLOOKUP($D4,'USA-_Sea_shipment'!$C:$C,'USA-_Sea_shipment'!J:J),0),IFERROR(_xlfn.XLOOKUP($D4,Amazon_USA_Sea!$C:$C,Amazon_USA_Sea!J:J),0),IFERROR(_xlfn.XLOOKUP($D4,USA_Air_Shipment!$C:$C,USA_Air_Shipment!I:I),0),IFERROR(_xlfn.XLOOKUP($D4,Amazon_USA_Air_Shipment!$C:$C,Amazon_USA_Air_Shipment!I:I),0),IFERROR(_xlfn.XLOOKUP($D4,MENA!$C:$C,MENA!I:I),0),IFERROR(_xlfn.XLOOKUP($D4,UK!$C:$C,UK!I:I),0),IFERROR(_xlfn.XLOOKUP($D4,BMM_Order!$C:$C,BMM_Order!I:I),0),IFERROR(_xlfn.XLOOKUP($D4,'Adhoc-_Backlog'!$C:$C,'Adhoc-_Backlog'!K:K),0))</f>
        <v>0</v>
      </c>
      <c r="S4" s="51">
        <f>SUM(IFERROR(_xlfn.XLOOKUP($D4,Domestic!$C:$C,Domestic!L:L),0),IFERROR(_xlfn.XLOOKUP($D4,'INT-_Manjiri'!$C:$C,'INT-_Manjiri'!K:K),0),IFERROR(_xlfn.XLOOKUP($D4,'USA-_Sea_shipment'!$C:$C,'USA-_Sea_shipment'!K:K),0),IFERROR(_xlfn.XLOOKUP($D4,Amazon_USA_Sea!$C:$C,Amazon_USA_Sea!K:K),0),IFERROR(_xlfn.XLOOKUP($D4,USA_Air_Shipment!$C:$C,USA_Air_Shipment!J:J),0),IFERROR(_xlfn.XLOOKUP($D4,Amazon_USA_Air_Shipment!$C:$C,Amazon_USA_Air_Shipment!J:J),0),IFERROR(_xlfn.XLOOKUP($D4,MENA!$C:$C,MENA!J:J),0),IFERROR(_xlfn.XLOOKUP($D4,UK!$C:$C,UK!J:J),0),IFERROR(_xlfn.XLOOKUP($D4,BMM_Order!$C:$C,BMM_Order!J:J),0),IFERROR(_xlfn.XLOOKUP($D4,'Adhoc-_Backlog'!$C:$C,'Adhoc-_Backlog'!L:L),0))</f>
        <v>0</v>
      </c>
      <c r="T4" s="51">
        <f>SUM(IFERROR(_xlfn.XLOOKUP($D4,Domestic!$C:$C,Domestic!M:M),0),IFERROR(_xlfn.XLOOKUP($D4,'INT-_Manjiri'!$C:$C,'INT-_Manjiri'!L:L),0),IFERROR(_xlfn.XLOOKUP($D4,'USA-_Sea_shipment'!$C:$C,'USA-_Sea_shipment'!L:L),0),IFERROR(_xlfn.XLOOKUP($D4,Amazon_USA_Sea!$C:$C,Amazon_USA_Sea!L:L),0),IFERROR(_xlfn.XLOOKUP($D4,USA_Air_Shipment!$C:$C,USA_Air_Shipment!K:K),0),IFERROR(_xlfn.XLOOKUP($D4,Amazon_USA_Air_Shipment!$C:$C,Amazon_USA_Air_Shipment!K:K),0),IFERROR(_xlfn.XLOOKUP($D4,MENA!$C:$C,MENA!K:K),0),IFERROR(_xlfn.XLOOKUP($D4,UK!$C:$C,UK!K:K),0),IFERROR(_xlfn.XLOOKUP($D4,BMM_Order!$C:$C,BMM_Order!K:K),0),IFERROR(_xlfn.XLOOKUP($D4,'Adhoc-_Backlog'!$C:$C,'Adhoc-_Backlog'!M:M),0))</f>
        <v>0</v>
      </c>
      <c r="U4" s="51">
        <f>SUM(IFERROR(_xlfn.XLOOKUP($D4,Domestic!$C:$C,Domestic!N:N),0),IFERROR(_xlfn.XLOOKUP($D4,'INT-_Manjiri'!$C:$C,'INT-_Manjiri'!M:M),0),IFERROR(_xlfn.XLOOKUP($D4,'USA-_Sea_shipment'!$C:$C,'USA-_Sea_shipment'!M:M),0),IFERROR(_xlfn.XLOOKUP($D4,Amazon_USA_Sea!$C:$C,Amazon_USA_Sea!M:M),0),IFERROR(_xlfn.XLOOKUP($D4,USA_Air_Shipment!$C:$C,USA_Air_Shipment!L:L),0),IFERROR(_xlfn.XLOOKUP($D4,Amazon_USA_Air_Shipment!$C:$C,Amazon_USA_Air_Shipment!L:L),0),IFERROR(_xlfn.XLOOKUP($D4,MENA!$C:$C,MENA!L:L),0),IFERROR(_xlfn.XLOOKUP($D4,UK!$C:$C,UK!L:L),0),IFERROR(_xlfn.XLOOKUP($D4,BMM_Order!$C:$C,BMM_Order!L:L),0),IFERROR(_xlfn.XLOOKUP($D4,'Adhoc-_Backlog'!$C:$C,'Adhoc-_Backlog'!N:N),0))</f>
        <v>0</v>
      </c>
      <c r="V4" s="51">
        <f>SUM(IFERROR(_xlfn.XLOOKUP($D4,Domestic!$C:$C,Domestic!O:O),0),IFERROR(_xlfn.XLOOKUP($D4,'INT-_Manjiri'!$C:$C,'INT-_Manjiri'!N:N),0),IFERROR(_xlfn.XLOOKUP($D4,'USA-_Sea_shipment'!$C:$C,'USA-_Sea_shipment'!N:N),0),IFERROR(_xlfn.XLOOKUP($D4,Amazon_USA_Sea!$C:$C,Amazon_USA_Sea!N:N),0),IFERROR(_xlfn.XLOOKUP($D4,USA_Air_Shipment!$C:$C,USA_Air_Shipment!M:M),0),IFERROR(_xlfn.XLOOKUP($D4,Amazon_USA_Air_Shipment!$C:$C,Amazon_USA_Air_Shipment!M:M),0),IFERROR(_xlfn.XLOOKUP($D4,MENA!$C:$C,MENA!M:M),0),IFERROR(_xlfn.XLOOKUP($D4,UK!$C:$C,UK!M:M),0),IFERROR(_xlfn.XLOOKUP($D4,BMM_Order!$C:$C,BMM_Order!M:M),0),IFERROR(_xlfn.XLOOKUP($D4,'Adhoc-_Backlog'!$C:$C,'Adhoc-_Backlog'!O:O),0))</f>
        <v>0</v>
      </c>
      <c r="W4" s="51">
        <f>SUM(IFERROR(_xlfn.XLOOKUP($D4,Domestic!$C:$C,Domestic!P:P),0),IFERROR(_xlfn.XLOOKUP($D4,'INT-_Manjiri'!$C:$C,'INT-_Manjiri'!O:O),0),IFERROR(_xlfn.XLOOKUP($D4,'USA-_Sea_shipment'!$C:$C,'USA-_Sea_shipment'!O:O),0),IFERROR(_xlfn.XLOOKUP($D4,Amazon_USA_Sea!$C:$C,Amazon_USA_Sea!O:O),0),IFERROR(_xlfn.XLOOKUP($D4,USA_Air_Shipment!$C:$C,USA_Air_Shipment!N:N),0),IFERROR(_xlfn.XLOOKUP($D4,Amazon_USA_Air_Shipment!$C:$C,Amazon_USA_Air_Shipment!N:N),0),IFERROR(_xlfn.XLOOKUP($D4,MENA!$C:$C,MENA!N:N),0),IFERROR(_xlfn.XLOOKUP($D4,UK!$C:$C,UK!N:N),0),IFERROR(_xlfn.XLOOKUP($D4,BMM_Order!$C:$C,BMM_Order!N:N),0),IFERROR(_xlfn.XLOOKUP($D4,'Adhoc-_Backlog'!$C:$C,'Adhoc-_Backlog'!P:P),0))</f>
        <v>0</v>
      </c>
      <c r="X4" s="51">
        <f>SUM(IFERROR(_xlfn.XLOOKUP($D4,Domestic!$C:$C,Domestic!Q:Q),0),IFERROR(_xlfn.XLOOKUP($D4,'INT-_Manjiri'!$C:$C,'INT-_Manjiri'!P:P),0),IFERROR(_xlfn.XLOOKUP($D4,'USA-_Sea_shipment'!$C:$C,'USA-_Sea_shipment'!P:P),0),IFERROR(_xlfn.XLOOKUP($D4,Amazon_USA_Sea!$C:$C,Amazon_USA_Sea!P:P),0),IFERROR(_xlfn.XLOOKUP($D4,USA_Air_Shipment!$C:$C,USA_Air_Shipment!O:O),0),IFERROR(_xlfn.XLOOKUP($D4,Amazon_USA_Air_Shipment!$C:$C,Amazon_USA_Air_Shipment!O:O),0),IFERROR(_xlfn.XLOOKUP($D4,MENA!$C:$C,MENA!O:O),0),IFERROR(_xlfn.XLOOKUP($D4,UK!$C:$C,UK!O:O),0),IFERROR(_xlfn.XLOOKUP($D4,BMM_Order!$C:$C,BMM_Order!O:O),0),IFERROR(_xlfn.XLOOKUP($D4,'Adhoc-_Backlog'!$C:$C,'Adhoc-_Backlog'!Q:Q),0))</f>
        <v>0</v>
      </c>
      <c r="Y4" s="51">
        <f>SUM(IFERROR(_xlfn.XLOOKUP($D4,Domestic!$C:$C,Domestic!R:R),0),IFERROR(_xlfn.XLOOKUP($D4,'INT-_Manjiri'!$C:$C,'INT-_Manjiri'!Q:Q),0),IFERROR(_xlfn.XLOOKUP($D4,'USA-_Sea_shipment'!$C:$C,'USA-_Sea_shipment'!Q:Q),0),IFERROR(_xlfn.XLOOKUP($D4,Amazon_USA_Sea!$C:$C,Amazon_USA_Sea!Q:Q),0),IFERROR(_xlfn.XLOOKUP($D4,USA_Air_Shipment!$C:$C,USA_Air_Shipment!P:P),0),IFERROR(_xlfn.XLOOKUP($D4,Amazon_USA_Air_Shipment!$C:$C,Amazon_USA_Air_Shipment!P:P),0),IFERROR(_xlfn.XLOOKUP($D4,MENA!$C:$C,MENA!P:P),0),IFERROR(_xlfn.XLOOKUP($D4,UK!$C:$C,UK!P:P),0),IFERROR(_xlfn.XLOOKUP($D4,BMM_Order!$C:$C,BMM_Order!P:P),0),IFERROR(_xlfn.XLOOKUP($D4,'Adhoc-_Backlog'!$C:$C,'Adhoc-_Backlog'!R:R),0))</f>
        <v>0</v>
      </c>
      <c r="Z4" s="51">
        <f>SUM(IFERROR(_xlfn.XLOOKUP($D4,Domestic!$C:$C,Domestic!S:S),0),IFERROR(_xlfn.XLOOKUP($D4,'INT-_Manjiri'!$C:$C,'INT-_Manjiri'!R:R),0),IFERROR(_xlfn.XLOOKUP($D4,'USA-_Sea_shipment'!$C:$C,'USA-_Sea_shipment'!R:R),0),IFERROR(_xlfn.XLOOKUP($D4,Amazon_USA_Sea!$C:$C,Amazon_USA_Sea!R:R),0),IFERROR(_xlfn.XLOOKUP($D4,USA_Air_Shipment!$C:$C,USA_Air_Shipment!Q:Q),0),IFERROR(_xlfn.XLOOKUP($D4,Amazon_USA_Air_Shipment!$C:$C,Amazon_USA_Air_Shipment!Q:Q),0),IFERROR(_xlfn.XLOOKUP($D4,MENA!$C:$C,MENA!Q:Q),0),IFERROR(_xlfn.XLOOKUP($D4,UK!$C:$C,UK!Q:Q),0),IFERROR(_xlfn.XLOOKUP($D4,BMM_Order!$C:$C,BMM_Order!Q:Q),0),IFERROR(_xlfn.XLOOKUP($D4,'Adhoc-_Backlog'!$C:$C,'Adhoc-_Backlog'!S:S),0))</f>
        <v>0</v>
      </c>
      <c r="AA4" s="51">
        <f>SUM(IFERROR(_xlfn.XLOOKUP($D4,Domestic!$C:$C,Domestic!T:T),0),IFERROR(_xlfn.XLOOKUP($D4,'INT-_Manjiri'!$C:$C,'INT-_Manjiri'!S:S),0),IFERROR(_xlfn.XLOOKUP($D4,'USA-_Sea_shipment'!$C:$C,'USA-_Sea_shipment'!S:S),0),IFERROR(_xlfn.XLOOKUP($D4,Amazon_USA_Sea!$C:$C,Amazon_USA_Sea!S:S),0),IFERROR(_xlfn.XLOOKUP($D4,USA_Air_Shipment!$C:$C,USA_Air_Shipment!R:R),0),IFERROR(_xlfn.XLOOKUP($D4,Amazon_USA_Air_Shipment!$C:$C,Amazon_USA_Air_Shipment!R:R),0),IFERROR(_xlfn.XLOOKUP($D4,MENA!$C:$C,MENA!R:R),0),IFERROR(_xlfn.XLOOKUP($D4,UK!$C:$C,UK!R:R),0),IFERROR(_xlfn.XLOOKUP($D4,BMM_Order!$C:$C,BMM_Order!R:R),0),IFERROR(_xlfn.XLOOKUP($D4,'Adhoc-_Backlog'!$C:$C,'Adhoc-_Backlog'!T:T),0))</f>
        <v>0</v>
      </c>
      <c r="AB4" s="51">
        <f>SUM(IFERROR(_xlfn.XLOOKUP($D4,Domestic!$C:$C,Domestic!U:U),0),IFERROR(_xlfn.XLOOKUP($D4,'INT-_Manjiri'!$C:$C,'INT-_Manjiri'!T:T),0),IFERROR(_xlfn.XLOOKUP($D4,'USA-_Sea_shipment'!$C:$C,'USA-_Sea_shipment'!T:T),0),IFERROR(_xlfn.XLOOKUP($D4,Amazon_USA_Sea!$C:$C,Amazon_USA_Sea!T:T),0),IFERROR(_xlfn.XLOOKUP($D4,USA_Air_Shipment!$C:$C,USA_Air_Shipment!S:S),0),IFERROR(_xlfn.XLOOKUP($D4,Amazon_USA_Air_Shipment!$C:$C,Amazon_USA_Air_Shipment!S:S),0),IFERROR(_xlfn.XLOOKUP($D4,MENA!$C:$C,MENA!S:S),0),IFERROR(_xlfn.XLOOKUP($D4,UK!$C:$C,UK!S:S),0),IFERROR(_xlfn.XLOOKUP($D4,BMM_Order!$C:$C,BMM_Order!S:S),0),IFERROR(_xlfn.XLOOKUP($D4,'Adhoc-_Backlog'!$C:$C,'Adhoc-_Backlog'!U:U),0))</f>
        <v>0</v>
      </c>
      <c r="AC4" s="51">
        <f>SUM(IFERROR(_xlfn.XLOOKUP($D4,Domestic!$C:$C,Domestic!V:V),0),IFERROR(_xlfn.XLOOKUP($D4,'INT-_Manjiri'!$C:$C,'INT-_Manjiri'!U:U),0),IFERROR(_xlfn.XLOOKUP($D4,'USA-_Sea_shipment'!$C:$C,'USA-_Sea_shipment'!U:U),0),IFERROR(_xlfn.XLOOKUP($D4,Amazon_USA_Sea!$C:$C,Amazon_USA_Sea!U:U),0),IFERROR(_xlfn.XLOOKUP($D4,USA_Air_Shipment!$C:$C,USA_Air_Shipment!T:T),0),IFERROR(_xlfn.XLOOKUP($D4,Amazon_USA_Air_Shipment!$C:$C,Amazon_USA_Air_Shipment!T:T),0),IFERROR(_xlfn.XLOOKUP($D4,MENA!$C:$C,MENA!T:T),0),IFERROR(_xlfn.XLOOKUP($D4,UK!$C:$C,UK!T:T),0),IFERROR(_xlfn.XLOOKUP($D4,BMM_Order!$C:$C,BMM_Order!T:T),0),IFERROR(_xlfn.XLOOKUP($D4,'Adhoc-_Backlog'!$C:$C,'Adhoc-_Backlog'!V:V),0))</f>
        <v>0</v>
      </c>
      <c r="AD4" s="51">
        <f>SUM(IFERROR(_xlfn.XLOOKUP($D4,Domestic!$C:$C,Domestic!W:W),0),IFERROR(_xlfn.XLOOKUP($D4,'INT-_Manjiri'!$C:$C,'INT-_Manjiri'!V:V),0),IFERROR(_xlfn.XLOOKUP($D4,'USA-_Sea_shipment'!$C:$C,'USA-_Sea_shipment'!V:V),0),IFERROR(_xlfn.XLOOKUP($D4,Amazon_USA_Sea!$C:$C,Amazon_USA_Sea!V:V),0),IFERROR(_xlfn.XLOOKUP($D4,USA_Air_Shipment!$C:$C,USA_Air_Shipment!U:U),0),IFERROR(_xlfn.XLOOKUP($D4,Amazon_USA_Air_Shipment!$C:$C,Amazon_USA_Air_Shipment!U:U),0),IFERROR(_xlfn.XLOOKUP($D4,MENA!$C:$C,MENA!U:U),0),IFERROR(_xlfn.XLOOKUP($D4,UK!$C:$C,UK!U:U),0),IFERROR(_xlfn.XLOOKUP($D4,BMM_Order!$C:$C,BMM_Order!U:U),0),IFERROR(_xlfn.XLOOKUP($D4,'Adhoc-_Backlog'!$C:$C,'Adhoc-_Backlog'!W:W),0))</f>
        <v>0</v>
      </c>
      <c r="AE4" s="51">
        <f>SUM(IFERROR(_xlfn.XLOOKUP($D4,Domestic!$C:$C,Domestic!X:X),0),IFERROR(_xlfn.XLOOKUP($D4,'INT-_Manjiri'!$C:$C,'INT-_Manjiri'!W:W),0),IFERROR(_xlfn.XLOOKUP($D4,'USA-_Sea_shipment'!$C:$C,'USA-_Sea_shipment'!W:W),0),IFERROR(_xlfn.XLOOKUP($D4,Amazon_USA_Sea!$C:$C,Amazon_USA_Sea!W:W),0),IFERROR(_xlfn.XLOOKUP($D4,USA_Air_Shipment!$C:$C,USA_Air_Shipment!V:V),0),IFERROR(_xlfn.XLOOKUP($D4,Amazon_USA_Air_Shipment!$C:$C,Amazon_USA_Air_Shipment!V:V),0),IFERROR(_xlfn.XLOOKUP($D4,MENA!$C:$C,MENA!V:V),0),IFERROR(_xlfn.XLOOKUP($D4,UK!$C:$C,UK!V:V),0),IFERROR(_xlfn.XLOOKUP($D4,BMM_Order!$C:$C,BMM_Order!V:V),0),IFERROR(_xlfn.XLOOKUP($D4,'Adhoc-_Backlog'!$C:$C,'Adhoc-_Backlog'!X:X),0))</f>
        <v>0</v>
      </c>
      <c r="AF4" s="51">
        <f>SUM(IFERROR(_xlfn.XLOOKUP($D4,Domestic!$C:$C,Domestic!Y:Y),0),IFERROR(_xlfn.XLOOKUP($D4,'INT-_Manjiri'!$C:$C,'INT-_Manjiri'!X:X),0),IFERROR(_xlfn.XLOOKUP($D4,'USA-_Sea_shipment'!$C:$C,'USA-_Sea_shipment'!X:X),0),IFERROR(_xlfn.XLOOKUP($D4,Amazon_USA_Sea!$C:$C,Amazon_USA_Sea!X:X),0),IFERROR(_xlfn.XLOOKUP($D4,USA_Air_Shipment!$C:$C,USA_Air_Shipment!W:W),0),IFERROR(_xlfn.XLOOKUP($D4,Amazon_USA_Air_Shipment!$C:$C,Amazon_USA_Air_Shipment!W:W),0),IFERROR(_xlfn.XLOOKUP($D4,MENA!$C:$C,MENA!W:W),0),IFERROR(_xlfn.XLOOKUP($D4,UK!$C:$C,UK!W:W),0),IFERROR(_xlfn.XLOOKUP($D4,BMM_Order!$C:$C,BMM_Order!W:W),0),IFERROR(_xlfn.XLOOKUP($D4,'Adhoc-_Backlog'!$C:$C,'Adhoc-_Backlog'!Y:Y),0))</f>
        <v>0</v>
      </c>
      <c r="AG4" s="51">
        <f>SUM(IFERROR(_xlfn.XLOOKUP($D4,Domestic!$C:$C,Domestic!Z:Z),0),IFERROR(_xlfn.XLOOKUP($D4,'INT-_Manjiri'!$C:$C,'INT-_Manjiri'!Y:Y),0),IFERROR(_xlfn.XLOOKUP($D4,'USA-_Sea_shipment'!$C:$C,'USA-_Sea_shipment'!Y:Y),0),IFERROR(_xlfn.XLOOKUP($D4,Amazon_USA_Sea!$C:$C,Amazon_USA_Sea!Y:Y),0),IFERROR(_xlfn.XLOOKUP($D4,USA_Air_Shipment!$C:$C,USA_Air_Shipment!X:X),0),IFERROR(_xlfn.XLOOKUP($D4,Amazon_USA_Air_Shipment!$C:$C,Amazon_USA_Air_Shipment!X:X),0),IFERROR(_xlfn.XLOOKUP($D4,MENA!$C:$C,MENA!X:X),0),IFERROR(_xlfn.XLOOKUP($D4,UK!$C:$C,UK!X:X),0),IFERROR(_xlfn.XLOOKUP($D4,BMM_Order!$C:$C,BMM_Order!X:X),0),IFERROR(_xlfn.XLOOKUP($D4,'Adhoc-_Backlog'!$C:$C,'Adhoc-_Backlog'!Z:Z),0))</f>
        <v>0</v>
      </c>
      <c r="AH4" s="51">
        <f>SUM(IFERROR(_xlfn.XLOOKUP($D4,Domestic!$C:$C,Domestic!AA:AA),0),IFERROR(_xlfn.XLOOKUP($D4,'INT-_Manjiri'!$C:$C,'INT-_Manjiri'!Z:Z),0),IFERROR(_xlfn.XLOOKUP($D4,'USA-_Sea_shipment'!$C:$C,'USA-_Sea_shipment'!Z:Z),0),IFERROR(_xlfn.XLOOKUP($D4,Amazon_USA_Sea!$C:$C,Amazon_USA_Sea!Z:Z),0),IFERROR(_xlfn.XLOOKUP($D4,USA_Air_Shipment!$C:$C,USA_Air_Shipment!Y:Y),0),IFERROR(_xlfn.XLOOKUP($D4,Amazon_USA_Air_Shipment!$C:$C,Amazon_USA_Air_Shipment!Y:Y),0),IFERROR(_xlfn.XLOOKUP($D4,MENA!$C:$C,MENA!Y:Y),0),IFERROR(_xlfn.XLOOKUP($D4,UK!$C:$C,UK!Y:Y),0),IFERROR(_xlfn.XLOOKUP($D4,BMM_Order!$C:$C,BMM_Order!Y:Y),0),IFERROR(_xlfn.XLOOKUP($D4,'Adhoc-_Backlog'!$C:$C,'Adhoc-_Backlog'!AA:AA),0))</f>
        <v>0</v>
      </c>
      <c r="AI4" s="51">
        <f>SUM(IFERROR(_xlfn.XLOOKUP($D4,Domestic!$C:$C,Domestic!AB:AB),0),IFERROR(_xlfn.XLOOKUP($D4,'INT-_Manjiri'!$C:$C,'INT-_Manjiri'!AA:AA),0),IFERROR(_xlfn.XLOOKUP($D4,'USA-_Sea_shipment'!$C:$C,'USA-_Sea_shipment'!AA:AA),0),IFERROR(_xlfn.XLOOKUP($D4,Amazon_USA_Sea!$C:$C,Amazon_USA_Sea!AA:AA),0),IFERROR(_xlfn.XLOOKUP($D4,USA_Air_Shipment!$C:$C,USA_Air_Shipment!Z:Z),0),IFERROR(_xlfn.XLOOKUP($D4,Amazon_USA_Air_Shipment!$C:$C,Amazon_USA_Air_Shipment!Z:Z),0),IFERROR(_xlfn.XLOOKUP($D4,MENA!$C:$C,MENA!Z:Z),0),IFERROR(_xlfn.XLOOKUP($D4,UK!$C:$C,UK!Z:Z),0),IFERROR(_xlfn.XLOOKUP($D4,BMM_Order!$C:$C,BMM_Order!Z:Z),0),IFERROR(_xlfn.XLOOKUP($D4,'Adhoc-_Backlog'!$C:$C,'Adhoc-_Backlog'!AB:AB),0))</f>
        <v>0</v>
      </c>
      <c r="AJ4" s="51">
        <f>SUM(IFERROR(_xlfn.XLOOKUP($D4,Domestic!$C:$C,Domestic!AC:AC),0),IFERROR(_xlfn.XLOOKUP($D4,'INT-_Manjiri'!$C:$C,'INT-_Manjiri'!AB:AB),0),IFERROR(_xlfn.XLOOKUP($D4,'USA-_Sea_shipment'!$C:$C,'USA-_Sea_shipment'!AB:AB),0),IFERROR(_xlfn.XLOOKUP($D4,Amazon_USA_Sea!$C:$C,Amazon_USA_Sea!AB:AB),0),IFERROR(_xlfn.XLOOKUP($D4,USA_Air_Shipment!$C:$C,USA_Air_Shipment!AA:AA),0),IFERROR(_xlfn.XLOOKUP($D4,Amazon_USA_Air_Shipment!$C:$C,Amazon_USA_Air_Shipment!AA:AA),0),IFERROR(_xlfn.XLOOKUP($D4,MENA!$C:$C,MENA!AA:AA),0),IFERROR(_xlfn.XLOOKUP($D4,UK!$C:$C,UK!AA:AA),0),IFERROR(_xlfn.XLOOKUP($D4,BMM_Order!$C:$C,BMM_Order!AA:AA),0),IFERROR(_xlfn.XLOOKUP($D4,'Adhoc-_Backlog'!$C:$C,'Adhoc-_Backlog'!AC:AC),0))</f>
        <v>0</v>
      </c>
      <c r="AK4" s="51">
        <f>SUM(IFERROR(_xlfn.XLOOKUP($D4,Domestic!$C:$C,Domestic!AD:AD),0),IFERROR(_xlfn.XLOOKUP($D4,'INT-_Manjiri'!$C:$C,'INT-_Manjiri'!AC:AC),0),IFERROR(_xlfn.XLOOKUP($D4,'USA-_Sea_shipment'!$C:$C,'USA-_Sea_shipment'!AC:AC),0),IFERROR(_xlfn.XLOOKUP($D4,Amazon_USA_Sea!$C:$C,Amazon_USA_Sea!AC:AC),0),IFERROR(_xlfn.XLOOKUP($D4,USA_Air_Shipment!$C:$C,USA_Air_Shipment!AB:AB),0),IFERROR(_xlfn.XLOOKUP($D4,Amazon_USA_Air_Shipment!$C:$C,Amazon_USA_Air_Shipment!AB:AB),0),IFERROR(_xlfn.XLOOKUP($D4,MENA!$C:$C,MENA!AB:AB),0),IFERROR(_xlfn.XLOOKUP($D4,UK!$C:$C,UK!AB:AB),0),IFERROR(_xlfn.XLOOKUP($D4,BMM_Order!$C:$C,BMM_Order!AB:AB),0),IFERROR(_xlfn.XLOOKUP($D4,'Adhoc-_Backlog'!$C:$C,'Adhoc-_Backlog'!AD:AD),0))</f>
        <v>0</v>
      </c>
      <c r="AL4" s="51">
        <f>SUM(IFERROR(_xlfn.XLOOKUP($D4,Domestic!$C:$C,Domestic!AE:AE),0),IFERROR(_xlfn.XLOOKUP($D4,'INT-_Manjiri'!$C:$C,'INT-_Manjiri'!AD:AD),0),IFERROR(_xlfn.XLOOKUP($D4,'USA-_Sea_shipment'!$C:$C,'USA-_Sea_shipment'!AD:AD),0),IFERROR(_xlfn.XLOOKUP($D4,Amazon_USA_Sea!$C:$C,Amazon_USA_Sea!AD:AD),0),IFERROR(_xlfn.XLOOKUP($D4,USA_Air_Shipment!$C:$C,USA_Air_Shipment!AC:AC),0),IFERROR(_xlfn.XLOOKUP($D4,Amazon_USA_Air_Shipment!$C:$C,Amazon_USA_Air_Shipment!AC:AC),0),IFERROR(_xlfn.XLOOKUP($D4,MENA!$C:$C,MENA!AC:AC),0),IFERROR(_xlfn.XLOOKUP($D4,UK!$C:$C,UK!AC:AC),0),IFERROR(_xlfn.XLOOKUP($D4,BMM_Order!$C:$C,BMM_Order!AC:AC),0),IFERROR(_xlfn.XLOOKUP($D4,'Adhoc-_Backlog'!$C:$C,'Adhoc-_Backlog'!AE:AE),0))</f>
        <v>0</v>
      </c>
      <c r="AM4" s="51">
        <f>SUM(IFERROR(_xlfn.XLOOKUP($D4,Domestic!$C:$C,Domestic!AF:AF),0),IFERROR(_xlfn.XLOOKUP($D4,'INT-_Manjiri'!$C:$C,'INT-_Manjiri'!AE:AE),0),IFERROR(_xlfn.XLOOKUP($D4,'USA-_Sea_shipment'!$C:$C,'USA-_Sea_shipment'!AE:AE),0),IFERROR(_xlfn.XLOOKUP($D4,Amazon_USA_Sea!$C:$C,Amazon_USA_Sea!AE:AE),0),IFERROR(_xlfn.XLOOKUP($D4,USA_Air_Shipment!$C:$C,USA_Air_Shipment!AD:AD),0),IFERROR(_xlfn.XLOOKUP($D4,Amazon_USA_Air_Shipment!$C:$C,Amazon_USA_Air_Shipment!AD:AD),0),IFERROR(_xlfn.XLOOKUP($D4,MENA!$C:$C,MENA!AD:AD),0),IFERROR(_xlfn.XLOOKUP($D4,UK!$C:$C,UK!AD:AD),0),IFERROR(_xlfn.XLOOKUP($D4,BMM_Order!$C:$C,BMM_Order!AD:AD),0),IFERROR(_xlfn.XLOOKUP($D4,'Adhoc-_Backlog'!$C:$C,'Adhoc-_Backlog'!AF:AF),0))</f>
        <v>0</v>
      </c>
      <c r="AN4" s="51">
        <f>SUM(IFERROR(_xlfn.XLOOKUP($D4,Domestic!$C:$C,Domestic!AG:AG),0),IFERROR(_xlfn.XLOOKUP($D4,'INT-_Manjiri'!$C:$C,'INT-_Manjiri'!AF:AF),0),IFERROR(_xlfn.XLOOKUP($D4,'USA-_Sea_shipment'!$C:$C,'USA-_Sea_shipment'!AF:AF),0),IFERROR(_xlfn.XLOOKUP($D4,Amazon_USA_Sea!$C:$C,Amazon_USA_Sea!AF:AF),0),IFERROR(_xlfn.XLOOKUP($D4,USA_Air_Shipment!$C:$C,USA_Air_Shipment!AE:AE),0),IFERROR(_xlfn.XLOOKUP($D4,Amazon_USA_Air_Shipment!$C:$C,Amazon_USA_Air_Shipment!AE:AE),0),IFERROR(_xlfn.XLOOKUP($D4,MENA!$C:$C,MENA!AE:AE),0),IFERROR(_xlfn.XLOOKUP($D4,UK!$C:$C,UK!AE:AE),0),IFERROR(_xlfn.XLOOKUP($D4,BMM_Order!$C:$C,BMM_Order!AE:AE),0),IFERROR(_xlfn.XLOOKUP($D4,'Adhoc-_Backlog'!$C:$C,'Adhoc-_Backlog'!AG:AG),0))</f>
        <v>0</v>
      </c>
      <c r="AO4" s="51">
        <f>SUM(IFERROR(_xlfn.XLOOKUP($D4,Domestic!$C:$C,Domestic!AH:AH),0),IFERROR(_xlfn.XLOOKUP($D4,'INT-_Manjiri'!$C:$C,'INT-_Manjiri'!AG:AG),0),IFERROR(_xlfn.XLOOKUP($D4,'USA-_Sea_shipment'!$C:$C,'USA-_Sea_shipment'!AG:AG),0),IFERROR(_xlfn.XLOOKUP($D4,Amazon_USA_Sea!$C:$C,Amazon_USA_Sea!AG:AG),0),IFERROR(_xlfn.XLOOKUP($D4,USA_Air_Shipment!$C:$C,USA_Air_Shipment!AF:AF),0),IFERROR(_xlfn.XLOOKUP($D4,Amazon_USA_Air_Shipment!$C:$C,Amazon_USA_Air_Shipment!AF:AF),0),IFERROR(_xlfn.XLOOKUP($D4,MENA!$C:$C,MENA!AF:AF),0),IFERROR(_xlfn.XLOOKUP($D4,UK!$C:$C,UK!AF:AF),0),IFERROR(_xlfn.XLOOKUP($D4,BMM_Order!$C:$C,BMM_Order!AF:AF),0),IFERROR(_xlfn.XLOOKUP($D4,'Adhoc-_Backlog'!$C:$C,'Adhoc-_Backlog'!AH:AH),0))</f>
        <v>0</v>
      </c>
      <c r="AP4" s="51">
        <f>SUM(IFERROR(_xlfn.XLOOKUP($D4,Domestic!$C:$C,Domestic!AI:AI),0),IFERROR(_xlfn.XLOOKUP($D4,'INT-_Manjiri'!$C:$C,'INT-_Manjiri'!AH:AH),0),IFERROR(_xlfn.XLOOKUP($D4,'USA-_Sea_shipment'!$C:$C,'USA-_Sea_shipment'!AH:AH),0),IFERROR(_xlfn.XLOOKUP($D4,Amazon_USA_Sea!$C:$C,Amazon_USA_Sea!AH:AH),0),IFERROR(_xlfn.XLOOKUP($D4,USA_Air_Shipment!$C:$C,USA_Air_Shipment!AG:AG),0),IFERROR(_xlfn.XLOOKUP($D4,Amazon_USA_Air_Shipment!$C:$C,Amazon_USA_Air_Shipment!AG:AG),0),IFERROR(_xlfn.XLOOKUP($D4,MENA!$C:$C,MENA!AG:AG),0),IFERROR(_xlfn.XLOOKUP($D4,UK!$C:$C,UK!AG:AG),0),IFERROR(_xlfn.XLOOKUP($D4,BMM_Order!$C:$C,BMM_Order!AG:AG),0),IFERROR(_xlfn.XLOOKUP($D4,'Adhoc-_Backlog'!$C:$C,'Adhoc-_Backlog'!AI:AI),0))</f>
        <v>7</v>
      </c>
      <c r="AQ4" s="51">
        <f>SUM(IFERROR(_xlfn.XLOOKUP($D4,Domestic!$C:$C,Domestic!AJ:AJ),0),IFERROR(_xlfn.XLOOKUP($D4,'INT-_Manjiri'!$C:$C,'INT-_Manjiri'!AI:AI),0),IFERROR(_xlfn.XLOOKUP($D4,'USA-_Sea_shipment'!$C:$C,'USA-_Sea_shipment'!AI:AI),0),IFERROR(_xlfn.XLOOKUP($D4,Amazon_USA_Sea!$C:$C,Amazon_USA_Sea!AI:AI),0),IFERROR(_xlfn.XLOOKUP($D4,USA_Air_Shipment!$C:$C,USA_Air_Shipment!AH:AH),0),IFERROR(_xlfn.XLOOKUP($D4,Amazon_USA_Air_Shipment!$C:$C,Amazon_USA_Air_Shipment!AH:AH),0),IFERROR(_xlfn.XLOOKUP($D4,MENA!$C:$C,MENA!AH:AH),0),IFERROR(_xlfn.XLOOKUP($D4,UK!$C:$C,UK!AH:AH),0),IFERROR(_xlfn.XLOOKUP($D4,BMM_Order!$C:$C,BMM_Order!AH:AH),0),IFERROR(_xlfn.XLOOKUP($D4,'Adhoc-_Backlog'!$C:$C,'Adhoc-_Backlog'!AJ:AJ),0))</f>
        <v>0</v>
      </c>
      <c r="AR4" s="51">
        <f>SUM(IFERROR(_xlfn.XLOOKUP($D4,Domestic!$C:$C,Domestic!AK:AK),0),IFERROR(_xlfn.XLOOKUP($D4,'INT-_Manjiri'!$C:$C,'INT-_Manjiri'!AJ:AJ),0),IFERROR(_xlfn.XLOOKUP($D4,'USA-_Sea_shipment'!$C:$C,'USA-_Sea_shipment'!AJ:AJ),0),IFERROR(_xlfn.XLOOKUP($D4,Amazon_USA_Sea!$C:$C,Amazon_USA_Sea!AJ:AJ),0),IFERROR(_xlfn.XLOOKUP($D4,USA_Air_Shipment!$C:$C,USA_Air_Shipment!AI:AI),0),IFERROR(_xlfn.XLOOKUP($D4,Amazon_USA_Air_Shipment!$C:$C,Amazon_USA_Air_Shipment!AI:AI),0),IFERROR(_xlfn.XLOOKUP($D4,MENA!$C:$C,MENA!AI:AI),0),IFERROR(_xlfn.XLOOKUP($D4,UK!$C:$C,UK!AI:AI),0),IFERROR(_xlfn.XLOOKUP($D4,BMM_Order!$C:$C,BMM_Order!AI:AI),0),IFERROR(_xlfn.XLOOKUP($D4,'Adhoc-_Backlog'!$C:$C,'Adhoc-_Backlog'!AK:AK),0))</f>
        <v>0</v>
      </c>
      <c r="AS4" s="51">
        <f>SUM(IFERROR(_xlfn.XLOOKUP($D4,Domestic!$C:$C,Domestic!AL:AL),0),IFERROR(_xlfn.XLOOKUP($D4,'INT-_Manjiri'!$C:$C,'INT-_Manjiri'!AK:AK),0),IFERROR(_xlfn.XLOOKUP($D4,'USA-_Sea_shipment'!$C:$C,'USA-_Sea_shipment'!AK:AK),0),IFERROR(_xlfn.XLOOKUP($D4,Amazon_USA_Sea!$C:$C,Amazon_USA_Sea!AK:AK),0),IFERROR(_xlfn.XLOOKUP($D4,USA_Air_Shipment!$C:$C,USA_Air_Shipment!AJ:AJ),0),IFERROR(_xlfn.XLOOKUP($D4,Amazon_USA_Air_Shipment!$C:$C,Amazon_USA_Air_Shipment!AJ:AJ),0),IFERROR(_xlfn.XLOOKUP($D4,MENA!$C:$C,MENA!AJ:AJ),0),IFERROR(_xlfn.XLOOKUP($D4,UK!$C:$C,UK!AJ:AJ),0),IFERROR(_xlfn.XLOOKUP($D4,BMM_Order!$C:$C,BMM_Order!AJ:AJ),0),IFERROR(_xlfn.XLOOKUP($D4,'Adhoc-_Backlog'!$C:$C,'Adhoc-_Backlog'!AL:AL),0))</f>
        <v>0</v>
      </c>
      <c r="AT4" s="51">
        <f>SUM(IFERROR(_xlfn.XLOOKUP($D4,Domestic!$C:$C,Domestic!AM:AM),0),IFERROR(_xlfn.XLOOKUP($D4,'INT-_Manjiri'!$C:$C,'INT-_Manjiri'!AL:AL),0),IFERROR(_xlfn.XLOOKUP($D4,'USA-_Sea_shipment'!$C:$C,'USA-_Sea_shipment'!AL:AL),0),IFERROR(_xlfn.XLOOKUP($D4,Amazon_USA_Sea!$C:$C,Amazon_USA_Sea!AL:AL),0),IFERROR(_xlfn.XLOOKUP($D4,USA_Air_Shipment!$C:$C,USA_Air_Shipment!AK:AK),0),IFERROR(_xlfn.XLOOKUP($D4,Amazon_USA_Air_Shipment!$C:$C,Amazon_USA_Air_Shipment!AK:AK),0),IFERROR(_xlfn.XLOOKUP($D4,MENA!$C:$C,MENA!AK:AK),0),IFERROR(_xlfn.XLOOKUP($D4,UK!$C:$C,UK!AK:AK),0),IFERROR(_xlfn.XLOOKUP($D4,BMM_Order!$C:$C,BMM_Order!AK:AK),0),IFERROR(_xlfn.XLOOKUP($D4,'Adhoc-_Backlog'!$C:$C,'Adhoc-_Backlog'!AM:AM),0))</f>
        <v>0</v>
      </c>
      <c r="AU4" s="51">
        <f>SUM(IFERROR(_xlfn.XLOOKUP($D4,Domestic!$C:$C,Domestic!AN:AN),0),IFERROR(_xlfn.XLOOKUP($D4,'INT-_Manjiri'!$C:$C,'INT-_Manjiri'!AM:AM),0),IFERROR(_xlfn.XLOOKUP($D4,'USA-_Sea_shipment'!$C:$C,'USA-_Sea_shipment'!AM:AM),0),IFERROR(_xlfn.XLOOKUP($D4,Amazon_USA_Sea!$C:$C,Amazon_USA_Sea!AM:AM),0),IFERROR(_xlfn.XLOOKUP($D4,USA_Air_Shipment!$C:$C,USA_Air_Shipment!AL:AL),0),IFERROR(_xlfn.XLOOKUP($D4,Amazon_USA_Air_Shipment!$C:$C,Amazon_USA_Air_Shipment!AL:AL),0),IFERROR(_xlfn.XLOOKUP($D4,MENA!$C:$C,MENA!AL:AL),0),IFERROR(_xlfn.XLOOKUP($D4,UK!$C:$C,UK!AL:AL),0),IFERROR(_xlfn.XLOOKUP($D4,BMM_Order!$C:$C,BMM_Order!AL:AL),0),IFERROR(_xlfn.XLOOKUP($D4,'Adhoc-_Backlog'!$C:$C,'Adhoc-_Backlog'!AN:AN),0))</f>
        <v>0</v>
      </c>
      <c r="AV4" s="51">
        <f>SUM(IFERROR(_xlfn.XLOOKUP($D4,Domestic!$C:$C,Domestic!AO:AO),0),IFERROR(_xlfn.XLOOKUP($D4,'INT-_Manjiri'!$C:$C,'INT-_Manjiri'!AN:AN),0),IFERROR(_xlfn.XLOOKUP($D4,'USA-_Sea_shipment'!$C:$C,'USA-_Sea_shipment'!AN:AN),0),IFERROR(_xlfn.XLOOKUP($D4,Amazon_USA_Sea!$C:$C,Amazon_USA_Sea!AN:AN),0),IFERROR(_xlfn.XLOOKUP($D4,USA_Air_Shipment!$C:$C,USA_Air_Shipment!AM:AM),0),IFERROR(_xlfn.XLOOKUP($D4,Amazon_USA_Air_Shipment!$C:$C,Amazon_USA_Air_Shipment!AM:AM),0),IFERROR(_xlfn.XLOOKUP($D4,MENA!$C:$C,MENA!AM:AM),0),IFERROR(_xlfn.XLOOKUP($D4,UK!$C:$C,UK!AM:AM),0),IFERROR(_xlfn.XLOOKUP($D4,BMM_Order!$C:$C,BMM_Order!AM:AM),0),IFERROR(_xlfn.XLOOKUP($D4,'Adhoc-_Backlog'!$C:$C,'Adhoc-_Backlog'!AO:AO),0))</f>
        <v>0</v>
      </c>
      <c r="AW4" s="51">
        <f>SUM(IFERROR(_xlfn.XLOOKUP($D4,Domestic!$C:$C,Domestic!AP:AP),0),IFERROR(_xlfn.XLOOKUP($D4,'INT-_Manjiri'!$C:$C,'INT-_Manjiri'!AO:AO),0),IFERROR(_xlfn.XLOOKUP($D4,'USA-_Sea_shipment'!$C:$C,'USA-_Sea_shipment'!AO:AO),0),IFERROR(_xlfn.XLOOKUP($D4,Amazon_USA_Sea!$C:$C,Amazon_USA_Sea!AO:AO),0),IFERROR(_xlfn.XLOOKUP($D4,USA_Air_Shipment!$C:$C,USA_Air_Shipment!AN:AN),0),IFERROR(_xlfn.XLOOKUP($D4,Amazon_USA_Air_Shipment!$C:$C,Amazon_USA_Air_Shipment!AN:AN),0),IFERROR(_xlfn.XLOOKUP($D4,MENA!$C:$C,MENA!AN:AN),0),IFERROR(_xlfn.XLOOKUP($D4,UK!$C:$C,UK!AN:AN),0),IFERROR(_xlfn.XLOOKUP($D4,BMM_Order!$C:$C,BMM_Order!AN:AN),0),IFERROR(_xlfn.XLOOKUP($D4,'Adhoc-_Backlog'!$C:$C,'Adhoc-_Backlog'!AP:AP),0))</f>
        <v>0</v>
      </c>
      <c r="AX4" s="51">
        <f>SUM(IFERROR(_xlfn.XLOOKUP($D4,Domestic!$C:$C,Domestic!AQ:AQ),0),IFERROR(_xlfn.XLOOKUP($D4,'INT-_Manjiri'!$C:$C,'INT-_Manjiri'!AP:AP),0),IFERROR(_xlfn.XLOOKUP($D4,'USA-_Sea_shipment'!$C:$C,'USA-_Sea_shipment'!AP:AP),0),IFERROR(_xlfn.XLOOKUP($D4,Amazon_USA_Sea!$C:$C,Amazon_USA_Sea!AP:AP),0),IFERROR(_xlfn.XLOOKUP($D4,USA_Air_Shipment!$C:$C,USA_Air_Shipment!AO:AO),0),IFERROR(_xlfn.XLOOKUP($D4,Amazon_USA_Air_Shipment!$C:$C,Amazon_USA_Air_Shipment!AO:AO),0),IFERROR(_xlfn.XLOOKUP($D4,MENA!$C:$C,MENA!AO:AO),0),IFERROR(_xlfn.XLOOKUP($D4,UK!$C:$C,UK!AO:AO),0),IFERROR(_xlfn.XLOOKUP($D4,BMM_Order!$C:$C,BMM_Order!AO:AO),0),IFERROR(_xlfn.XLOOKUP($D4,'Adhoc-_Backlog'!$C:$C,'Adhoc-_Backlog'!AQ:AQ),0))</f>
        <v>40</v>
      </c>
      <c r="AY4" s="51">
        <f>SUM(IFERROR(_xlfn.XLOOKUP($D4,Domestic!$C:$C,Domestic!AR:AR),0),IFERROR(_xlfn.XLOOKUP($D4,'INT-_Manjiri'!$C:$C,'INT-_Manjiri'!AQ:AQ),0),IFERROR(_xlfn.XLOOKUP($D4,'USA-_Sea_shipment'!$C:$C,'USA-_Sea_shipment'!AQ:AQ),0),IFERROR(_xlfn.XLOOKUP($D4,Amazon_USA_Sea!$C:$C,Amazon_USA_Sea!AQ:AQ),0),IFERROR(_xlfn.XLOOKUP($D4,USA_Air_Shipment!$C:$C,USA_Air_Shipment!AP:AP),0),IFERROR(_xlfn.XLOOKUP($D4,Amazon_USA_Air_Shipment!$C:$C,Amazon_USA_Air_Shipment!AP:AP),0),IFERROR(_xlfn.XLOOKUP($D4,MENA!$C:$C,MENA!AP:AP),0),IFERROR(_xlfn.XLOOKUP($D4,UK!$C:$C,UK!AP:AP),0),IFERROR(_xlfn.XLOOKUP($D4,BMM_Order!$C:$C,BMM_Order!AP:AP),0),IFERROR(_xlfn.XLOOKUP($D4,'Adhoc-_Backlog'!$C:$C,'Adhoc-_Backlog'!AR:AR),0))</f>
        <v>20</v>
      </c>
      <c r="AZ4" s="51">
        <f>SUM(IFERROR(_xlfn.XLOOKUP($D4,Domestic!$C:$C,Domestic!AS:AS),0),IFERROR(_xlfn.XLOOKUP($D4,'INT-_Manjiri'!$C:$C,'INT-_Manjiri'!AR:AR),0),IFERROR(_xlfn.XLOOKUP($D4,'USA-_Sea_shipment'!$C:$C,'USA-_Sea_shipment'!AR:AR),0),IFERROR(_xlfn.XLOOKUP($D4,Amazon_USA_Sea!$C:$C,Amazon_USA_Sea!AR:AR),0),IFERROR(_xlfn.XLOOKUP($D4,USA_Air_Shipment!$C:$C,USA_Air_Shipment!AQ:AQ),0),IFERROR(_xlfn.XLOOKUP($D4,Amazon_USA_Air_Shipment!$C:$C,Amazon_USA_Air_Shipment!AQ:AQ),0),IFERROR(_xlfn.XLOOKUP($D4,MENA!$C:$C,MENA!AQ:AQ),0),IFERROR(_xlfn.XLOOKUP($D4,UK!$C:$C,UK!AQ:AQ),0),IFERROR(_xlfn.XLOOKUP($D4,BMM_Order!$C:$C,BMM_Order!AQ:AQ),0),IFERROR(_xlfn.XLOOKUP($D4,'Adhoc-_Backlog'!$C:$C,'Adhoc-_Backlog'!AS:AS),0))</f>
        <v>0</v>
      </c>
      <c r="BA4" s="51">
        <f>SUM(IFERROR(_xlfn.XLOOKUP($D4,Domestic!$C:$C,Domestic!AT:AT),0),IFERROR(_xlfn.XLOOKUP($D4,'INT-_Manjiri'!$C:$C,'INT-_Manjiri'!AS:AS),0),IFERROR(_xlfn.XLOOKUP($D4,'USA-_Sea_shipment'!$C:$C,'USA-_Sea_shipment'!AS:AS),0),IFERROR(_xlfn.XLOOKUP($D4,Amazon_USA_Sea!$C:$C,Amazon_USA_Sea!AS:AS),0),IFERROR(_xlfn.XLOOKUP($D4,USA_Air_Shipment!$C:$C,USA_Air_Shipment!AR:AR),0),IFERROR(_xlfn.XLOOKUP($D4,Amazon_USA_Air_Shipment!$C:$C,Amazon_USA_Air_Shipment!AR:AR),0),IFERROR(_xlfn.XLOOKUP($D4,MENA!$C:$C,MENA!AR:AR),0),IFERROR(_xlfn.XLOOKUP($D4,UK!$C:$C,UK!AR:AR),0),IFERROR(_xlfn.XLOOKUP($D4,BMM_Order!$C:$C,BMM_Order!AR:AR),0),IFERROR(_xlfn.XLOOKUP($D4,'Adhoc-_Backlog'!$C:$C,'Adhoc-_Backlog'!AT:AT),0))</f>
        <v>0</v>
      </c>
      <c r="BB4" s="52">
        <f t="shared" si="2"/>
        <v>67</v>
      </c>
      <c r="BC4" s="53">
        <f t="shared" si="3"/>
        <v>16.75</v>
      </c>
      <c r="BD4" s="51">
        <f t="shared" si="4"/>
        <v>186</v>
      </c>
      <c r="BE4" s="53">
        <f t="shared" si="5"/>
        <v>46.5</v>
      </c>
      <c r="BF4" s="54">
        <f t="shared" si="6"/>
        <v>0.2648221343873518</v>
      </c>
      <c r="BG4" s="55" t="str">
        <f>_xlfn.TEXTJOIN(" | ",TRUE,IFERROR(_xlfn.XLOOKUP($D4,Domestic!$C:$C,Domestic!$BG:$BG,""),""),IFERROR(_xlfn.XLOOKUP($D4,'INT-_Manjiri'!$C:$C,'INT-_Manjiri'!$AY:$AY,""),""),IFERROR(_xlfn.XLOOKUP($D4,'USA-_Sea_shipment'!$C:$C,'USA-_Sea_shipment'!#REF!,""),""),IFERROR(_xlfn.XLOOKUP($D4,Amazon_USA_Sea!$C:$C,Amazon_USA_Sea!$AY:$AY,""),""),IFERROR(_xlfn.XLOOKUP($D4,USA_Air_Shipment!$C:$C,USA_Air_Shipment!$AW:$AW,""),""),IFERROR(_xlfn.XLOOKUP($D4,Amazon_USA_Air_Shipment!$C:$C,Amazon_USA_Air_Shipment!$AW:$AW,""),""),IFERROR(_xlfn.XLOOKUP($D4,MENA!$C:$C,MENA!$AW:$AW,""),""),IFERROR(_xlfn.XLOOKUP($D4,UK!$C:$C,UK!$BA:$BA,""),""),IFERROR(_xlfn.XLOOKUP($D4,BMM_Order!$C:$C,BMM_Order!$BA:$BA,""),""),IFERROR(_xlfn.XLOOKUP($D4,'Adhoc-_Backlog'!$C:$C,'Adhoc-_Backlog'!$BD:$BD,""),""))</f>
        <v>WIP</v>
      </c>
      <c r="BH4" s="55">
        <f>_xlfn.XLOOKUP(D4,Raw_Data!A:A,Raw_Data!B:B)</f>
        <v>11</v>
      </c>
      <c r="BI4" s="56">
        <f t="shared" si="7"/>
        <v>1.3043478260869565</v>
      </c>
      <c r="BJ4" s="55">
        <f t="shared" si="8"/>
        <v>10</v>
      </c>
      <c r="BK4" s="57" t="str">
        <f t="shared" si="9"/>
        <v>P1 – Critical</v>
      </c>
      <c r="BL4" t="s">
        <v>119</v>
      </c>
    </row>
    <row r="5" spans="1:64" ht="13">
      <c r="A5" s="44">
        <f>17</f>
        <v>17</v>
      </c>
      <c r="B5" s="45" t="s">
        <v>12</v>
      </c>
      <c r="C5" s="45"/>
      <c r="D5" s="46" t="str">
        <f>Projection_!A20</f>
        <v>FG00596</v>
      </c>
      <c r="E5" s="47" t="str">
        <f>Projection_!B20</f>
        <v>Tulsi Ghee - 250gm</v>
      </c>
      <c r="F5" s="48">
        <v>0.25</v>
      </c>
      <c r="G5" s="49">
        <f>IFERROR(_xlfn.XLOOKUP($D5,Projection_!$A:$A,Projection_!$J:$J),0)</f>
        <v>75</v>
      </c>
      <c r="H5" s="49">
        <f>IFERROR(_xlfn.XLOOKUP($D5,Projection_!$A:$A,Projection_!$K:$K),0)</f>
        <v>0</v>
      </c>
      <c r="I5" s="49">
        <f>IFERROR(_xlfn.XLOOKUP($D5,Projection_!$A:$A,Projection_!$L:$L),0)</f>
        <v>0</v>
      </c>
      <c r="J5" s="49">
        <f>IFERROR(_xlfn.XLOOKUP($D5,Projection_!$A:$A,Projection_!$M:$M),0)</f>
        <v>0</v>
      </c>
      <c r="K5" s="49">
        <f>IFERROR(_xlfn.XLOOKUP($D5,Projection_!$A:$A,Projection_!$Q:$Q),0)</f>
        <v>0</v>
      </c>
      <c r="L5" s="49">
        <f>IFERROR(_xlfn.XLOOKUP($D5,Projection_!$A:$A,Projection_!$R:$R),0)</f>
        <v>0</v>
      </c>
      <c r="M5" s="49">
        <f>IFERROR(_xlfn.XLOOKUP($D5,Projection_!$A:$A,Projection_!$O:$O),0)</f>
        <v>0</v>
      </c>
      <c r="N5" s="49">
        <f>IFERROR(_xlfn.XLOOKUP($D5,Projection_!$A:$A,Projection_!$P:$P),0)</f>
        <v>0</v>
      </c>
      <c r="O5" s="50">
        <f t="shared" si="1"/>
        <v>75</v>
      </c>
      <c r="P5" s="51">
        <f>SUM(IFERROR(_xlfn.XLOOKUP($D5,Domestic!$C:$C,Domestic!I:I),0),IFERROR(_xlfn.XLOOKUP($D5,'INT-_Manjiri'!$C:$C,'INT-_Manjiri'!H:H),0),IFERROR(_xlfn.XLOOKUP($D5,'USA-_Sea_shipment'!$C:$C,'USA-_Sea_shipment'!H:H),0),IFERROR(_xlfn.XLOOKUP($D5,Amazon_USA_Sea!$C:$C,Amazon_USA_Sea!H:H),0),IFERROR(_xlfn.XLOOKUP($D5,USA_Air_Shipment!$C:$C,USA_Air_Shipment!G:G),0),IFERROR(_xlfn.XLOOKUP($D5,Amazon_USA_Air_Shipment!$C:$C,Amazon_USA_Air_Shipment!G:G),0),IFERROR(_xlfn.XLOOKUP($D5,MENA!$C:$C,MENA!G:G),0),IFERROR(_xlfn.XLOOKUP($D5,UK!$C:$C,UK!G:G),0),IFERROR(_xlfn.XLOOKUP($D5,BMM_Order!$C:$C,BMM_Order!G:G),0),IFERROR(_xlfn.XLOOKUP($D5,'Adhoc-_Backlog'!$C:$C,'Adhoc-_Backlog'!I:I),0))</f>
        <v>0</v>
      </c>
      <c r="Q5" s="51">
        <f>SUM(IFERROR(_xlfn.XLOOKUP($D5,Domestic!$C:$C,Domestic!J:J),0),IFERROR(_xlfn.XLOOKUP($D5,'INT-_Manjiri'!$C:$C,'INT-_Manjiri'!I:I),0),IFERROR(_xlfn.XLOOKUP($D5,'USA-_Sea_shipment'!$C:$C,'USA-_Sea_shipment'!I:I),0),IFERROR(_xlfn.XLOOKUP($D5,Amazon_USA_Sea!$C:$C,Amazon_USA_Sea!I:I),0),IFERROR(_xlfn.XLOOKUP($D5,USA_Air_Shipment!$C:$C,USA_Air_Shipment!H:H),0),IFERROR(_xlfn.XLOOKUP($D5,Amazon_USA_Air_Shipment!$C:$C,Amazon_USA_Air_Shipment!H:H),0),IFERROR(_xlfn.XLOOKUP($D5,MENA!$C:$C,MENA!H:H),0),IFERROR(_xlfn.XLOOKUP($D5,UK!$C:$C,UK!H:H),0),IFERROR(_xlfn.XLOOKUP($D5,BMM_Order!$C:$C,BMM_Order!H:H),0),IFERROR(_xlfn.XLOOKUP($D5,'Adhoc-_Backlog'!$C:$C,'Adhoc-_Backlog'!J:J),0))</f>
        <v>0</v>
      </c>
      <c r="R5" s="51">
        <f>SUM(IFERROR(_xlfn.XLOOKUP($D5,Domestic!$C:$C,Domestic!K:K),0),IFERROR(_xlfn.XLOOKUP($D5,'INT-_Manjiri'!$C:$C,'INT-_Manjiri'!J:J),0),IFERROR(_xlfn.XLOOKUP($D5,'USA-_Sea_shipment'!$C:$C,'USA-_Sea_shipment'!J:J),0),IFERROR(_xlfn.XLOOKUP($D5,Amazon_USA_Sea!$C:$C,Amazon_USA_Sea!J:J),0),IFERROR(_xlfn.XLOOKUP($D5,USA_Air_Shipment!$C:$C,USA_Air_Shipment!I:I),0),IFERROR(_xlfn.XLOOKUP($D5,Amazon_USA_Air_Shipment!$C:$C,Amazon_USA_Air_Shipment!I:I),0),IFERROR(_xlfn.XLOOKUP($D5,MENA!$C:$C,MENA!I:I),0),IFERROR(_xlfn.XLOOKUP($D5,UK!$C:$C,UK!I:I),0),IFERROR(_xlfn.XLOOKUP($D5,BMM_Order!$C:$C,BMM_Order!I:I),0),IFERROR(_xlfn.XLOOKUP($D5,'Adhoc-_Backlog'!$C:$C,'Adhoc-_Backlog'!K:K),0))</f>
        <v>0</v>
      </c>
      <c r="S5" s="51">
        <f>SUM(IFERROR(_xlfn.XLOOKUP($D5,Domestic!$C:$C,Domestic!L:L),0),IFERROR(_xlfn.XLOOKUP($D5,'INT-_Manjiri'!$C:$C,'INT-_Manjiri'!K:K),0),IFERROR(_xlfn.XLOOKUP($D5,'USA-_Sea_shipment'!$C:$C,'USA-_Sea_shipment'!K:K),0),IFERROR(_xlfn.XLOOKUP($D5,Amazon_USA_Sea!$C:$C,Amazon_USA_Sea!K:K),0),IFERROR(_xlfn.XLOOKUP($D5,USA_Air_Shipment!$C:$C,USA_Air_Shipment!J:J),0),IFERROR(_xlfn.XLOOKUP($D5,Amazon_USA_Air_Shipment!$C:$C,Amazon_USA_Air_Shipment!J:J),0),IFERROR(_xlfn.XLOOKUP($D5,MENA!$C:$C,MENA!J:J),0),IFERROR(_xlfn.XLOOKUP($D5,UK!$C:$C,UK!J:J),0),IFERROR(_xlfn.XLOOKUP($D5,BMM_Order!$C:$C,BMM_Order!J:J),0),IFERROR(_xlfn.XLOOKUP($D5,'Adhoc-_Backlog'!$C:$C,'Adhoc-_Backlog'!L:L),0))</f>
        <v>0</v>
      </c>
      <c r="T5" s="51">
        <f>SUM(IFERROR(_xlfn.XLOOKUP($D5,Domestic!$C:$C,Domestic!M:M),0),IFERROR(_xlfn.XLOOKUP($D5,'INT-_Manjiri'!$C:$C,'INT-_Manjiri'!L:L),0),IFERROR(_xlfn.XLOOKUP($D5,'USA-_Sea_shipment'!$C:$C,'USA-_Sea_shipment'!L:L),0),IFERROR(_xlfn.XLOOKUP($D5,Amazon_USA_Sea!$C:$C,Amazon_USA_Sea!L:L),0),IFERROR(_xlfn.XLOOKUP($D5,USA_Air_Shipment!$C:$C,USA_Air_Shipment!K:K),0),IFERROR(_xlfn.XLOOKUP($D5,Amazon_USA_Air_Shipment!$C:$C,Amazon_USA_Air_Shipment!K:K),0),IFERROR(_xlfn.XLOOKUP($D5,MENA!$C:$C,MENA!K:K),0),IFERROR(_xlfn.XLOOKUP($D5,UK!$C:$C,UK!K:K),0),IFERROR(_xlfn.XLOOKUP($D5,BMM_Order!$C:$C,BMM_Order!K:K),0),IFERROR(_xlfn.XLOOKUP($D5,'Adhoc-_Backlog'!$C:$C,'Adhoc-_Backlog'!M:M),0))</f>
        <v>0</v>
      </c>
      <c r="U5" s="51">
        <f>SUM(IFERROR(_xlfn.XLOOKUP($D5,Domestic!$C:$C,Domestic!N:N),0),IFERROR(_xlfn.XLOOKUP($D5,'INT-_Manjiri'!$C:$C,'INT-_Manjiri'!M:M),0),IFERROR(_xlfn.XLOOKUP($D5,'USA-_Sea_shipment'!$C:$C,'USA-_Sea_shipment'!M:M),0),IFERROR(_xlfn.XLOOKUP($D5,Amazon_USA_Sea!$C:$C,Amazon_USA_Sea!M:M),0),IFERROR(_xlfn.XLOOKUP($D5,USA_Air_Shipment!$C:$C,USA_Air_Shipment!L:L),0),IFERROR(_xlfn.XLOOKUP($D5,Amazon_USA_Air_Shipment!$C:$C,Amazon_USA_Air_Shipment!L:L),0),IFERROR(_xlfn.XLOOKUP($D5,MENA!$C:$C,MENA!L:L),0),IFERROR(_xlfn.XLOOKUP($D5,UK!$C:$C,UK!L:L),0),IFERROR(_xlfn.XLOOKUP($D5,BMM_Order!$C:$C,BMM_Order!L:L),0),IFERROR(_xlfn.XLOOKUP($D5,'Adhoc-_Backlog'!$C:$C,'Adhoc-_Backlog'!N:N),0))</f>
        <v>0</v>
      </c>
      <c r="V5" s="51">
        <f>SUM(IFERROR(_xlfn.XLOOKUP($D5,Domestic!$C:$C,Domestic!O:O),0),IFERROR(_xlfn.XLOOKUP($D5,'INT-_Manjiri'!$C:$C,'INT-_Manjiri'!N:N),0),IFERROR(_xlfn.XLOOKUP($D5,'USA-_Sea_shipment'!$C:$C,'USA-_Sea_shipment'!N:N),0),IFERROR(_xlfn.XLOOKUP($D5,Amazon_USA_Sea!$C:$C,Amazon_USA_Sea!N:N),0),IFERROR(_xlfn.XLOOKUP($D5,USA_Air_Shipment!$C:$C,USA_Air_Shipment!M:M),0),IFERROR(_xlfn.XLOOKUP($D5,Amazon_USA_Air_Shipment!$C:$C,Amazon_USA_Air_Shipment!M:M),0),IFERROR(_xlfn.XLOOKUP($D5,MENA!$C:$C,MENA!M:M),0),IFERROR(_xlfn.XLOOKUP($D5,UK!$C:$C,UK!M:M),0),IFERROR(_xlfn.XLOOKUP($D5,BMM_Order!$C:$C,BMM_Order!M:M),0),IFERROR(_xlfn.XLOOKUP($D5,'Adhoc-_Backlog'!$C:$C,'Adhoc-_Backlog'!O:O),0))</f>
        <v>0</v>
      </c>
      <c r="W5" s="51">
        <f>SUM(IFERROR(_xlfn.XLOOKUP($D5,Domestic!$C:$C,Domestic!P:P),0),IFERROR(_xlfn.XLOOKUP($D5,'INT-_Manjiri'!$C:$C,'INT-_Manjiri'!O:O),0),IFERROR(_xlfn.XLOOKUP($D5,'USA-_Sea_shipment'!$C:$C,'USA-_Sea_shipment'!O:O),0),IFERROR(_xlfn.XLOOKUP($D5,Amazon_USA_Sea!$C:$C,Amazon_USA_Sea!O:O),0),IFERROR(_xlfn.XLOOKUP($D5,USA_Air_Shipment!$C:$C,USA_Air_Shipment!N:N),0),IFERROR(_xlfn.XLOOKUP($D5,Amazon_USA_Air_Shipment!$C:$C,Amazon_USA_Air_Shipment!N:N),0),IFERROR(_xlfn.XLOOKUP($D5,MENA!$C:$C,MENA!N:N),0),IFERROR(_xlfn.XLOOKUP($D5,UK!$C:$C,UK!N:N),0),IFERROR(_xlfn.XLOOKUP($D5,BMM_Order!$C:$C,BMM_Order!N:N),0),IFERROR(_xlfn.XLOOKUP($D5,'Adhoc-_Backlog'!$C:$C,'Adhoc-_Backlog'!P:P),0))</f>
        <v>0</v>
      </c>
      <c r="X5" s="51">
        <f>SUM(IFERROR(_xlfn.XLOOKUP($D5,Domestic!$C:$C,Domestic!Q:Q),0),IFERROR(_xlfn.XLOOKUP($D5,'INT-_Manjiri'!$C:$C,'INT-_Manjiri'!P:P),0),IFERROR(_xlfn.XLOOKUP($D5,'USA-_Sea_shipment'!$C:$C,'USA-_Sea_shipment'!P:P),0),IFERROR(_xlfn.XLOOKUP($D5,Amazon_USA_Sea!$C:$C,Amazon_USA_Sea!P:P),0),IFERROR(_xlfn.XLOOKUP($D5,USA_Air_Shipment!$C:$C,USA_Air_Shipment!O:O),0),IFERROR(_xlfn.XLOOKUP($D5,Amazon_USA_Air_Shipment!$C:$C,Amazon_USA_Air_Shipment!O:O),0),IFERROR(_xlfn.XLOOKUP($D5,MENA!$C:$C,MENA!O:O),0),IFERROR(_xlfn.XLOOKUP($D5,UK!$C:$C,UK!O:O),0),IFERROR(_xlfn.XLOOKUP($D5,BMM_Order!$C:$C,BMM_Order!O:O),0),IFERROR(_xlfn.XLOOKUP($D5,'Adhoc-_Backlog'!$C:$C,'Adhoc-_Backlog'!Q:Q),0))</f>
        <v>0</v>
      </c>
      <c r="Y5" s="51">
        <f>SUM(IFERROR(_xlfn.XLOOKUP($D5,Domestic!$C:$C,Domestic!R:R),0),IFERROR(_xlfn.XLOOKUP($D5,'INT-_Manjiri'!$C:$C,'INT-_Manjiri'!Q:Q),0),IFERROR(_xlfn.XLOOKUP($D5,'USA-_Sea_shipment'!$C:$C,'USA-_Sea_shipment'!Q:Q),0),IFERROR(_xlfn.XLOOKUP($D5,Amazon_USA_Sea!$C:$C,Amazon_USA_Sea!Q:Q),0),IFERROR(_xlfn.XLOOKUP($D5,USA_Air_Shipment!$C:$C,USA_Air_Shipment!P:P),0),IFERROR(_xlfn.XLOOKUP($D5,Amazon_USA_Air_Shipment!$C:$C,Amazon_USA_Air_Shipment!P:P),0),IFERROR(_xlfn.XLOOKUP($D5,MENA!$C:$C,MENA!P:P),0),IFERROR(_xlfn.XLOOKUP($D5,UK!$C:$C,UK!P:P),0),IFERROR(_xlfn.XLOOKUP($D5,BMM_Order!$C:$C,BMM_Order!P:P),0),IFERROR(_xlfn.XLOOKUP($D5,'Adhoc-_Backlog'!$C:$C,'Adhoc-_Backlog'!R:R),0))</f>
        <v>0</v>
      </c>
      <c r="Z5" s="51">
        <f>SUM(IFERROR(_xlfn.XLOOKUP($D5,Domestic!$C:$C,Domestic!S:S),0),IFERROR(_xlfn.XLOOKUP($D5,'INT-_Manjiri'!$C:$C,'INT-_Manjiri'!R:R),0),IFERROR(_xlfn.XLOOKUP($D5,'USA-_Sea_shipment'!$C:$C,'USA-_Sea_shipment'!R:R),0),IFERROR(_xlfn.XLOOKUP($D5,Amazon_USA_Sea!$C:$C,Amazon_USA_Sea!R:R),0),IFERROR(_xlfn.XLOOKUP($D5,USA_Air_Shipment!$C:$C,USA_Air_Shipment!Q:Q),0),IFERROR(_xlfn.XLOOKUP($D5,Amazon_USA_Air_Shipment!$C:$C,Amazon_USA_Air_Shipment!Q:Q),0),IFERROR(_xlfn.XLOOKUP($D5,MENA!$C:$C,MENA!Q:Q),0),IFERROR(_xlfn.XLOOKUP($D5,UK!$C:$C,UK!Q:Q),0),IFERROR(_xlfn.XLOOKUP($D5,BMM_Order!$C:$C,BMM_Order!Q:Q),0),IFERROR(_xlfn.XLOOKUP($D5,'Adhoc-_Backlog'!$C:$C,'Adhoc-_Backlog'!S:S),0))</f>
        <v>0</v>
      </c>
      <c r="AA5" s="51">
        <f>SUM(IFERROR(_xlfn.XLOOKUP($D5,Domestic!$C:$C,Domestic!T:T),0),IFERROR(_xlfn.XLOOKUP($D5,'INT-_Manjiri'!$C:$C,'INT-_Manjiri'!S:S),0),IFERROR(_xlfn.XLOOKUP($D5,'USA-_Sea_shipment'!$C:$C,'USA-_Sea_shipment'!S:S),0),IFERROR(_xlfn.XLOOKUP($D5,Amazon_USA_Sea!$C:$C,Amazon_USA_Sea!S:S),0),IFERROR(_xlfn.XLOOKUP($D5,USA_Air_Shipment!$C:$C,USA_Air_Shipment!R:R),0),IFERROR(_xlfn.XLOOKUP($D5,Amazon_USA_Air_Shipment!$C:$C,Amazon_USA_Air_Shipment!R:R),0),IFERROR(_xlfn.XLOOKUP($D5,MENA!$C:$C,MENA!R:R),0),IFERROR(_xlfn.XLOOKUP($D5,UK!$C:$C,UK!R:R),0),IFERROR(_xlfn.XLOOKUP($D5,BMM_Order!$C:$C,BMM_Order!R:R),0),IFERROR(_xlfn.XLOOKUP($D5,'Adhoc-_Backlog'!$C:$C,'Adhoc-_Backlog'!T:T),0))</f>
        <v>0</v>
      </c>
      <c r="AB5" s="51">
        <f>SUM(IFERROR(_xlfn.XLOOKUP($D5,Domestic!$C:$C,Domestic!U:U),0),IFERROR(_xlfn.XLOOKUP($D5,'INT-_Manjiri'!$C:$C,'INT-_Manjiri'!T:T),0),IFERROR(_xlfn.XLOOKUP($D5,'USA-_Sea_shipment'!$C:$C,'USA-_Sea_shipment'!T:T),0),IFERROR(_xlfn.XLOOKUP($D5,Amazon_USA_Sea!$C:$C,Amazon_USA_Sea!T:T),0),IFERROR(_xlfn.XLOOKUP($D5,USA_Air_Shipment!$C:$C,USA_Air_Shipment!S:S),0),IFERROR(_xlfn.XLOOKUP($D5,Amazon_USA_Air_Shipment!$C:$C,Amazon_USA_Air_Shipment!S:S),0),IFERROR(_xlfn.XLOOKUP($D5,MENA!$C:$C,MENA!S:S),0),IFERROR(_xlfn.XLOOKUP($D5,UK!$C:$C,UK!S:S),0),IFERROR(_xlfn.XLOOKUP($D5,BMM_Order!$C:$C,BMM_Order!S:S),0),IFERROR(_xlfn.XLOOKUP($D5,'Adhoc-_Backlog'!$C:$C,'Adhoc-_Backlog'!U:U),0))</f>
        <v>0</v>
      </c>
      <c r="AC5" s="51">
        <f>SUM(IFERROR(_xlfn.XLOOKUP($D5,Domestic!$C:$C,Domestic!V:V),0),IFERROR(_xlfn.XLOOKUP($D5,'INT-_Manjiri'!$C:$C,'INT-_Manjiri'!U:U),0),IFERROR(_xlfn.XLOOKUP($D5,'USA-_Sea_shipment'!$C:$C,'USA-_Sea_shipment'!U:U),0),IFERROR(_xlfn.XLOOKUP($D5,Amazon_USA_Sea!$C:$C,Amazon_USA_Sea!U:U),0),IFERROR(_xlfn.XLOOKUP($D5,USA_Air_Shipment!$C:$C,USA_Air_Shipment!T:T),0),IFERROR(_xlfn.XLOOKUP($D5,Amazon_USA_Air_Shipment!$C:$C,Amazon_USA_Air_Shipment!T:T),0),IFERROR(_xlfn.XLOOKUP($D5,MENA!$C:$C,MENA!T:T),0),IFERROR(_xlfn.XLOOKUP($D5,UK!$C:$C,UK!T:T),0),IFERROR(_xlfn.XLOOKUP($D5,BMM_Order!$C:$C,BMM_Order!T:T),0),IFERROR(_xlfn.XLOOKUP($D5,'Adhoc-_Backlog'!$C:$C,'Adhoc-_Backlog'!V:V),0))</f>
        <v>0</v>
      </c>
      <c r="AD5" s="51">
        <f>SUM(IFERROR(_xlfn.XLOOKUP($D5,Domestic!$C:$C,Domestic!W:W),0),IFERROR(_xlfn.XLOOKUP($D5,'INT-_Manjiri'!$C:$C,'INT-_Manjiri'!V:V),0),IFERROR(_xlfn.XLOOKUP($D5,'USA-_Sea_shipment'!$C:$C,'USA-_Sea_shipment'!V:V),0),IFERROR(_xlfn.XLOOKUP($D5,Amazon_USA_Sea!$C:$C,Amazon_USA_Sea!V:V),0),IFERROR(_xlfn.XLOOKUP($D5,USA_Air_Shipment!$C:$C,USA_Air_Shipment!U:U),0),IFERROR(_xlfn.XLOOKUP($D5,Amazon_USA_Air_Shipment!$C:$C,Amazon_USA_Air_Shipment!U:U),0),IFERROR(_xlfn.XLOOKUP($D5,MENA!$C:$C,MENA!U:U),0),IFERROR(_xlfn.XLOOKUP($D5,UK!$C:$C,UK!U:U),0),IFERROR(_xlfn.XLOOKUP($D5,BMM_Order!$C:$C,BMM_Order!U:U),0),IFERROR(_xlfn.XLOOKUP($D5,'Adhoc-_Backlog'!$C:$C,'Adhoc-_Backlog'!W:W),0))</f>
        <v>0</v>
      </c>
      <c r="AE5" s="51">
        <f>SUM(IFERROR(_xlfn.XLOOKUP($D5,Domestic!$C:$C,Domestic!X:X),0),IFERROR(_xlfn.XLOOKUP($D5,'INT-_Manjiri'!$C:$C,'INT-_Manjiri'!W:W),0),IFERROR(_xlfn.XLOOKUP($D5,'USA-_Sea_shipment'!$C:$C,'USA-_Sea_shipment'!W:W),0),IFERROR(_xlfn.XLOOKUP($D5,Amazon_USA_Sea!$C:$C,Amazon_USA_Sea!W:W),0),IFERROR(_xlfn.XLOOKUP($D5,USA_Air_Shipment!$C:$C,USA_Air_Shipment!V:V),0),IFERROR(_xlfn.XLOOKUP($D5,Amazon_USA_Air_Shipment!$C:$C,Amazon_USA_Air_Shipment!V:V),0),IFERROR(_xlfn.XLOOKUP($D5,MENA!$C:$C,MENA!V:V),0),IFERROR(_xlfn.XLOOKUP($D5,UK!$C:$C,UK!V:V),0),IFERROR(_xlfn.XLOOKUP($D5,BMM_Order!$C:$C,BMM_Order!V:V),0),IFERROR(_xlfn.XLOOKUP($D5,'Adhoc-_Backlog'!$C:$C,'Adhoc-_Backlog'!X:X),0))</f>
        <v>0</v>
      </c>
      <c r="AF5" s="51">
        <f>SUM(IFERROR(_xlfn.XLOOKUP($D5,Domestic!$C:$C,Domestic!Y:Y),0),IFERROR(_xlfn.XLOOKUP($D5,'INT-_Manjiri'!$C:$C,'INT-_Manjiri'!X:X),0),IFERROR(_xlfn.XLOOKUP($D5,'USA-_Sea_shipment'!$C:$C,'USA-_Sea_shipment'!X:X),0),IFERROR(_xlfn.XLOOKUP($D5,Amazon_USA_Sea!$C:$C,Amazon_USA_Sea!X:X),0),IFERROR(_xlfn.XLOOKUP($D5,USA_Air_Shipment!$C:$C,USA_Air_Shipment!W:W),0),IFERROR(_xlfn.XLOOKUP($D5,Amazon_USA_Air_Shipment!$C:$C,Amazon_USA_Air_Shipment!W:W),0),IFERROR(_xlfn.XLOOKUP($D5,MENA!$C:$C,MENA!W:W),0),IFERROR(_xlfn.XLOOKUP($D5,UK!$C:$C,UK!W:W),0),IFERROR(_xlfn.XLOOKUP($D5,BMM_Order!$C:$C,BMM_Order!W:W),0),IFERROR(_xlfn.XLOOKUP($D5,'Adhoc-_Backlog'!$C:$C,'Adhoc-_Backlog'!Y:Y),0))</f>
        <v>0</v>
      </c>
      <c r="AG5" s="51">
        <f>SUM(IFERROR(_xlfn.XLOOKUP($D5,Domestic!$C:$C,Domestic!Z:Z),0),IFERROR(_xlfn.XLOOKUP($D5,'INT-_Manjiri'!$C:$C,'INT-_Manjiri'!Y:Y),0),IFERROR(_xlfn.XLOOKUP($D5,'USA-_Sea_shipment'!$C:$C,'USA-_Sea_shipment'!Y:Y),0),IFERROR(_xlfn.XLOOKUP($D5,Amazon_USA_Sea!$C:$C,Amazon_USA_Sea!Y:Y),0),IFERROR(_xlfn.XLOOKUP($D5,USA_Air_Shipment!$C:$C,USA_Air_Shipment!X:X),0),IFERROR(_xlfn.XLOOKUP($D5,Amazon_USA_Air_Shipment!$C:$C,Amazon_USA_Air_Shipment!X:X),0),IFERROR(_xlfn.XLOOKUP($D5,MENA!$C:$C,MENA!X:X),0),IFERROR(_xlfn.XLOOKUP($D5,UK!$C:$C,UK!X:X),0),IFERROR(_xlfn.XLOOKUP($D5,BMM_Order!$C:$C,BMM_Order!X:X),0),IFERROR(_xlfn.XLOOKUP($D5,'Adhoc-_Backlog'!$C:$C,'Adhoc-_Backlog'!Z:Z),0))</f>
        <v>0</v>
      </c>
      <c r="AH5" s="51">
        <f>SUM(IFERROR(_xlfn.XLOOKUP($D5,Domestic!$C:$C,Domestic!AA:AA),0),IFERROR(_xlfn.XLOOKUP($D5,'INT-_Manjiri'!$C:$C,'INT-_Manjiri'!Z:Z),0),IFERROR(_xlfn.XLOOKUP($D5,'USA-_Sea_shipment'!$C:$C,'USA-_Sea_shipment'!Z:Z),0),IFERROR(_xlfn.XLOOKUP($D5,Amazon_USA_Sea!$C:$C,Amazon_USA_Sea!Z:Z),0),IFERROR(_xlfn.XLOOKUP($D5,USA_Air_Shipment!$C:$C,USA_Air_Shipment!Y:Y),0),IFERROR(_xlfn.XLOOKUP($D5,Amazon_USA_Air_Shipment!$C:$C,Amazon_USA_Air_Shipment!Y:Y),0),IFERROR(_xlfn.XLOOKUP($D5,MENA!$C:$C,MENA!Y:Y),0),IFERROR(_xlfn.XLOOKUP($D5,UK!$C:$C,UK!Y:Y),0),IFERROR(_xlfn.XLOOKUP($D5,BMM_Order!$C:$C,BMM_Order!Y:Y),0),IFERROR(_xlfn.XLOOKUP($D5,'Adhoc-_Backlog'!$C:$C,'Adhoc-_Backlog'!AA:AA),0))</f>
        <v>0</v>
      </c>
      <c r="AI5" s="51">
        <f>SUM(IFERROR(_xlfn.XLOOKUP($D5,Domestic!$C:$C,Domestic!AB:AB),0),IFERROR(_xlfn.XLOOKUP($D5,'INT-_Manjiri'!$C:$C,'INT-_Manjiri'!AA:AA),0),IFERROR(_xlfn.XLOOKUP($D5,'USA-_Sea_shipment'!$C:$C,'USA-_Sea_shipment'!AA:AA),0),IFERROR(_xlfn.XLOOKUP($D5,Amazon_USA_Sea!$C:$C,Amazon_USA_Sea!AA:AA),0),IFERROR(_xlfn.XLOOKUP($D5,USA_Air_Shipment!$C:$C,USA_Air_Shipment!Z:Z),0),IFERROR(_xlfn.XLOOKUP($D5,Amazon_USA_Air_Shipment!$C:$C,Amazon_USA_Air_Shipment!Z:Z),0),IFERROR(_xlfn.XLOOKUP($D5,MENA!$C:$C,MENA!Z:Z),0),IFERROR(_xlfn.XLOOKUP($D5,UK!$C:$C,UK!Z:Z),0),IFERROR(_xlfn.XLOOKUP($D5,BMM_Order!$C:$C,BMM_Order!Z:Z),0),IFERROR(_xlfn.XLOOKUP($D5,'Adhoc-_Backlog'!$C:$C,'Adhoc-_Backlog'!AB:AB),0))</f>
        <v>0</v>
      </c>
      <c r="AJ5" s="51">
        <f>SUM(IFERROR(_xlfn.XLOOKUP($D5,Domestic!$C:$C,Domestic!AC:AC),0),IFERROR(_xlfn.XLOOKUP($D5,'INT-_Manjiri'!$C:$C,'INT-_Manjiri'!AB:AB),0),IFERROR(_xlfn.XLOOKUP($D5,'USA-_Sea_shipment'!$C:$C,'USA-_Sea_shipment'!AB:AB),0),IFERROR(_xlfn.XLOOKUP($D5,Amazon_USA_Sea!$C:$C,Amazon_USA_Sea!AB:AB),0),IFERROR(_xlfn.XLOOKUP($D5,USA_Air_Shipment!$C:$C,USA_Air_Shipment!AA:AA),0),IFERROR(_xlfn.XLOOKUP($D5,Amazon_USA_Air_Shipment!$C:$C,Amazon_USA_Air_Shipment!AA:AA),0),IFERROR(_xlfn.XLOOKUP($D5,MENA!$C:$C,MENA!AA:AA),0),IFERROR(_xlfn.XLOOKUP($D5,UK!$C:$C,UK!AA:AA),0),IFERROR(_xlfn.XLOOKUP($D5,BMM_Order!$C:$C,BMM_Order!AA:AA),0),IFERROR(_xlfn.XLOOKUP($D5,'Adhoc-_Backlog'!$C:$C,'Adhoc-_Backlog'!AC:AC),0))</f>
        <v>0</v>
      </c>
      <c r="AK5" s="51">
        <f>SUM(IFERROR(_xlfn.XLOOKUP($D5,Domestic!$C:$C,Domestic!AD:AD),0),IFERROR(_xlfn.XLOOKUP($D5,'INT-_Manjiri'!$C:$C,'INT-_Manjiri'!AC:AC),0),IFERROR(_xlfn.XLOOKUP($D5,'USA-_Sea_shipment'!$C:$C,'USA-_Sea_shipment'!AC:AC),0),IFERROR(_xlfn.XLOOKUP($D5,Amazon_USA_Sea!$C:$C,Amazon_USA_Sea!AC:AC),0),IFERROR(_xlfn.XLOOKUP($D5,USA_Air_Shipment!$C:$C,USA_Air_Shipment!AB:AB),0),IFERROR(_xlfn.XLOOKUP($D5,Amazon_USA_Air_Shipment!$C:$C,Amazon_USA_Air_Shipment!AB:AB),0),IFERROR(_xlfn.XLOOKUP($D5,MENA!$C:$C,MENA!AB:AB),0),IFERROR(_xlfn.XLOOKUP($D5,UK!$C:$C,UK!AB:AB),0),IFERROR(_xlfn.XLOOKUP($D5,BMM_Order!$C:$C,BMM_Order!AB:AB),0),IFERROR(_xlfn.XLOOKUP($D5,'Adhoc-_Backlog'!$C:$C,'Adhoc-_Backlog'!AD:AD),0))</f>
        <v>0</v>
      </c>
      <c r="AL5" s="51">
        <f>SUM(IFERROR(_xlfn.XLOOKUP($D5,Domestic!$C:$C,Domestic!AE:AE),0),IFERROR(_xlfn.XLOOKUP($D5,'INT-_Manjiri'!$C:$C,'INT-_Manjiri'!AD:AD),0),IFERROR(_xlfn.XLOOKUP($D5,'USA-_Sea_shipment'!$C:$C,'USA-_Sea_shipment'!AD:AD),0),IFERROR(_xlfn.XLOOKUP($D5,Amazon_USA_Sea!$C:$C,Amazon_USA_Sea!AD:AD),0),IFERROR(_xlfn.XLOOKUP($D5,USA_Air_Shipment!$C:$C,USA_Air_Shipment!AC:AC),0),IFERROR(_xlfn.XLOOKUP($D5,Amazon_USA_Air_Shipment!$C:$C,Amazon_USA_Air_Shipment!AC:AC),0),IFERROR(_xlfn.XLOOKUP($D5,MENA!$C:$C,MENA!AC:AC),0),IFERROR(_xlfn.XLOOKUP($D5,UK!$C:$C,UK!AC:AC),0),IFERROR(_xlfn.XLOOKUP($D5,BMM_Order!$C:$C,BMM_Order!AC:AC),0),IFERROR(_xlfn.XLOOKUP($D5,'Adhoc-_Backlog'!$C:$C,'Adhoc-_Backlog'!AE:AE),0))</f>
        <v>46</v>
      </c>
      <c r="AM5" s="51">
        <f>SUM(IFERROR(_xlfn.XLOOKUP($D5,Domestic!$C:$C,Domestic!AF:AF),0),IFERROR(_xlfn.XLOOKUP($D5,'INT-_Manjiri'!$C:$C,'INT-_Manjiri'!AE:AE),0),IFERROR(_xlfn.XLOOKUP($D5,'USA-_Sea_shipment'!$C:$C,'USA-_Sea_shipment'!AE:AE),0),IFERROR(_xlfn.XLOOKUP($D5,Amazon_USA_Sea!$C:$C,Amazon_USA_Sea!AE:AE),0),IFERROR(_xlfn.XLOOKUP($D5,USA_Air_Shipment!$C:$C,USA_Air_Shipment!AD:AD),0),IFERROR(_xlfn.XLOOKUP($D5,Amazon_USA_Air_Shipment!$C:$C,Amazon_USA_Air_Shipment!AD:AD),0),IFERROR(_xlfn.XLOOKUP($D5,MENA!$C:$C,MENA!AD:AD),0),IFERROR(_xlfn.XLOOKUP($D5,UK!$C:$C,UK!AD:AD),0),IFERROR(_xlfn.XLOOKUP($D5,BMM_Order!$C:$C,BMM_Order!AD:AD),0),IFERROR(_xlfn.XLOOKUP($D5,'Adhoc-_Backlog'!$C:$C,'Adhoc-_Backlog'!AF:AF),0))</f>
        <v>0</v>
      </c>
      <c r="AN5" s="51">
        <f>SUM(IFERROR(_xlfn.XLOOKUP($D5,Domestic!$C:$C,Domestic!AG:AG),0),IFERROR(_xlfn.XLOOKUP($D5,'INT-_Manjiri'!$C:$C,'INT-_Manjiri'!AF:AF),0),IFERROR(_xlfn.XLOOKUP($D5,'USA-_Sea_shipment'!$C:$C,'USA-_Sea_shipment'!AF:AF),0),IFERROR(_xlfn.XLOOKUP($D5,Amazon_USA_Sea!$C:$C,Amazon_USA_Sea!AF:AF),0),IFERROR(_xlfn.XLOOKUP($D5,USA_Air_Shipment!$C:$C,USA_Air_Shipment!AE:AE),0),IFERROR(_xlfn.XLOOKUP($D5,Amazon_USA_Air_Shipment!$C:$C,Amazon_USA_Air_Shipment!AE:AE),0),IFERROR(_xlfn.XLOOKUP($D5,MENA!$C:$C,MENA!AE:AE),0),IFERROR(_xlfn.XLOOKUP($D5,UK!$C:$C,UK!AE:AE),0),IFERROR(_xlfn.XLOOKUP($D5,BMM_Order!$C:$C,BMM_Order!AE:AE),0),IFERROR(_xlfn.XLOOKUP($D5,'Adhoc-_Backlog'!$C:$C,'Adhoc-_Backlog'!AG:AG),0))</f>
        <v>0</v>
      </c>
      <c r="AO5" s="51">
        <f>SUM(IFERROR(_xlfn.XLOOKUP($D5,Domestic!$C:$C,Domestic!AH:AH),0),IFERROR(_xlfn.XLOOKUP($D5,'INT-_Manjiri'!$C:$C,'INT-_Manjiri'!AG:AG),0),IFERROR(_xlfn.XLOOKUP($D5,'USA-_Sea_shipment'!$C:$C,'USA-_Sea_shipment'!AG:AG),0),IFERROR(_xlfn.XLOOKUP($D5,Amazon_USA_Sea!$C:$C,Amazon_USA_Sea!AG:AG),0),IFERROR(_xlfn.XLOOKUP($D5,USA_Air_Shipment!$C:$C,USA_Air_Shipment!AF:AF),0),IFERROR(_xlfn.XLOOKUP($D5,Amazon_USA_Air_Shipment!$C:$C,Amazon_USA_Air_Shipment!AF:AF),0),IFERROR(_xlfn.XLOOKUP($D5,MENA!$C:$C,MENA!AF:AF),0),IFERROR(_xlfn.XLOOKUP($D5,UK!$C:$C,UK!AF:AF),0),IFERROR(_xlfn.XLOOKUP($D5,BMM_Order!$C:$C,BMM_Order!AF:AF),0),IFERROR(_xlfn.XLOOKUP($D5,'Adhoc-_Backlog'!$C:$C,'Adhoc-_Backlog'!AH:AH),0))</f>
        <v>0</v>
      </c>
      <c r="AP5" s="51">
        <f>SUM(IFERROR(_xlfn.XLOOKUP($D5,Domestic!$C:$C,Domestic!AI:AI),0),IFERROR(_xlfn.XLOOKUP($D5,'INT-_Manjiri'!$C:$C,'INT-_Manjiri'!AH:AH),0),IFERROR(_xlfn.XLOOKUP($D5,'USA-_Sea_shipment'!$C:$C,'USA-_Sea_shipment'!AH:AH),0),IFERROR(_xlfn.XLOOKUP($D5,Amazon_USA_Sea!$C:$C,Amazon_USA_Sea!AH:AH),0),IFERROR(_xlfn.XLOOKUP($D5,USA_Air_Shipment!$C:$C,USA_Air_Shipment!AG:AG),0),IFERROR(_xlfn.XLOOKUP($D5,Amazon_USA_Air_Shipment!$C:$C,Amazon_USA_Air_Shipment!AG:AG),0),IFERROR(_xlfn.XLOOKUP($D5,MENA!$C:$C,MENA!AG:AG),0),IFERROR(_xlfn.XLOOKUP($D5,UK!$C:$C,UK!AG:AG),0),IFERROR(_xlfn.XLOOKUP($D5,BMM_Order!$C:$C,BMM_Order!AG:AG),0),IFERROR(_xlfn.XLOOKUP($D5,'Adhoc-_Backlog'!$C:$C,'Adhoc-_Backlog'!AI:AI),0))</f>
        <v>0</v>
      </c>
      <c r="AQ5" s="51">
        <f>SUM(IFERROR(_xlfn.XLOOKUP($D5,Domestic!$C:$C,Domestic!AJ:AJ),0),IFERROR(_xlfn.XLOOKUP($D5,'INT-_Manjiri'!$C:$C,'INT-_Manjiri'!AI:AI),0),IFERROR(_xlfn.XLOOKUP($D5,'USA-_Sea_shipment'!$C:$C,'USA-_Sea_shipment'!AI:AI),0),IFERROR(_xlfn.XLOOKUP($D5,Amazon_USA_Sea!$C:$C,Amazon_USA_Sea!AI:AI),0),IFERROR(_xlfn.XLOOKUP($D5,USA_Air_Shipment!$C:$C,USA_Air_Shipment!AH:AH),0),IFERROR(_xlfn.XLOOKUP($D5,Amazon_USA_Air_Shipment!$C:$C,Amazon_USA_Air_Shipment!AH:AH),0),IFERROR(_xlfn.XLOOKUP($D5,MENA!$C:$C,MENA!AH:AH),0),IFERROR(_xlfn.XLOOKUP($D5,UK!$C:$C,UK!AH:AH),0),IFERROR(_xlfn.XLOOKUP($D5,BMM_Order!$C:$C,BMM_Order!AH:AH),0),IFERROR(_xlfn.XLOOKUP($D5,'Adhoc-_Backlog'!$C:$C,'Adhoc-_Backlog'!AJ:AJ),0))</f>
        <v>0</v>
      </c>
      <c r="AR5" s="51">
        <f>SUM(IFERROR(_xlfn.XLOOKUP($D5,Domestic!$C:$C,Domestic!AK:AK),0),IFERROR(_xlfn.XLOOKUP($D5,'INT-_Manjiri'!$C:$C,'INT-_Manjiri'!AJ:AJ),0),IFERROR(_xlfn.XLOOKUP($D5,'USA-_Sea_shipment'!$C:$C,'USA-_Sea_shipment'!AJ:AJ),0),IFERROR(_xlfn.XLOOKUP($D5,Amazon_USA_Sea!$C:$C,Amazon_USA_Sea!AJ:AJ),0),IFERROR(_xlfn.XLOOKUP($D5,USA_Air_Shipment!$C:$C,USA_Air_Shipment!AI:AI),0),IFERROR(_xlfn.XLOOKUP($D5,Amazon_USA_Air_Shipment!$C:$C,Amazon_USA_Air_Shipment!AI:AI),0),IFERROR(_xlfn.XLOOKUP($D5,MENA!$C:$C,MENA!AI:AI),0),IFERROR(_xlfn.XLOOKUP($D5,UK!$C:$C,UK!AI:AI),0),IFERROR(_xlfn.XLOOKUP($D5,BMM_Order!$C:$C,BMM_Order!AI:AI),0),IFERROR(_xlfn.XLOOKUP($D5,'Adhoc-_Backlog'!$C:$C,'Adhoc-_Backlog'!AK:AK),0))</f>
        <v>0</v>
      </c>
      <c r="AS5" s="51">
        <f>SUM(IFERROR(_xlfn.XLOOKUP($D5,Domestic!$C:$C,Domestic!AL:AL),0),IFERROR(_xlfn.XLOOKUP($D5,'INT-_Manjiri'!$C:$C,'INT-_Manjiri'!AK:AK),0),IFERROR(_xlfn.XLOOKUP($D5,'USA-_Sea_shipment'!$C:$C,'USA-_Sea_shipment'!AK:AK),0),IFERROR(_xlfn.XLOOKUP($D5,Amazon_USA_Sea!$C:$C,Amazon_USA_Sea!AK:AK),0),IFERROR(_xlfn.XLOOKUP($D5,USA_Air_Shipment!$C:$C,USA_Air_Shipment!AJ:AJ),0),IFERROR(_xlfn.XLOOKUP($D5,Amazon_USA_Air_Shipment!$C:$C,Amazon_USA_Air_Shipment!AJ:AJ),0),IFERROR(_xlfn.XLOOKUP($D5,MENA!$C:$C,MENA!AJ:AJ),0),IFERROR(_xlfn.XLOOKUP($D5,UK!$C:$C,UK!AJ:AJ),0),IFERROR(_xlfn.XLOOKUP($D5,BMM_Order!$C:$C,BMM_Order!AJ:AJ),0),IFERROR(_xlfn.XLOOKUP($D5,'Adhoc-_Backlog'!$C:$C,'Adhoc-_Backlog'!AL:AL),0))</f>
        <v>0</v>
      </c>
      <c r="AT5" s="51">
        <f>SUM(IFERROR(_xlfn.XLOOKUP($D5,Domestic!$C:$C,Domestic!AM:AM),0),IFERROR(_xlfn.XLOOKUP($D5,'INT-_Manjiri'!$C:$C,'INT-_Manjiri'!AL:AL),0),IFERROR(_xlfn.XLOOKUP($D5,'USA-_Sea_shipment'!$C:$C,'USA-_Sea_shipment'!AL:AL),0),IFERROR(_xlfn.XLOOKUP($D5,Amazon_USA_Sea!$C:$C,Amazon_USA_Sea!AL:AL),0),IFERROR(_xlfn.XLOOKUP($D5,USA_Air_Shipment!$C:$C,USA_Air_Shipment!AK:AK),0),IFERROR(_xlfn.XLOOKUP($D5,Amazon_USA_Air_Shipment!$C:$C,Amazon_USA_Air_Shipment!AK:AK),0),IFERROR(_xlfn.XLOOKUP($D5,MENA!$C:$C,MENA!AK:AK),0),IFERROR(_xlfn.XLOOKUP($D5,UK!$C:$C,UK!AK:AK),0),IFERROR(_xlfn.XLOOKUP($D5,BMM_Order!$C:$C,BMM_Order!AK:AK),0),IFERROR(_xlfn.XLOOKUP($D5,'Adhoc-_Backlog'!$C:$C,'Adhoc-_Backlog'!AM:AM),0))</f>
        <v>0</v>
      </c>
      <c r="AU5" s="51">
        <f>SUM(IFERROR(_xlfn.XLOOKUP($D5,Domestic!$C:$C,Domestic!AN:AN),0),IFERROR(_xlfn.XLOOKUP($D5,'INT-_Manjiri'!$C:$C,'INT-_Manjiri'!AM:AM),0),IFERROR(_xlfn.XLOOKUP($D5,'USA-_Sea_shipment'!$C:$C,'USA-_Sea_shipment'!AM:AM),0),IFERROR(_xlfn.XLOOKUP($D5,Amazon_USA_Sea!$C:$C,Amazon_USA_Sea!AM:AM),0),IFERROR(_xlfn.XLOOKUP($D5,USA_Air_Shipment!$C:$C,USA_Air_Shipment!AL:AL),0),IFERROR(_xlfn.XLOOKUP($D5,Amazon_USA_Air_Shipment!$C:$C,Amazon_USA_Air_Shipment!AL:AL),0),IFERROR(_xlfn.XLOOKUP($D5,MENA!$C:$C,MENA!AL:AL),0),IFERROR(_xlfn.XLOOKUP($D5,UK!$C:$C,UK!AL:AL),0),IFERROR(_xlfn.XLOOKUP($D5,BMM_Order!$C:$C,BMM_Order!AL:AL),0),IFERROR(_xlfn.XLOOKUP($D5,'Adhoc-_Backlog'!$C:$C,'Adhoc-_Backlog'!AN:AN),0))</f>
        <v>0</v>
      </c>
      <c r="AV5" s="51">
        <f>SUM(IFERROR(_xlfn.XLOOKUP($D5,Domestic!$C:$C,Domestic!AO:AO),0),IFERROR(_xlfn.XLOOKUP($D5,'INT-_Manjiri'!$C:$C,'INT-_Manjiri'!AN:AN),0),IFERROR(_xlfn.XLOOKUP($D5,'USA-_Sea_shipment'!$C:$C,'USA-_Sea_shipment'!AN:AN),0),IFERROR(_xlfn.XLOOKUP($D5,Amazon_USA_Sea!$C:$C,Amazon_USA_Sea!AN:AN),0),IFERROR(_xlfn.XLOOKUP($D5,USA_Air_Shipment!$C:$C,USA_Air_Shipment!AM:AM),0),IFERROR(_xlfn.XLOOKUP($D5,Amazon_USA_Air_Shipment!$C:$C,Amazon_USA_Air_Shipment!AM:AM),0),IFERROR(_xlfn.XLOOKUP($D5,MENA!$C:$C,MENA!AM:AM),0),IFERROR(_xlfn.XLOOKUP($D5,UK!$C:$C,UK!AM:AM),0),IFERROR(_xlfn.XLOOKUP($D5,BMM_Order!$C:$C,BMM_Order!AM:AM),0),IFERROR(_xlfn.XLOOKUP($D5,'Adhoc-_Backlog'!$C:$C,'Adhoc-_Backlog'!AO:AO),0))</f>
        <v>0</v>
      </c>
      <c r="AW5" s="51">
        <f>SUM(IFERROR(_xlfn.XLOOKUP($D5,Domestic!$C:$C,Domestic!AP:AP),0),IFERROR(_xlfn.XLOOKUP($D5,'INT-_Manjiri'!$C:$C,'INT-_Manjiri'!AO:AO),0),IFERROR(_xlfn.XLOOKUP($D5,'USA-_Sea_shipment'!$C:$C,'USA-_Sea_shipment'!AO:AO),0),IFERROR(_xlfn.XLOOKUP($D5,Amazon_USA_Sea!$C:$C,Amazon_USA_Sea!AO:AO),0),IFERROR(_xlfn.XLOOKUP($D5,USA_Air_Shipment!$C:$C,USA_Air_Shipment!AN:AN),0),IFERROR(_xlfn.XLOOKUP($D5,Amazon_USA_Air_Shipment!$C:$C,Amazon_USA_Air_Shipment!AN:AN),0),IFERROR(_xlfn.XLOOKUP($D5,MENA!$C:$C,MENA!AN:AN),0),IFERROR(_xlfn.XLOOKUP($D5,UK!$C:$C,UK!AN:AN),0),IFERROR(_xlfn.XLOOKUP($D5,BMM_Order!$C:$C,BMM_Order!AN:AN),0),IFERROR(_xlfn.XLOOKUP($D5,'Adhoc-_Backlog'!$C:$C,'Adhoc-_Backlog'!AP:AP),0))</f>
        <v>0</v>
      </c>
      <c r="AX5" s="51">
        <f>SUM(IFERROR(_xlfn.XLOOKUP($D5,Domestic!$C:$C,Domestic!AQ:AQ),0),IFERROR(_xlfn.XLOOKUP($D5,'INT-_Manjiri'!$C:$C,'INT-_Manjiri'!AP:AP),0),IFERROR(_xlfn.XLOOKUP($D5,'USA-_Sea_shipment'!$C:$C,'USA-_Sea_shipment'!AP:AP),0),IFERROR(_xlfn.XLOOKUP($D5,Amazon_USA_Sea!$C:$C,Amazon_USA_Sea!AP:AP),0),IFERROR(_xlfn.XLOOKUP($D5,USA_Air_Shipment!$C:$C,USA_Air_Shipment!AO:AO),0),IFERROR(_xlfn.XLOOKUP($D5,Amazon_USA_Air_Shipment!$C:$C,Amazon_USA_Air_Shipment!AO:AO),0),IFERROR(_xlfn.XLOOKUP($D5,MENA!$C:$C,MENA!AO:AO),0),IFERROR(_xlfn.XLOOKUP($D5,UK!$C:$C,UK!AO:AO),0),IFERROR(_xlfn.XLOOKUP($D5,BMM_Order!$C:$C,BMM_Order!AO:AO),0),IFERROR(_xlfn.XLOOKUP($D5,'Adhoc-_Backlog'!$C:$C,'Adhoc-_Backlog'!AQ:AQ),0))</f>
        <v>0</v>
      </c>
      <c r="AY5" s="51">
        <f>SUM(IFERROR(_xlfn.XLOOKUP($D5,Domestic!$C:$C,Domestic!AR:AR),0),IFERROR(_xlfn.XLOOKUP($D5,'INT-_Manjiri'!$C:$C,'INT-_Manjiri'!AQ:AQ),0),IFERROR(_xlfn.XLOOKUP($D5,'USA-_Sea_shipment'!$C:$C,'USA-_Sea_shipment'!AQ:AQ),0),IFERROR(_xlfn.XLOOKUP($D5,Amazon_USA_Sea!$C:$C,Amazon_USA_Sea!AQ:AQ),0),IFERROR(_xlfn.XLOOKUP($D5,USA_Air_Shipment!$C:$C,USA_Air_Shipment!AP:AP),0),IFERROR(_xlfn.XLOOKUP($D5,Amazon_USA_Air_Shipment!$C:$C,Amazon_USA_Air_Shipment!AP:AP),0),IFERROR(_xlfn.XLOOKUP($D5,MENA!$C:$C,MENA!AP:AP),0),IFERROR(_xlfn.XLOOKUP($D5,UK!$C:$C,UK!AP:AP),0),IFERROR(_xlfn.XLOOKUP($D5,BMM_Order!$C:$C,BMM_Order!AP:AP),0),IFERROR(_xlfn.XLOOKUP($D5,'Adhoc-_Backlog'!$C:$C,'Adhoc-_Backlog'!AR:AR),0))</f>
        <v>0</v>
      </c>
      <c r="AZ5" s="51">
        <f>SUM(IFERROR(_xlfn.XLOOKUP($D5,Domestic!$C:$C,Domestic!AS:AS),0),IFERROR(_xlfn.XLOOKUP($D5,'INT-_Manjiri'!$C:$C,'INT-_Manjiri'!AR:AR),0),IFERROR(_xlfn.XLOOKUP($D5,'USA-_Sea_shipment'!$C:$C,'USA-_Sea_shipment'!AR:AR),0),IFERROR(_xlfn.XLOOKUP($D5,Amazon_USA_Sea!$C:$C,Amazon_USA_Sea!AR:AR),0),IFERROR(_xlfn.XLOOKUP($D5,USA_Air_Shipment!$C:$C,USA_Air_Shipment!AQ:AQ),0),IFERROR(_xlfn.XLOOKUP($D5,Amazon_USA_Air_Shipment!$C:$C,Amazon_USA_Air_Shipment!AQ:AQ),0),IFERROR(_xlfn.XLOOKUP($D5,MENA!$C:$C,MENA!AQ:AQ),0),IFERROR(_xlfn.XLOOKUP($D5,UK!$C:$C,UK!AQ:AQ),0),IFERROR(_xlfn.XLOOKUP($D5,BMM_Order!$C:$C,BMM_Order!AQ:AQ),0),IFERROR(_xlfn.XLOOKUP($D5,'Adhoc-_Backlog'!$C:$C,'Adhoc-_Backlog'!AS:AS),0))</f>
        <v>0</v>
      </c>
      <c r="BA5" s="51">
        <f>SUM(IFERROR(_xlfn.XLOOKUP($D5,Domestic!$C:$C,Domestic!AT:AT),0),IFERROR(_xlfn.XLOOKUP($D5,'INT-_Manjiri'!$C:$C,'INT-_Manjiri'!AS:AS),0),IFERROR(_xlfn.XLOOKUP($D5,'USA-_Sea_shipment'!$C:$C,'USA-_Sea_shipment'!AS:AS),0),IFERROR(_xlfn.XLOOKUP($D5,Amazon_USA_Sea!$C:$C,Amazon_USA_Sea!AS:AS),0),IFERROR(_xlfn.XLOOKUP($D5,USA_Air_Shipment!$C:$C,USA_Air_Shipment!AR:AR),0),IFERROR(_xlfn.XLOOKUP($D5,Amazon_USA_Air_Shipment!$C:$C,Amazon_USA_Air_Shipment!AR:AR),0),IFERROR(_xlfn.XLOOKUP($D5,MENA!$C:$C,MENA!AR:AR),0),IFERROR(_xlfn.XLOOKUP($D5,UK!$C:$C,UK!AR:AR),0),IFERROR(_xlfn.XLOOKUP($D5,BMM_Order!$C:$C,BMM_Order!AR:AR),0),IFERROR(_xlfn.XLOOKUP($D5,'Adhoc-_Backlog'!$C:$C,'Adhoc-_Backlog'!AT:AT),0))</f>
        <v>0</v>
      </c>
      <c r="BB5" s="52">
        <f t="shared" si="2"/>
        <v>46</v>
      </c>
      <c r="BC5" s="53">
        <f t="shared" si="3"/>
        <v>11.5</v>
      </c>
      <c r="BD5" s="51">
        <f t="shared" si="4"/>
        <v>29</v>
      </c>
      <c r="BE5" s="53">
        <f t="shared" si="5"/>
        <v>7.25</v>
      </c>
      <c r="BF5" s="54">
        <f t="shared" si="6"/>
        <v>0.61333333333333329</v>
      </c>
      <c r="BG5" s="55" t="str">
        <f>_xlfn.TEXTJOIN(" | ",TRUE,IFERROR(_xlfn.XLOOKUP($D5,Domestic!$C:$C,Domestic!$BG:$BG,""),""),IFERROR(_xlfn.XLOOKUP($D5,'INT-_Manjiri'!$C:$C,'INT-_Manjiri'!$AY:$AY,""),""),IFERROR(_xlfn.XLOOKUP($D5,'USA-_Sea_shipment'!$C:$C,'USA-_Sea_shipment'!#REF!,""),""),IFERROR(_xlfn.XLOOKUP($D5,Amazon_USA_Sea!$C:$C,Amazon_USA_Sea!$AY:$AY,""),""),IFERROR(_xlfn.XLOOKUP($D5,USA_Air_Shipment!$C:$C,USA_Air_Shipment!$AW:$AW,""),""),IFERROR(_xlfn.XLOOKUP($D5,Amazon_USA_Air_Shipment!$C:$C,Amazon_USA_Air_Shipment!$AW:$AW,""),""),IFERROR(_xlfn.XLOOKUP($D5,MENA!$C:$C,MENA!$AW:$AW,""),""),IFERROR(_xlfn.XLOOKUP($D5,UK!$C:$C,UK!$BA:$BA,""),""),IFERROR(_xlfn.XLOOKUP($D5,BMM_Order!$C:$C,BMM_Order!$BA:$BA,""),""),IFERROR(_xlfn.XLOOKUP($D5,'Adhoc-_Backlog'!$C:$C,'Adhoc-_Backlog'!$BD:$BD,""),""))</f>
        <v/>
      </c>
      <c r="BH5" s="55">
        <f>_xlfn.XLOOKUP(D5,Raw_Data!A:A,Raw_Data!B:B)</f>
        <v>54</v>
      </c>
      <c r="BI5" s="56">
        <f t="shared" si="7"/>
        <v>21.6</v>
      </c>
      <c r="BJ5" s="55">
        <f t="shared" si="8"/>
        <v>3</v>
      </c>
      <c r="BK5" s="57" t="str">
        <f t="shared" si="9"/>
        <v>P3 – Normal</v>
      </c>
      <c r="BL5" t="s">
        <v>120</v>
      </c>
    </row>
    <row r="6" spans="1:64" ht="13">
      <c r="A6" s="58">
        <f>14</f>
        <v>14</v>
      </c>
      <c r="B6" s="45" t="s">
        <v>12</v>
      </c>
      <c r="C6" s="59"/>
      <c r="D6" s="60" t="str">
        <f>Projection_!A17</f>
        <v>FG00227</v>
      </c>
      <c r="E6" s="61" t="str">
        <f>Projection_!B17</f>
        <v>Shatavari Ghee - 250 gm</v>
      </c>
      <c r="F6" s="62">
        <v>0.25</v>
      </c>
      <c r="G6" s="63">
        <f>IFERROR(_xlfn.XLOOKUP($D6,Projection_!$A:$A,Projection_!$J:$J),0)</f>
        <v>226</v>
      </c>
      <c r="H6" s="63">
        <f>IFERROR(_xlfn.XLOOKUP($D6,Projection_!$A:$A,Projection_!$K:$K),0)</f>
        <v>0</v>
      </c>
      <c r="I6" s="63">
        <f>IFERROR(_xlfn.XLOOKUP($D6,Projection_!$A:$A,Projection_!$L:$L),0)</f>
        <v>93</v>
      </c>
      <c r="J6" s="63">
        <f>IFERROR(_xlfn.XLOOKUP($D6,Projection_!$A:$A,Projection_!$M:$M),0)</f>
        <v>0</v>
      </c>
      <c r="K6" s="63">
        <f>IFERROR(_xlfn.XLOOKUP($D6,Projection_!$A:$A,Projection_!$Q:$Q),0)</f>
        <v>0</v>
      </c>
      <c r="L6" s="63">
        <f>IFERROR(_xlfn.XLOOKUP($D6,Projection_!$A:$A,Projection_!$R:$R),0)</f>
        <v>0</v>
      </c>
      <c r="M6" s="63">
        <f>IFERROR(_xlfn.XLOOKUP($D6,Projection_!$A:$A,Projection_!$O:$O),0)</f>
        <v>0</v>
      </c>
      <c r="N6" s="63">
        <f>IFERROR(_xlfn.XLOOKUP($D6,Projection_!$A:$A,Projection_!$P:$P),0)</f>
        <v>0</v>
      </c>
      <c r="O6" s="50">
        <f t="shared" si="1"/>
        <v>319</v>
      </c>
      <c r="P6" s="51">
        <f>SUM(IFERROR(_xlfn.XLOOKUP($D6,Domestic!$C:$C,Domestic!I:I),0),IFERROR(_xlfn.XLOOKUP($D6,'INT-_Manjiri'!$C:$C,'INT-_Manjiri'!H:H),0),IFERROR(_xlfn.XLOOKUP($D6,'USA-_Sea_shipment'!$C:$C,'USA-_Sea_shipment'!H:H),0),IFERROR(_xlfn.XLOOKUP($D6,Amazon_USA_Sea!$C:$C,Amazon_USA_Sea!H:H),0),IFERROR(_xlfn.XLOOKUP($D6,USA_Air_Shipment!$C:$C,USA_Air_Shipment!G:G),0),IFERROR(_xlfn.XLOOKUP($D6,Amazon_USA_Air_Shipment!$C:$C,Amazon_USA_Air_Shipment!G:G),0),IFERROR(_xlfn.XLOOKUP($D6,MENA!$C:$C,MENA!G:G),0),IFERROR(_xlfn.XLOOKUP($D6,UK!$C:$C,UK!G:G),0),IFERROR(_xlfn.XLOOKUP($D6,BMM_Order!$C:$C,BMM_Order!G:G),0),IFERROR(_xlfn.XLOOKUP($D6,'Adhoc-_Backlog'!$C:$C,'Adhoc-_Backlog'!I:I),0))</f>
        <v>0</v>
      </c>
      <c r="Q6" s="51">
        <f>SUM(IFERROR(_xlfn.XLOOKUP($D6,Domestic!$C:$C,Domestic!J:J),0),IFERROR(_xlfn.XLOOKUP($D6,'INT-_Manjiri'!$C:$C,'INT-_Manjiri'!I:I),0),IFERROR(_xlfn.XLOOKUP($D6,'USA-_Sea_shipment'!$C:$C,'USA-_Sea_shipment'!I:I),0),IFERROR(_xlfn.XLOOKUP($D6,Amazon_USA_Sea!$C:$C,Amazon_USA_Sea!I:I),0),IFERROR(_xlfn.XLOOKUP($D6,USA_Air_Shipment!$C:$C,USA_Air_Shipment!H:H),0),IFERROR(_xlfn.XLOOKUP($D6,Amazon_USA_Air_Shipment!$C:$C,Amazon_USA_Air_Shipment!H:H),0),IFERROR(_xlfn.XLOOKUP($D6,MENA!$C:$C,MENA!H:H),0),IFERROR(_xlfn.XLOOKUP($D6,UK!$C:$C,UK!H:H),0),IFERROR(_xlfn.XLOOKUP($D6,BMM_Order!$C:$C,BMM_Order!H:H),0),IFERROR(_xlfn.XLOOKUP($D6,'Adhoc-_Backlog'!$C:$C,'Adhoc-_Backlog'!J:J),0))</f>
        <v>0</v>
      </c>
      <c r="R6" s="51">
        <f>SUM(IFERROR(_xlfn.XLOOKUP($D6,Domestic!$C:$C,Domestic!K:K),0),IFERROR(_xlfn.XLOOKUP($D6,'INT-_Manjiri'!$C:$C,'INT-_Manjiri'!J:J),0),IFERROR(_xlfn.XLOOKUP($D6,'USA-_Sea_shipment'!$C:$C,'USA-_Sea_shipment'!J:J),0),IFERROR(_xlfn.XLOOKUP($D6,Amazon_USA_Sea!$C:$C,Amazon_USA_Sea!J:J),0),IFERROR(_xlfn.XLOOKUP($D6,USA_Air_Shipment!$C:$C,USA_Air_Shipment!I:I),0),IFERROR(_xlfn.XLOOKUP($D6,Amazon_USA_Air_Shipment!$C:$C,Amazon_USA_Air_Shipment!I:I),0),IFERROR(_xlfn.XLOOKUP($D6,MENA!$C:$C,MENA!I:I),0),IFERROR(_xlfn.XLOOKUP($D6,UK!$C:$C,UK!I:I),0),IFERROR(_xlfn.XLOOKUP($D6,BMM_Order!$C:$C,BMM_Order!I:I),0),IFERROR(_xlfn.XLOOKUP($D6,'Adhoc-_Backlog'!$C:$C,'Adhoc-_Backlog'!K:K),0))</f>
        <v>0</v>
      </c>
      <c r="S6" s="51">
        <f>SUM(IFERROR(_xlfn.XLOOKUP($D6,Domestic!$C:$C,Domestic!L:L),0),IFERROR(_xlfn.XLOOKUP($D6,'INT-_Manjiri'!$C:$C,'INT-_Manjiri'!K:K),0),IFERROR(_xlfn.XLOOKUP($D6,'USA-_Sea_shipment'!$C:$C,'USA-_Sea_shipment'!K:K),0),IFERROR(_xlfn.XLOOKUP($D6,Amazon_USA_Sea!$C:$C,Amazon_USA_Sea!K:K),0),IFERROR(_xlfn.XLOOKUP($D6,USA_Air_Shipment!$C:$C,USA_Air_Shipment!J:J),0),IFERROR(_xlfn.XLOOKUP($D6,Amazon_USA_Air_Shipment!$C:$C,Amazon_USA_Air_Shipment!J:J),0),IFERROR(_xlfn.XLOOKUP($D6,MENA!$C:$C,MENA!J:J),0),IFERROR(_xlfn.XLOOKUP($D6,UK!$C:$C,UK!J:J),0),IFERROR(_xlfn.XLOOKUP($D6,BMM_Order!$C:$C,BMM_Order!J:J),0),IFERROR(_xlfn.XLOOKUP($D6,'Adhoc-_Backlog'!$C:$C,'Adhoc-_Backlog'!L:L),0))</f>
        <v>0</v>
      </c>
      <c r="T6" s="51">
        <f>SUM(IFERROR(_xlfn.XLOOKUP($D6,Domestic!$C:$C,Domestic!M:M),0),IFERROR(_xlfn.XLOOKUP($D6,'INT-_Manjiri'!$C:$C,'INT-_Manjiri'!L:L),0),IFERROR(_xlfn.XLOOKUP($D6,'USA-_Sea_shipment'!$C:$C,'USA-_Sea_shipment'!L:L),0),IFERROR(_xlfn.XLOOKUP($D6,Amazon_USA_Sea!$C:$C,Amazon_USA_Sea!L:L),0),IFERROR(_xlfn.XLOOKUP($D6,USA_Air_Shipment!$C:$C,USA_Air_Shipment!K:K),0),IFERROR(_xlfn.XLOOKUP($D6,Amazon_USA_Air_Shipment!$C:$C,Amazon_USA_Air_Shipment!K:K),0),IFERROR(_xlfn.XLOOKUP($D6,MENA!$C:$C,MENA!K:K),0),IFERROR(_xlfn.XLOOKUP($D6,UK!$C:$C,UK!K:K),0),IFERROR(_xlfn.XLOOKUP($D6,BMM_Order!$C:$C,BMM_Order!K:K),0),IFERROR(_xlfn.XLOOKUP($D6,'Adhoc-_Backlog'!$C:$C,'Adhoc-_Backlog'!M:M),0))</f>
        <v>0</v>
      </c>
      <c r="U6" s="51">
        <f>SUM(IFERROR(_xlfn.XLOOKUP($D6,Domestic!$C:$C,Domestic!N:N),0),IFERROR(_xlfn.XLOOKUP($D6,'INT-_Manjiri'!$C:$C,'INT-_Manjiri'!M:M),0),IFERROR(_xlfn.XLOOKUP($D6,'USA-_Sea_shipment'!$C:$C,'USA-_Sea_shipment'!M:M),0),IFERROR(_xlfn.XLOOKUP($D6,Amazon_USA_Sea!$C:$C,Amazon_USA_Sea!M:M),0),IFERROR(_xlfn.XLOOKUP($D6,USA_Air_Shipment!$C:$C,USA_Air_Shipment!L:L),0),IFERROR(_xlfn.XLOOKUP($D6,Amazon_USA_Air_Shipment!$C:$C,Amazon_USA_Air_Shipment!L:L),0),IFERROR(_xlfn.XLOOKUP($D6,MENA!$C:$C,MENA!L:L),0),IFERROR(_xlfn.XLOOKUP($D6,UK!$C:$C,UK!L:L),0),IFERROR(_xlfn.XLOOKUP($D6,BMM_Order!$C:$C,BMM_Order!L:L),0),IFERROR(_xlfn.XLOOKUP($D6,'Adhoc-_Backlog'!$C:$C,'Adhoc-_Backlog'!N:N),0))</f>
        <v>0</v>
      </c>
      <c r="V6" s="51">
        <f>SUM(IFERROR(_xlfn.XLOOKUP($D6,Domestic!$C:$C,Domestic!O:O),0),IFERROR(_xlfn.XLOOKUP($D6,'INT-_Manjiri'!$C:$C,'INT-_Manjiri'!N:N),0),IFERROR(_xlfn.XLOOKUP($D6,'USA-_Sea_shipment'!$C:$C,'USA-_Sea_shipment'!N:N),0),IFERROR(_xlfn.XLOOKUP($D6,Amazon_USA_Sea!$C:$C,Amazon_USA_Sea!N:N),0),IFERROR(_xlfn.XLOOKUP($D6,USA_Air_Shipment!$C:$C,USA_Air_Shipment!M:M),0),IFERROR(_xlfn.XLOOKUP($D6,Amazon_USA_Air_Shipment!$C:$C,Amazon_USA_Air_Shipment!M:M),0),IFERROR(_xlfn.XLOOKUP($D6,MENA!$C:$C,MENA!M:M),0),IFERROR(_xlfn.XLOOKUP($D6,UK!$C:$C,UK!M:M),0),IFERROR(_xlfn.XLOOKUP($D6,BMM_Order!$C:$C,BMM_Order!M:M),0),IFERROR(_xlfn.XLOOKUP($D6,'Adhoc-_Backlog'!$C:$C,'Adhoc-_Backlog'!O:O),0))</f>
        <v>0</v>
      </c>
      <c r="W6" s="51">
        <f>SUM(IFERROR(_xlfn.XLOOKUP($D6,Domestic!$C:$C,Domestic!P:P),0),IFERROR(_xlfn.XLOOKUP($D6,'INT-_Manjiri'!$C:$C,'INT-_Manjiri'!O:O),0),IFERROR(_xlfn.XLOOKUP($D6,'USA-_Sea_shipment'!$C:$C,'USA-_Sea_shipment'!O:O),0),IFERROR(_xlfn.XLOOKUP($D6,Amazon_USA_Sea!$C:$C,Amazon_USA_Sea!O:O),0),IFERROR(_xlfn.XLOOKUP($D6,USA_Air_Shipment!$C:$C,USA_Air_Shipment!N:N),0),IFERROR(_xlfn.XLOOKUP($D6,Amazon_USA_Air_Shipment!$C:$C,Amazon_USA_Air_Shipment!N:N),0),IFERROR(_xlfn.XLOOKUP($D6,MENA!$C:$C,MENA!N:N),0),IFERROR(_xlfn.XLOOKUP($D6,UK!$C:$C,UK!N:N),0),IFERROR(_xlfn.XLOOKUP($D6,BMM_Order!$C:$C,BMM_Order!N:N),0),IFERROR(_xlfn.XLOOKUP($D6,'Adhoc-_Backlog'!$C:$C,'Adhoc-_Backlog'!P:P),0))</f>
        <v>0</v>
      </c>
      <c r="X6" s="51">
        <f>SUM(IFERROR(_xlfn.XLOOKUP($D6,Domestic!$C:$C,Domestic!Q:Q),0),IFERROR(_xlfn.XLOOKUP($D6,'INT-_Manjiri'!$C:$C,'INT-_Manjiri'!P:P),0),IFERROR(_xlfn.XLOOKUP($D6,'USA-_Sea_shipment'!$C:$C,'USA-_Sea_shipment'!P:P),0),IFERROR(_xlfn.XLOOKUP($D6,Amazon_USA_Sea!$C:$C,Amazon_USA_Sea!P:P),0),IFERROR(_xlfn.XLOOKUP($D6,USA_Air_Shipment!$C:$C,USA_Air_Shipment!O:O),0),IFERROR(_xlfn.XLOOKUP($D6,Amazon_USA_Air_Shipment!$C:$C,Amazon_USA_Air_Shipment!O:O),0),IFERROR(_xlfn.XLOOKUP($D6,MENA!$C:$C,MENA!O:O),0),IFERROR(_xlfn.XLOOKUP($D6,UK!$C:$C,UK!O:O),0),IFERROR(_xlfn.XLOOKUP($D6,BMM_Order!$C:$C,BMM_Order!O:O),0),IFERROR(_xlfn.XLOOKUP($D6,'Adhoc-_Backlog'!$C:$C,'Adhoc-_Backlog'!Q:Q),0))</f>
        <v>0</v>
      </c>
      <c r="Y6" s="51">
        <f>SUM(IFERROR(_xlfn.XLOOKUP($D6,Domestic!$C:$C,Domestic!R:R),0),IFERROR(_xlfn.XLOOKUP($D6,'INT-_Manjiri'!$C:$C,'INT-_Manjiri'!Q:Q),0),IFERROR(_xlfn.XLOOKUP($D6,'USA-_Sea_shipment'!$C:$C,'USA-_Sea_shipment'!Q:Q),0),IFERROR(_xlfn.XLOOKUP($D6,Amazon_USA_Sea!$C:$C,Amazon_USA_Sea!Q:Q),0),IFERROR(_xlfn.XLOOKUP($D6,USA_Air_Shipment!$C:$C,USA_Air_Shipment!P:P),0),IFERROR(_xlfn.XLOOKUP($D6,Amazon_USA_Air_Shipment!$C:$C,Amazon_USA_Air_Shipment!P:P),0),IFERROR(_xlfn.XLOOKUP($D6,MENA!$C:$C,MENA!P:P),0),IFERROR(_xlfn.XLOOKUP($D6,UK!$C:$C,UK!P:P),0),IFERROR(_xlfn.XLOOKUP($D6,BMM_Order!$C:$C,BMM_Order!P:P),0),IFERROR(_xlfn.XLOOKUP($D6,'Adhoc-_Backlog'!$C:$C,'Adhoc-_Backlog'!R:R),0))</f>
        <v>0</v>
      </c>
      <c r="Z6" s="51">
        <f>SUM(IFERROR(_xlfn.XLOOKUP($D6,Domestic!$C:$C,Domestic!S:S),0),IFERROR(_xlfn.XLOOKUP($D6,'INT-_Manjiri'!$C:$C,'INT-_Manjiri'!R:R),0),IFERROR(_xlfn.XLOOKUP($D6,'USA-_Sea_shipment'!$C:$C,'USA-_Sea_shipment'!R:R),0),IFERROR(_xlfn.XLOOKUP($D6,Amazon_USA_Sea!$C:$C,Amazon_USA_Sea!R:R),0),IFERROR(_xlfn.XLOOKUP($D6,USA_Air_Shipment!$C:$C,USA_Air_Shipment!Q:Q),0),IFERROR(_xlfn.XLOOKUP($D6,Amazon_USA_Air_Shipment!$C:$C,Amazon_USA_Air_Shipment!Q:Q),0),IFERROR(_xlfn.XLOOKUP($D6,MENA!$C:$C,MENA!Q:Q),0),IFERROR(_xlfn.XLOOKUP($D6,UK!$C:$C,UK!Q:Q),0),IFERROR(_xlfn.XLOOKUP($D6,BMM_Order!$C:$C,BMM_Order!Q:Q),0),IFERROR(_xlfn.XLOOKUP($D6,'Adhoc-_Backlog'!$C:$C,'Adhoc-_Backlog'!S:S),0))</f>
        <v>0</v>
      </c>
      <c r="AA6" s="51">
        <f>SUM(IFERROR(_xlfn.XLOOKUP($D6,Domestic!$C:$C,Domestic!T:T),0),IFERROR(_xlfn.XLOOKUP($D6,'INT-_Manjiri'!$C:$C,'INT-_Manjiri'!S:S),0),IFERROR(_xlfn.XLOOKUP($D6,'USA-_Sea_shipment'!$C:$C,'USA-_Sea_shipment'!S:S),0),IFERROR(_xlfn.XLOOKUP($D6,Amazon_USA_Sea!$C:$C,Amazon_USA_Sea!S:S),0),IFERROR(_xlfn.XLOOKUP($D6,USA_Air_Shipment!$C:$C,USA_Air_Shipment!R:R),0),IFERROR(_xlfn.XLOOKUP($D6,Amazon_USA_Air_Shipment!$C:$C,Amazon_USA_Air_Shipment!R:R),0),IFERROR(_xlfn.XLOOKUP($D6,MENA!$C:$C,MENA!R:R),0),IFERROR(_xlfn.XLOOKUP($D6,UK!$C:$C,UK!R:R),0),IFERROR(_xlfn.XLOOKUP($D6,BMM_Order!$C:$C,BMM_Order!R:R),0),IFERROR(_xlfn.XLOOKUP($D6,'Adhoc-_Backlog'!$C:$C,'Adhoc-_Backlog'!T:T),0))</f>
        <v>0</v>
      </c>
      <c r="AB6" s="51">
        <f>SUM(IFERROR(_xlfn.XLOOKUP($D6,Domestic!$C:$C,Domestic!U:U),0),IFERROR(_xlfn.XLOOKUP($D6,'INT-_Manjiri'!$C:$C,'INT-_Manjiri'!T:T),0),IFERROR(_xlfn.XLOOKUP($D6,'USA-_Sea_shipment'!$C:$C,'USA-_Sea_shipment'!T:T),0),IFERROR(_xlfn.XLOOKUP($D6,Amazon_USA_Sea!$C:$C,Amazon_USA_Sea!T:T),0),IFERROR(_xlfn.XLOOKUP($D6,USA_Air_Shipment!$C:$C,USA_Air_Shipment!S:S),0),IFERROR(_xlfn.XLOOKUP($D6,Amazon_USA_Air_Shipment!$C:$C,Amazon_USA_Air_Shipment!S:S),0),IFERROR(_xlfn.XLOOKUP($D6,MENA!$C:$C,MENA!S:S),0),IFERROR(_xlfn.XLOOKUP($D6,UK!$C:$C,UK!S:S),0),IFERROR(_xlfn.XLOOKUP($D6,BMM_Order!$C:$C,BMM_Order!S:S),0),IFERROR(_xlfn.XLOOKUP($D6,'Adhoc-_Backlog'!$C:$C,'Adhoc-_Backlog'!U:U),0))</f>
        <v>0</v>
      </c>
      <c r="AC6" s="51">
        <f>SUM(IFERROR(_xlfn.XLOOKUP($D6,Domestic!$C:$C,Domestic!V:V),0),IFERROR(_xlfn.XLOOKUP($D6,'INT-_Manjiri'!$C:$C,'INT-_Manjiri'!U:U),0),IFERROR(_xlfn.XLOOKUP($D6,'USA-_Sea_shipment'!$C:$C,'USA-_Sea_shipment'!U:U),0),IFERROR(_xlfn.XLOOKUP($D6,Amazon_USA_Sea!$C:$C,Amazon_USA_Sea!U:U),0),IFERROR(_xlfn.XLOOKUP($D6,USA_Air_Shipment!$C:$C,USA_Air_Shipment!T:T),0),IFERROR(_xlfn.XLOOKUP($D6,Amazon_USA_Air_Shipment!$C:$C,Amazon_USA_Air_Shipment!T:T),0),IFERROR(_xlfn.XLOOKUP($D6,MENA!$C:$C,MENA!T:T),0),IFERROR(_xlfn.XLOOKUP($D6,UK!$C:$C,UK!T:T),0),IFERROR(_xlfn.XLOOKUP($D6,BMM_Order!$C:$C,BMM_Order!T:T),0),IFERROR(_xlfn.XLOOKUP($D6,'Adhoc-_Backlog'!$C:$C,'Adhoc-_Backlog'!V:V),0))</f>
        <v>0</v>
      </c>
      <c r="AD6" s="51">
        <f>SUM(IFERROR(_xlfn.XLOOKUP($D6,Domestic!$C:$C,Domestic!W:W),0),IFERROR(_xlfn.XLOOKUP($D6,'INT-_Manjiri'!$C:$C,'INT-_Manjiri'!V:V),0),IFERROR(_xlfn.XLOOKUP($D6,'USA-_Sea_shipment'!$C:$C,'USA-_Sea_shipment'!V:V),0),IFERROR(_xlfn.XLOOKUP($D6,Amazon_USA_Sea!$C:$C,Amazon_USA_Sea!V:V),0),IFERROR(_xlfn.XLOOKUP($D6,USA_Air_Shipment!$C:$C,USA_Air_Shipment!U:U),0),IFERROR(_xlfn.XLOOKUP($D6,Amazon_USA_Air_Shipment!$C:$C,Amazon_USA_Air_Shipment!U:U),0),IFERROR(_xlfn.XLOOKUP($D6,MENA!$C:$C,MENA!U:U),0),IFERROR(_xlfn.XLOOKUP($D6,UK!$C:$C,UK!U:U),0),IFERROR(_xlfn.XLOOKUP($D6,BMM_Order!$C:$C,BMM_Order!U:U),0),IFERROR(_xlfn.XLOOKUP($D6,'Adhoc-_Backlog'!$C:$C,'Adhoc-_Backlog'!W:W),0))</f>
        <v>0</v>
      </c>
      <c r="AE6" s="51">
        <f>SUM(IFERROR(_xlfn.XLOOKUP($D6,Domestic!$C:$C,Domestic!X:X),0),IFERROR(_xlfn.XLOOKUP($D6,'INT-_Manjiri'!$C:$C,'INT-_Manjiri'!W:W),0),IFERROR(_xlfn.XLOOKUP($D6,'USA-_Sea_shipment'!$C:$C,'USA-_Sea_shipment'!W:W),0),IFERROR(_xlfn.XLOOKUP($D6,Amazon_USA_Sea!$C:$C,Amazon_USA_Sea!W:W),0),IFERROR(_xlfn.XLOOKUP($D6,USA_Air_Shipment!$C:$C,USA_Air_Shipment!V:V),0),IFERROR(_xlfn.XLOOKUP($D6,Amazon_USA_Air_Shipment!$C:$C,Amazon_USA_Air_Shipment!V:V),0),IFERROR(_xlfn.XLOOKUP($D6,MENA!$C:$C,MENA!V:V),0),IFERROR(_xlfn.XLOOKUP($D6,UK!$C:$C,UK!V:V),0),IFERROR(_xlfn.XLOOKUP($D6,BMM_Order!$C:$C,BMM_Order!V:V),0),IFERROR(_xlfn.XLOOKUP($D6,'Adhoc-_Backlog'!$C:$C,'Adhoc-_Backlog'!X:X),0))</f>
        <v>0</v>
      </c>
      <c r="AF6" s="51">
        <f>SUM(IFERROR(_xlfn.XLOOKUP($D6,Domestic!$C:$C,Domestic!Y:Y),0),IFERROR(_xlfn.XLOOKUP($D6,'INT-_Manjiri'!$C:$C,'INT-_Manjiri'!X:X),0),IFERROR(_xlfn.XLOOKUP($D6,'USA-_Sea_shipment'!$C:$C,'USA-_Sea_shipment'!X:X),0),IFERROR(_xlfn.XLOOKUP($D6,Amazon_USA_Sea!$C:$C,Amazon_USA_Sea!X:X),0),IFERROR(_xlfn.XLOOKUP($D6,USA_Air_Shipment!$C:$C,USA_Air_Shipment!W:W),0),IFERROR(_xlfn.XLOOKUP($D6,Amazon_USA_Air_Shipment!$C:$C,Amazon_USA_Air_Shipment!W:W),0),IFERROR(_xlfn.XLOOKUP($D6,MENA!$C:$C,MENA!W:W),0),IFERROR(_xlfn.XLOOKUP($D6,UK!$C:$C,UK!W:W),0),IFERROR(_xlfn.XLOOKUP($D6,BMM_Order!$C:$C,BMM_Order!W:W),0),IFERROR(_xlfn.XLOOKUP($D6,'Adhoc-_Backlog'!$C:$C,'Adhoc-_Backlog'!Y:Y),0))</f>
        <v>0</v>
      </c>
      <c r="AG6" s="51">
        <f>SUM(IFERROR(_xlfn.XLOOKUP($D6,Domestic!$C:$C,Domestic!Z:Z),0),IFERROR(_xlfn.XLOOKUP($D6,'INT-_Manjiri'!$C:$C,'INT-_Manjiri'!Y:Y),0),IFERROR(_xlfn.XLOOKUP($D6,'USA-_Sea_shipment'!$C:$C,'USA-_Sea_shipment'!Y:Y),0),IFERROR(_xlfn.XLOOKUP($D6,Amazon_USA_Sea!$C:$C,Amazon_USA_Sea!Y:Y),0),IFERROR(_xlfn.XLOOKUP($D6,USA_Air_Shipment!$C:$C,USA_Air_Shipment!X:X),0),IFERROR(_xlfn.XLOOKUP($D6,Amazon_USA_Air_Shipment!$C:$C,Amazon_USA_Air_Shipment!X:X),0),IFERROR(_xlfn.XLOOKUP($D6,MENA!$C:$C,MENA!X:X),0),IFERROR(_xlfn.XLOOKUP($D6,UK!$C:$C,UK!X:X),0),IFERROR(_xlfn.XLOOKUP($D6,BMM_Order!$C:$C,BMM_Order!X:X),0),IFERROR(_xlfn.XLOOKUP($D6,'Adhoc-_Backlog'!$C:$C,'Adhoc-_Backlog'!Z:Z),0))</f>
        <v>0</v>
      </c>
      <c r="AH6" s="51">
        <f>SUM(IFERROR(_xlfn.XLOOKUP($D6,Domestic!$C:$C,Domestic!AA:AA),0),IFERROR(_xlfn.XLOOKUP($D6,'INT-_Manjiri'!$C:$C,'INT-_Manjiri'!Z:Z),0),IFERROR(_xlfn.XLOOKUP($D6,'USA-_Sea_shipment'!$C:$C,'USA-_Sea_shipment'!Z:Z),0),IFERROR(_xlfn.XLOOKUP($D6,Amazon_USA_Sea!$C:$C,Amazon_USA_Sea!Z:Z),0),IFERROR(_xlfn.XLOOKUP($D6,USA_Air_Shipment!$C:$C,USA_Air_Shipment!Y:Y),0),IFERROR(_xlfn.XLOOKUP($D6,Amazon_USA_Air_Shipment!$C:$C,Amazon_USA_Air_Shipment!Y:Y),0),IFERROR(_xlfn.XLOOKUP($D6,MENA!$C:$C,MENA!Y:Y),0),IFERROR(_xlfn.XLOOKUP($D6,UK!$C:$C,UK!Y:Y),0),IFERROR(_xlfn.XLOOKUP($D6,BMM_Order!$C:$C,BMM_Order!Y:Y),0),IFERROR(_xlfn.XLOOKUP($D6,'Adhoc-_Backlog'!$C:$C,'Adhoc-_Backlog'!AA:AA),0))</f>
        <v>4</v>
      </c>
      <c r="AI6" s="51">
        <f>SUM(IFERROR(_xlfn.XLOOKUP($D6,Domestic!$C:$C,Domestic!AB:AB),0),IFERROR(_xlfn.XLOOKUP($D6,'INT-_Manjiri'!$C:$C,'INT-_Manjiri'!AA:AA),0),IFERROR(_xlfn.XLOOKUP($D6,'USA-_Sea_shipment'!$C:$C,'USA-_Sea_shipment'!AA:AA),0),IFERROR(_xlfn.XLOOKUP($D6,Amazon_USA_Sea!$C:$C,Amazon_USA_Sea!AA:AA),0),IFERROR(_xlfn.XLOOKUP($D6,USA_Air_Shipment!$C:$C,USA_Air_Shipment!Z:Z),0),IFERROR(_xlfn.XLOOKUP($D6,Amazon_USA_Air_Shipment!$C:$C,Amazon_USA_Air_Shipment!Z:Z),0),IFERROR(_xlfn.XLOOKUP($D6,MENA!$C:$C,MENA!Z:Z),0),IFERROR(_xlfn.XLOOKUP($D6,UK!$C:$C,UK!Z:Z),0),IFERROR(_xlfn.XLOOKUP($D6,BMM_Order!$C:$C,BMM_Order!Z:Z),0),IFERROR(_xlfn.XLOOKUP($D6,'Adhoc-_Backlog'!$C:$C,'Adhoc-_Backlog'!AB:AB),0))</f>
        <v>0</v>
      </c>
      <c r="AJ6" s="51">
        <f>SUM(IFERROR(_xlfn.XLOOKUP($D6,Domestic!$C:$C,Domestic!AC:AC),0),IFERROR(_xlfn.XLOOKUP($D6,'INT-_Manjiri'!$C:$C,'INT-_Manjiri'!AB:AB),0),IFERROR(_xlfn.XLOOKUP($D6,'USA-_Sea_shipment'!$C:$C,'USA-_Sea_shipment'!AB:AB),0),IFERROR(_xlfn.XLOOKUP($D6,Amazon_USA_Sea!$C:$C,Amazon_USA_Sea!AB:AB),0),IFERROR(_xlfn.XLOOKUP($D6,USA_Air_Shipment!$C:$C,USA_Air_Shipment!AA:AA),0),IFERROR(_xlfn.XLOOKUP($D6,Amazon_USA_Air_Shipment!$C:$C,Amazon_USA_Air_Shipment!AA:AA),0),IFERROR(_xlfn.XLOOKUP($D6,MENA!$C:$C,MENA!AA:AA),0),IFERROR(_xlfn.XLOOKUP($D6,UK!$C:$C,UK!AA:AA),0),IFERROR(_xlfn.XLOOKUP($D6,BMM_Order!$C:$C,BMM_Order!AA:AA),0),IFERROR(_xlfn.XLOOKUP($D6,'Adhoc-_Backlog'!$C:$C,'Adhoc-_Backlog'!AC:AC),0))</f>
        <v>0</v>
      </c>
      <c r="AK6" s="51">
        <f>SUM(IFERROR(_xlfn.XLOOKUP($D6,Domestic!$C:$C,Domestic!AD:AD),0),IFERROR(_xlfn.XLOOKUP($D6,'INT-_Manjiri'!$C:$C,'INT-_Manjiri'!AC:AC),0),IFERROR(_xlfn.XLOOKUP($D6,'USA-_Sea_shipment'!$C:$C,'USA-_Sea_shipment'!AC:AC),0),IFERROR(_xlfn.XLOOKUP($D6,Amazon_USA_Sea!$C:$C,Amazon_USA_Sea!AC:AC),0),IFERROR(_xlfn.XLOOKUP($D6,USA_Air_Shipment!$C:$C,USA_Air_Shipment!AB:AB),0),IFERROR(_xlfn.XLOOKUP($D6,Amazon_USA_Air_Shipment!$C:$C,Amazon_USA_Air_Shipment!AB:AB),0),IFERROR(_xlfn.XLOOKUP($D6,MENA!$C:$C,MENA!AB:AB),0),IFERROR(_xlfn.XLOOKUP($D6,UK!$C:$C,UK!AB:AB),0),IFERROR(_xlfn.XLOOKUP($D6,BMM_Order!$C:$C,BMM_Order!AB:AB),0),IFERROR(_xlfn.XLOOKUP($D6,'Adhoc-_Backlog'!$C:$C,'Adhoc-_Backlog'!AD:AD),0))</f>
        <v>0</v>
      </c>
      <c r="AL6" s="51">
        <f>SUM(IFERROR(_xlfn.XLOOKUP($D6,Domestic!$C:$C,Domestic!AE:AE),0),IFERROR(_xlfn.XLOOKUP($D6,'INT-_Manjiri'!$C:$C,'INT-_Manjiri'!AD:AD),0),IFERROR(_xlfn.XLOOKUP($D6,'USA-_Sea_shipment'!$C:$C,'USA-_Sea_shipment'!AD:AD),0),IFERROR(_xlfn.XLOOKUP($D6,Amazon_USA_Sea!$C:$C,Amazon_USA_Sea!AD:AD),0),IFERROR(_xlfn.XLOOKUP($D6,USA_Air_Shipment!$C:$C,USA_Air_Shipment!AC:AC),0),IFERROR(_xlfn.XLOOKUP($D6,Amazon_USA_Air_Shipment!$C:$C,Amazon_USA_Air_Shipment!AC:AC),0),IFERROR(_xlfn.XLOOKUP($D6,MENA!$C:$C,MENA!AC:AC),0),IFERROR(_xlfn.XLOOKUP($D6,UK!$C:$C,UK!AC:AC),0),IFERROR(_xlfn.XLOOKUP($D6,BMM_Order!$C:$C,BMM_Order!AC:AC),0),IFERROR(_xlfn.XLOOKUP($D6,'Adhoc-_Backlog'!$C:$C,'Adhoc-_Backlog'!AE:AE),0))</f>
        <v>0</v>
      </c>
      <c r="AM6" s="51">
        <f>SUM(IFERROR(_xlfn.XLOOKUP($D6,Domestic!$C:$C,Domestic!AF:AF),0),IFERROR(_xlfn.XLOOKUP($D6,'INT-_Manjiri'!$C:$C,'INT-_Manjiri'!AE:AE),0),IFERROR(_xlfn.XLOOKUP($D6,'USA-_Sea_shipment'!$C:$C,'USA-_Sea_shipment'!AE:AE),0),IFERROR(_xlfn.XLOOKUP($D6,Amazon_USA_Sea!$C:$C,Amazon_USA_Sea!AE:AE),0),IFERROR(_xlfn.XLOOKUP($D6,USA_Air_Shipment!$C:$C,USA_Air_Shipment!AD:AD),0),IFERROR(_xlfn.XLOOKUP($D6,Amazon_USA_Air_Shipment!$C:$C,Amazon_USA_Air_Shipment!AD:AD),0),IFERROR(_xlfn.XLOOKUP($D6,MENA!$C:$C,MENA!AD:AD),0),IFERROR(_xlfn.XLOOKUP($D6,UK!$C:$C,UK!AD:AD),0),IFERROR(_xlfn.XLOOKUP($D6,BMM_Order!$C:$C,BMM_Order!AD:AD),0),IFERROR(_xlfn.XLOOKUP($D6,'Adhoc-_Backlog'!$C:$C,'Adhoc-_Backlog'!AF:AF),0))</f>
        <v>0</v>
      </c>
      <c r="AN6" s="51">
        <f>SUM(IFERROR(_xlfn.XLOOKUP($D6,Domestic!$C:$C,Domestic!AG:AG),0),IFERROR(_xlfn.XLOOKUP($D6,'INT-_Manjiri'!$C:$C,'INT-_Manjiri'!AF:AF),0),IFERROR(_xlfn.XLOOKUP($D6,'USA-_Sea_shipment'!$C:$C,'USA-_Sea_shipment'!AF:AF),0),IFERROR(_xlfn.XLOOKUP($D6,Amazon_USA_Sea!$C:$C,Amazon_USA_Sea!AF:AF),0),IFERROR(_xlfn.XLOOKUP($D6,USA_Air_Shipment!$C:$C,USA_Air_Shipment!AE:AE),0),IFERROR(_xlfn.XLOOKUP($D6,Amazon_USA_Air_Shipment!$C:$C,Amazon_USA_Air_Shipment!AE:AE),0),IFERROR(_xlfn.XLOOKUP($D6,MENA!$C:$C,MENA!AE:AE),0),IFERROR(_xlfn.XLOOKUP($D6,UK!$C:$C,UK!AE:AE),0),IFERROR(_xlfn.XLOOKUP($D6,BMM_Order!$C:$C,BMM_Order!AE:AE),0),IFERROR(_xlfn.XLOOKUP($D6,'Adhoc-_Backlog'!$C:$C,'Adhoc-_Backlog'!AG:AG),0))</f>
        <v>0</v>
      </c>
      <c r="AO6" s="51">
        <f>SUM(IFERROR(_xlfn.XLOOKUP($D6,Domestic!$C:$C,Domestic!AH:AH),0),IFERROR(_xlfn.XLOOKUP($D6,'INT-_Manjiri'!$C:$C,'INT-_Manjiri'!AG:AG),0),IFERROR(_xlfn.XLOOKUP($D6,'USA-_Sea_shipment'!$C:$C,'USA-_Sea_shipment'!AG:AG),0),IFERROR(_xlfn.XLOOKUP($D6,Amazon_USA_Sea!$C:$C,Amazon_USA_Sea!AG:AG),0),IFERROR(_xlfn.XLOOKUP($D6,USA_Air_Shipment!$C:$C,USA_Air_Shipment!AF:AF),0),IFERROR(_xlfn.XLOOKUP($D6,Amazon_USA_Air_Shipment!$C:$C,Amazon_USA_Air_Shipment!AF:AF),0),IFERROR(_xlfn.XLOOKUP($D6,MENA!$C:$C,MENA!AF:AF),0),IFERROR(_xlfn.XLOOKUP($D6,UK!$C:$C,UK!AF:AF),0),IFERROR(_xlfn.XLOOKUP($D6,BMM_Order!$C:$C,BMM_Order!AF:AF),0),IFERROR(_xlfn.XLOOKUP($D6,'Adhoc-_Backlog'!$C:$C,'Adhoc-_Backlog'!AH:AH),0))</f>
        <v>0</v>
      </c>
      <c r="AP6" s="51">
        <f>SUM(IFERROR(_xlfn.XLOOKUP($D6,Domestic!$C:$C,Domestic!AI:AI),0),IFERROR(_xlfn.XLOOKUP($D6,'INT-_Manjiri'!$C:$C,'INT-_Manjiri'!AH:AH),0),IFERROR(_xlfn.XLOOKUP($D6,'USA-_Sea_shipment'!$C:$C,'USA-_Sea_shipment'!AH:AH),0),IFERROR(_xlfn.XLOOKUP($D6,Amazon_USA_Sea!$C:$C,Amazon_USA_Sea!AH:AH),0),IFERROR(_xlfn.XLOOKUP($D6,USA_Air_Shipment!$C:$C,USA_Air_Shipment!AG:AG),0),IFERROR(_xlfn.XLOOKUP($D6,Amazon_USA_Air_Shipment!$C:$C,Amazon_USA_Air_Shipment!AG:AG),0),IFERROR(_xlfn.XLOOKUP($D6,MENA!$C:$C,MENA!AG:AG),0),IFERROR(_xlfn.XLOOKUP($D6,UK!$C:$C,UK!AG:AG),0),IFERROR(_xlfn.XLOOKUP($D6,BMM_Order!$C:$C,BMM_Order!AG:AG),0),IFERROR(_xlfn.XLOOKUP($D6,'Adhoc-_Backlog'!$C:$C,'Adhoc-_Backlog'!AI:AI),0))</f>
        <v>0</v>
      </c>
      <c r="AQ6" s="51">
        <f>SUM(IFERROR(_xlfn.XLOOKUP($D6,Domestic!$C:$C,Domestic!AJ:AJ),0),IFERROR(_xlfn.XLOOKUP($D6,'INT-_Manjiri'!$C:$C,'INT-_Manjiri'!AI:AI),0),IFERROR(_xlfn.XLOOKUP($D6,'USA-_Sea_shipment'!$C:$C,'USA-_Sea_shipment'!AI:AI),0),IFERROR(_xlfn.XLOOKUP($D6,Amazon_USA_Sea!$C:$C,Amazon_USA_Sea!AI:AI),0),IFERROR(_xlfn.XLOOKUP($D6,USA_Air_Shipment!$C:$C,USA_Air_Shipment!AH:AH),0),IFERROR(_xlfn.XLOOKUP($D6,Amazon_USA_Air_Shipment!$C:$C,Amazon_USA_Air_Shipment!AH:AH),0),IFERROR(_xlfn.XLOOKUP($D6,MENA!$C:$C,MENA!AH:AH),0),IFERROR(_xlfn.XLOOKUP($D6,UK!$C:$C,UK!AH:AH),0),IFERROR(_xlfn.XLOOKUP($D6,BMM_Order!$C:$C,BMM_Order!AH:AH),0),IFERROR(_xlfn.XLOOKUP($D6,'Adhoc-_Backlog'!$C:$C,'Adhoc-_Backlog'!AJ:AJ),0))</f>
        <v>0</v>
      </c>
      <c r="AR6" s="51">
        <f>SUM(IFERROR(_xlfn.XLOOKUP($D6,Domestic!$C:$C,Domestic!AK:AK),0),IFERROR(_xlfn.XLOOKUP($D6,'INT-_Manjiri'!$C:$C,'INT-_Manjiri'!AJ:AJ),0),IFERROR(_xlfn.XLOOKUP($D6,'USA-_Sea_shipment'!$C:$C,'USA-_Sea_shipment'!AJ:AJ),0),IFERROR(_xlfn.XLOOKUP($D6,Amazon_USA_Sea!$C:$C,Amazon_USA_Sea!AJ:AJ),0),IFERROR(_xlfn.XLOOKUP($D6,USA_Air_Shipment!$C:$C,USA_Air_Shipment!AI:AI),0),IFERROR(_xlfn.XLOOKUP($D6,Amazon_USA_Air_Shipment!$C:$C,Amazon_USA_Air_Shipment!AI:AI),0),IFERROR(_xlfn.XLOOKUP($D6,MENA!$C:$C,MENA!AI:AI),0),IFERROR(_xlfn.XLOOKUP($D6,UK!$C:$C,UK!AI:AI),0),IFERROR(_xlfn.XLOOKUP($D6,BMM_Order!$C:$C,BMM_Order!AI:AI),0),IFERROR(_xlfn.XLOOKUP($D6,'Adhoc-_Backlog'!$C:$C,'Adhoc-_Backlog'!AK:AK),0))</f>
        <v>0</v>
      </c>
      <c r="AS6" s="51">
        <f>SUM(IFERROR(_xlfn.XLOOKUP($D6,Domestic!$C:$C,Domestic!AL:AL),0),IFERROR(_xlfn.XLOOKUP($D6,'INT-_Manjiri'!$C:$C,'INT-_Manjiri'!AK:AK),0),IFERROR(_xlfn.XLOOKUP($D6,'USA-_Sea_shipment'!$C:$C,'USA-_Sea_shipment'!AK:AK),0),IFERROR(_xlfn.XLOOKUP($D6,Amazon_USA_Sea!$C:$C,Amazon_USA_Sea!AK:AK),0),IFERROR(_xlfn.XLOOKUP($D6,USA_Air_Shipment!$C:$C,USA_Air_Shipment!AJ:AJ),0),IFERROR(_xlfn.XLOOKUP($D6,Amazon_USA_Air_Shipment!$C:$C,Amazon_USA_Air_Shipment!AJ:AJ),0),IFERROR(_xlfn.XLOOKUP($D6,MENA!$C:$C,MENA!AJ:AJ),0),IFERROR(_xlfn.XLOOKUP($D6,UK!$C:$C,UK!AJ:AJ),0),IFERROR(_xlfn.XLOOKUP($D6,BMM_Order!$C:$C,BMM_Order!AJ:AJ),0),IFERROR(_xlfn.XLOOKUP($D6,'Adhoc-_Backlog'!$C:$C,'Adhoc-_Backlog'!AL:AL),0))</f>
        <v>0</v>
      </c>
      <c r="AT6" s="51">
        <f>SUM(IFERROR(_xlfn.XLOOKUP($D6,Domestic!$C:$C,Domestic!AM:AM),0),IFERROR(_xlfn.XLOOKUP($D6,'INT-_Manjiri'!$C:$C,'INT-_Manjiri'!AL:AL),0),IFERROR(_xlfn.XLOOKUP($D6,'USA-_Sea_shipment'!$C:$C,'USA-_Sea_shipment'!AL:AL),0),IFERROR(_xlfn.XLOOKUP($D6,Amazon_USA_Sea!$C:$C,Amazon_USA_Sea!AL:AL),0),IFERROR(_xlfn.XLOOKUP($D6,USA_Air_Shipment!$C:$C,USA_Air_Shipment!AK:AK),0),IFERROR(_xlfn.XLOOKUP($D6,Amazon_USA_Air_Shipment!$C:$C,Amazon_USA_Air_Shipment!AK:AK),0),IFERROR(_xlfn.XLOOKUP($D6,MENA!$C:$C,MENA!AK:AK),0),IFERROR(_xlfn.XLOOKUP($D6,UK!$C:$C,UK!AK:AK),0),IFERROR(_xlfn.XLOOKUP($D6,BMM_Order!$C:$C,BMM_Order!AK:AK),0),IFERROR(_xlfn.XLOOKUP($D6,'Adhoc-_Backlog'!$C:$C,'Adhoc-_Backlog'!AM:AM),0))</f>
        <v>0</v>
      </c>
      <c r="AU6" s="51">
        <f>SUM(IFERROR(_xlfn.XLOOKUP($D6,Domestic!$C:$C,Domestic!AN:AN),0),IFERROR(_xlfn.XLOOKUP($D6,'INT-_Manjiri'!$C:$C,'INT-_Manjiri'!AM:AM),0),IFERROR(_xlfn.XLOOKUP($D6,'USA-_Sea_shipment'!$C:$C,'USA-_Sea_shipment'!AM:AM),0),IFERROR(_xlfn.XLOOKUP($D6,Amazon_USA_Sea!$C:$C,Amazon_USA_Sea!AM:AM),0),IFERROR(_xlfn.XLOOKUP($D6,USA_Air_Shipment!$C:$C,USA_Air_Shipment!AL:AL),0),IFERROR(_xlfn.XLOOKUP($D6,Amazon_USA_Air_Shipment!$C:$C,Amazon_USA_Air_Shipment!AL:AL),0),IFERROR(_xlfn.XLOOKUP($D6,MENA!$C:$C,MENA!AL:AL),0),IFERROR(_xlfn.XLOOKUP($D6,UK!$C:$C,UK!AL:AL),0),IFERROR(_xlfn.XLOOKUP($D6,BMM_Order!$C:$C,BMM_Order!AL:AL),0),IFERROR(_xlfn.XLOOKUP($D6,'Adhoc-_Backlog'!$C:$C,'Adhoc-_Backlog'!AN:AN),0))</f>
        <v>0</v>
      </c>
      <c r="AV6" s="51">
        <f>SUM(IFERROR(_xlfn.XLOOKUP($D6,Domestic!$C:$C,Domestic!AO:AO),0),IFERROR(_xlfn.XLOOKUP($D6,'INT-_Manjiri'!$C:$C,'INT-_Manjiri'!AN:AN),0),IFERROR(_xlfn.XLOOKUP($D6,'USA-_Sea_shipment'!$C:$C,'USA-_Sea_shipment'!AN:AN),0),IFERROR(_xlfn.XLOOKUP($D6,Amazon_USA_Sea!$C:$C,Amazon_USA_Sea!AN:AN),0),IFERROR(_xlfn.XLOOKUP($D6,USA_Air_Shipment!$C:$C,USA_Air_Shipment!AM:AM),0),IFERROR(_xlfn.XLOOKUP($D6,Amazon_USA_Air_Shipment!$C:$C,Amazon_USA_Air_Shipment!AM:AM),0),IFERROR(_xlfn.XLOOKUP($D6,MENA!$C:$C,MENA!AM:AM),0),IFERROR(_xlfn.XLOOKUP($D6,UK!$C:$C,UK!AM:AM),0),IFERROR(_xlfn.XLOOKUP($D6,BMM_Order!$C:$C,BMM_Order!AM:AM),0),IFERROR(_xlfn.XLOOKUP($D6,'Adhoc-_Backlog'!$C:$C,'Adhoc-_Backlog'!AO:AO),0))</f>
        <v>20</v>
      </c>
      <c r="AW6" s="51">
        <f>SUM(IFERROR(_xlfn.XLOOKUP($D6,Domestic!$C:$C,Domestic!AP:AP),0),IFERROR(_xlfn.XLOOKUP($D6,'INT-_Manjiri'!$C:$C,'INT-_Manjiri'!AO:AO),0),IFERROR(_xlfn.XLOOKUP($D6,'USA-_Sea_shipment'!$C:$C,'USA-_Sea_shipment'!AO:AO),0),IFERROR(_xlfn.XLOOKUP($D6,Amazon_USA_Sea!$C:$C,Amazon_USA_Sea!AO:AO),0),IFERROR(_xlfn.XLOOKUP($D6,USA_Air_Shipment!$C:$C,USA_Air_Shipment!AN:AN),0),IFERROR(_xlfn.XLOOKUP($D6,Amazon_USA_Air_Shipment!$C:$C,Amazon_USA_Air_Shipment!AN:AN),0),IFERROR(_xlfn.XLOOKUP($D6,MENA!$C:$C,MENA!AN:AN),0),IFERROR(_xlfn.XLOOKUP($D6,UK!$C:$C,UK!AN:AN),0),IFERROR(_xlfn.XLOOKUP($D6,BMM_Order!$C:$C,BMM_Order!AN:AN),0),IFERROR(_xlfn.XLOOKUP($D6,'Adhoc-_Backlog'!$C:$C,'Adhoc-_Backlog'!AP:AP),0))</f>
        <v>0</v>
      </c>
      <c r="AX6" s="51">
        <f>SUM(IFERROR(_xlfn.XLOOKUP($D6,Domestic!$C:$C,Domestic!AQ:AQ),0),IFERROR(_xlfn.XLOOKUP($D6,'INT-_Manjiri'!$C:$C,'INT-_Manjiri'!AP:AP),0),IFERROR(_xlfn.XLOOKUP($D6,'USA-_Sea_shipment'!$C:$C,'USA-_Sea_shipment'!AP:AP),0),IFERROR(_xlfn.XLOOKUP($D6,Amazon_USA_Sea!$C:$C,Amazon_USA_Sea!AP:AP),0),IFERROR(_xlfn.XLOOKUP($D6,USA_Air_Shipment!$C:$C,USA_Air_Shipment!AO:AO),0),IFERROR(_xlfn.XLOOKUP($D6,Amazon_USA_Air_Shipment!$C:$C,Amazon_USA_Air_Shipment!AO:AO),0),IFERROR(_xlfn.XLOOKUP($D6,MENA!$C:$C,MENA!AO:AO),0),IFERROR(_xlfn.XLOOKUP($D6,UK!$C:$C,UK!AO:AO),0),IFERROR(_xlfn.XLOOKUP($D6,BMM_Order!$C:$C,BMM_Order!AO:AO),0),IFERROR(_xlfn.XLOOKUP($D6,'Adhoc-_Backlog'!$C:$C,'Adhoc-_Backlog'!AQ:AQ),0))</f>
        <v>40</v>
      </c>
      <c r="AY6" s="51">
        <f>SUM(IFERROR(_xlfn.XLOOKUP($D6,Domestic!$C:$C,Domestic!AR:AR),0),IFERROR(_xlfn.XLOOKUP($D6,'INT-_Manjiri'!$C:$C,'INT-_Manjiri'!AQ:AQ),0),IFERROR(_xlfn.XLOOKUP($D6,'USA-_Sea_shipment'!$C:$C,'USA-_Sea_shipment'!AQ:AQ),0),IFERROR(_xlfn.XLOOKUP($D6,Amazon_USA_Sea!$C:$C,Amazon_USA_Sea!AQ:AQ),0),IFERROR(_xlfn.XLOOKUP($D6,USA_Air_Shipment!$C:$C,USA_Air_Shipment!AP:AP),0),IFERROR(_xlfn.XLOOKUP($D6,Amazon_USA_Air_Shipment!$C:$C,Amazon_USA_Air_Shipment!AP:AP),0),IFERROR(_xlfn.XLOOKUP($D6,MENA!$C:$C,MENA!AP:AP),0),IFERROR(_xlfn.XLOOKUP($D6,UK!$C:$C,UK!AP:AP),0),IFERROR(_xlfn.XLOOKUP($D6,BMM_Order!$C:$C,BMM_Order!AP:AP),0),IFERROR(_xlfn.XLOOKUP($D6,'Adhoc-_Backlog'!$C:$C,'Adhoc-_Backlog'!AR:AR),0))</f>
        <v>0</v>
      </c>
      <c r="AZ6" s="51">
        <f>SUM(IFERROR(_xlfn.XLOOKUP($D6,Domestic!$C:$C,Domestic!AS:AS),0),IFERROR(_xlfn.XLOOKUP($D6,'INT-_Manjiri'!$C:$C,'INT-_Manjiri'!AR:AR),0),IFERROR(_xlfn.XLOOKUP($D6,'USA-_Sea_shipment'!$C:$C,'USA-_Sea_shipment'!AR:AR),0),IFERROR(_xlfn.XLOOKUP($D6,Amazon_USA_Sea!$C:$C,Amazon_USA_Sea!AR:AR),0),IFERROR(_xlfn.XLOOKUP($D6,USA_Air_Shipment!$C:$C,USA_Air_Shipment!AQ:AQ),0),IFERROR(_xlfn.XLOOKUP($D6,Amazon_USA_Air_Shipment!$C:$C,Amazon_USA_Air_Shipment!AQ:AQ),0),IFERROR(_xlfn.XLOOKUP($D6,MENA!$C:$C,MENA!AQ:AQ),0),IFERROR(_xlfn.XLOOKUP($D6,UK!$C:$C,UK!AQ:AQ),0),IFERROR(_xlfn.XLOOKUP($D6,BMM_Order!$C:$C,BMM_Order!AQ:AQ),0),IFERROR(_xlfn.XLOOKUP($D6,'Adhoc-_Backlog'!$C:$C,'Adhoc-_Backlog'!AS:AS),0))</f>
        <v>0</v>
      </c>
      <c r="BA6" s="51">
        <f>SUM(IFERROR(_xlfn.XLOOKUP($D6,Domestic!$C:$C,Domestic!AT:AT),0),IFERROR(_xlfn.XLOOKUP($D6,'INT-_Manjiri'!$C:$C,'INT-_Manjiri'!AS:AS),0),IFERROR(_xlfn.XLOOKUP($D6,'USA-_Sea_shipment'!$C:$C,'USA-_Sea_shipment'!AS:AS),0),IFERROR(_xlfn.XLOOKUP($D6,Amazon_USA_Sea!$C:$C,Amazon_USA_Sea!AS:AS),0),IFERROR(_xlfn.XLOOKUP($D6,USA_Air_Shipment!$C:$C,USA_Air_Shipment!AR:AR),0),IFERROR(_xlfn.XLOOKUP($D6,Amazon_USA_Air_Shipment!$C:$C,Amazon_USA_Air_Shipment!AR:AR),0),IFERROR(_xlfn.XLOOKUP($D6,MENA!$C:$C,MENA!AR:AR),0),IFERROR(_xlfn.XLOOKUP($D6,UK!$C:$C,UK!AR:AR),0),IFERROR(_xlfn.XLOOKUP($D6,BMM_Order!$C:$C,BMM_Order!AR:AR),0),IFERROR(_xlfn.XLOOKUP($D6,'Adhoc-_Backlog'!$C:$C,'Adhoc-_Backlog'!AT:AT),0))</f>
        <v>0</v>
      </c>
      <c r="BB6" s="52">
        <f t="shared" si="2"/>
        <v>64</v>
      </c>
      <c r="BC6" s="64">
        <f t="shared" si="3"/>
        <v>16</v>
      </c>
      <c r="BD6" s="65">
        <f t="shared" si="4"/>
        <v>255</v>
      </c>
      <c r="BE6" s="64">
        <f t="shared" si="5"/>
        <v>63.75</v>
      </c>
      <c r="BF6" s="66">
        <f t="shared" si="6"/>
        <v>0.20062695924764889</v>
      </c>
      <c r="BG6" s="67" t="str">
        <f>_xlfn.TEXTJOIN(" | ",TRUE,IFERROR(_xlfn.XLOOKUP($D6,Domestic!$C:$C,Domestic!$BG:$BG,""),""),IFERROR(_xlfn.XLOOKUP($D6,'INT-_Manjiri'!$C:$C,'INT-_Manjiri'!$AY:$AY,""),""),IFERROR(_xlfn.XLOOKUP($D6,'USA-_Sea_shipment'!$C:$C,'USA-_Sea_shipment'!#REF!,""),""),IFERROR(_xlfn.XLOOKUP($D6,Amazon_USA_Sea!$C:$C,Amazon_USA_Sea!$AY:$AY,""),""),IFERROR(_xlfn.XLOOKUP($D6,USA_Air_Shipment!$C:$C,USA_Air_Shipment!$AW:$AW,""),""),IFERROR(_xlfn.XLOOKUP($D6,Amazon_USA_Air_Shipment!$C:$C,Amazon_USA_Air_Shipment!$AW:$AW,""),""),IFERROR(_xlfn.XLOOKUP($D6,MENA!$C:$C,MENA!$AW:$AW,""),""),IFERROR(_xlfn.XLOOKUP($D6,UK!$C:$C,UK!$BA:$BA,""),""),IFERROR(_xlfn.XLOOKUP($D6,BMM_Order!$C:$C,BMM_Order!$BA:$BA,""),""),IFERROR(_xlfn.XLOOKUP($D6,'Adhoc-_Backlog'!$C:$C,'Adhoc-_Backlog'!$BD:$BD,""),""))</f>
        <v>WIP</v>
      </c>
      <c r="BH6" s="67">
        <f>_xlfn.XLOOKUP(D6,Raw_Data!A:A,Raw_Data!B:B)</f>
        <v>46</v>
      </c>
      <c r="BI6" s="68">
        <f t="shared" si="7"/>
        <v>4.3260188087774294</v>
      </c>
      <c r="BJ6" s="67">
        <f t="shared" si="8"/>
        <v>10</v>
      </c>
      <c r="BK6" s="57" t="str">
        <f t="shared" si="9"/>
        <v>P1 – Critical</v>
      </c>
      <c r="BL6" t="s">
        <v>121</v>
      </c>
    </row>
    <row r="7" spans="1:64" ht="13">
      <c r="A7" s="58">
        <f>16</f>
        <v>16</v>
      </c>
      <c r="B7" s="45" t="s">
        <v>12</v>
      </c>
      <c r="C7" s="59"/>
      <c r="D7" s="60" t="str">
        <f>Projection_!A19</f>
        <v>FG00265</v>
      </c>
      <c r="E7" s="61" t="str">
        <f>Projection_!B19</f>
        <v>Turmeric Ghee 250gm</v>
      </c>
      <c r="F7" s="62">
        <v>0.25</v>
      </c>
      <c r="G7" s="63">
        <f>IFERROR(_xlfn.XLOOKUP($D7,Projection_!$A:$A,Projection_!$J:$J),0)</f>
        <v>118</v>
      </c>
      <c r="H7" s="63">
        <f>IFERROR(_xlfn.XLOOKUP($D7,Projection_!$A:$A,Projection_!$K:$K),0)</f>
        <v>0</v>
      </c>
      <c r="I7" s="63">
        <f>IFERROR(_xlfn.XLOOKUP($D7,Projection_!$A:$A,Projection_!$L:$L),0)</f>
        <v>31</v>
      </c>
      <c r="J7" s="63">
        <f>IFERROR(_xlfn.XLOOKUP($D7,Projection_!$A:$A,Projection_!$M:$M),0)</f>
        <v>0</v>
      </c>
      <c r="K7" s="63">
        <f>IFERROR(_xlfn.XLOOKUP($D7,Projection_!$A:$A,Projection_!$Q:$Q),0)</f>
        <v>0</v>
      </c>
      <c r="L7" s="63">
        <f>IFERROR(_xlfn.XLOOKUP($D7,Projection_!$A:$A,Projection_!$R:$R),0)</f>
        <v>0</v>
      </c>
      <c r="M7" s="63">
        <f>IFERROR(_xlfn.XLOOKUP($D7,Projection_!$A:$A,Projection_!$O:$O),0)</f>
        <v>0</v>
      </c>
      <c r="N7" s="63">
        <f>IFERROR(_xlfn.XLOOKUP($D7,Projection_!$A:$A,Projection_!$P:$P),0)</f>
        <v>0</v>
      </c>
      <c r="O7" s="50">
        <f t="shared" si="1"/>
        <v>149</v>
      </c>
      <c r="P7" s="51">
        <f>SUM(IFERROR(_xlfn.XLOOKUP($D7,Domestic!$C:$C,Domestic!I:I),0),IFERROR(_xlfn.XLOOKUP($D7,'INT-_Manjiri'!$C:$C,'INT-_Manjiri'!H:H),0),IFERROR(_xlfn.XLOOKUP($D7,'USA-_Sea_shipment'!$C:$C,'USA-_Sea_shipment'!H:H),0),IFERROR(_xlfn.XLOOKUP($D7,Amazon_USA_Sea!$C:$C,Amazon_USA_Sea!H:H),0),IFERROR(_xlfn.XLOOKUP($D7,USA_Air_Shipment!$C:$C,USA_Air_Shipment!G:G),0),IFERROR(_xlfn.XLOOKUP($D7,Amazon_USA_Air_Shipment!$C:$C,Amazon_USA_Air_Shipment!G:G),0),IFERROR(_xlfn.XLOOKUP($D7,MENA!$C:$C,MENA!G:G),0),IFERROR(_xlfn.XLOOKUP($D7,UK!$C:$C,UK!G:G),0),IFERROR(_xlfn.XLOOKUP($D7,BMM_Order!$C:$C,BMM_Order!G:G),0),IFERROR(_xlfn.XLOOKUP($D7,'Adhoc-_Backlog'!$C:$C,'Adhoc-_Backlog'!I:I),0))</f>
        <v>0</v>
      </c>
      <c r="Q7" s="51">
        <f>SUM(IFERROR(_xlfn.XLOOKUP($D7,Domestic!$C:$C,Domestic!J:J),0),IFERROR(_xlfn.XLOOKUP($D7,'INT-_Manjiri'!$C:$C,'INT-_Manjiri'!I:I),0),IFERROR(_xlfn.XLOOKUP($D7,'USA-_Sea_shipment'!$C:$C,'USA-_Sea_shipment'!I:I),0),IFERROR(_xlfn.XLOOKUP($D7,Amazon_USA_Sea!$C:$C,Amazon_USA_Sea!I:I),0),IFERROR(_xlfn.XLOOKUP($D7,USA_Air_Shipment!$C:$C,USA_Air_Shipment!H:H),0),IFERROR(_xlfn.XLOOKUP($D7,Amazon_USA_Air_Shipment!$C:$C,Amazon_USA_Air_Shipment!H:H),0),IFERROR(_xlfn.XLOOKUP($D7,MENA!$C:$C,MENA!H:H),0),IFERROR(_xlfn.XLOOKUP($D7,UK!$C:$C,UK!H:H),0),IFERROR(_xlfn.XLOOKUP($D7,BMM_Order!$C:$C,BMM_Order!H:H),0),IFERROR(_xlfn.XLOOKUP($D7,'Adhoc-_Backlog'!$C:$C,'Adhoc-_Backlog'!J:J),0))</f>
        <v>0</v>
      </c>
      <c r="R7" s="51">
        <f>SUM(IFERROR(_xlfn.XLOOKUP($D7,Domestic!$C:$C,Domestic!K:K),0),IFERROR(_xlfn.XLOOKUP($D7,'INT-_Manjiri'!$C:$C,'INT-_Manjiri'!J:J),0),IFERROR(_xlfn.XLOOKUP($D7,'USA-_Sea_shipment'!$C:$C,'USA-_Sea_shipment'!J:J),0),IFERROR(_xlfn.XLOOKUP($D7,Amazon_USA_Sea!$C:$C,Amazon_USA_Sea!J:J),0),IFERROR(_xlfn.XLOOKUP($D7,USA_Air_Shipment!$C:$C,USA_Air_Shipment!I:I),0),IFERROR(_xlfn.XLOOKUP($D7,Amazon_USA_Air_Shipment!$C:$C,Amazon_USA_Air_Shipment!I:I),0),IFERROR(_xlfn.XLOOKUP($D7,MENA!$C:$C,MENA!I:I),0),IFERROR(_xlfn.XLOOKUP($D7,UK!$C:$C,UK!I:I),0),IFERROR(_xlfn.XLOOKUP($D7,BMM_Order!$C:$C,BMM_Order!I:I),0),IFERROR(_xlfn.XLOOKUP($D7,'Adhoc-_Backlog'!$C:$C,'Adhoc-_Backlog'!K:K),0))</f>
        <v>0</v>
      </c>
      <c r="S7" s="51">
        <f>SUM(IFERROR(_xlfn.XLOOKUP($D7,Domestic!$C:$C,Domestic!L:L),0),IFERROR(_xlfn.XLOOKUP($D7,'INT-_Manjiri'!$C:$C,'INT-_Manjiri'!K:K),0),IFERROR(_xlfn.XLOOKUP($D7,'USA-_Sea_shipment'!$C:$C,'USA-_Sea_shipment'!K:K),0),IFERROR(_xlfn.XLOOKUP($D7,Amazon_USA_Sea!$C:$C,Amazon_USA_Sea!K:K),0),IFERROR(_xlfn.XLOOKUP($D7,USA_Air_Shipment!$C:$C,USA_Air_Shipment!J:J),0),IFERROR(_xlfn.XLOOKUP($D7,Amazon_USA_Air_Shipment!$C:$C,Amazon_USA_Air_Shipment!J:J),0),IFERROR(_xlfn.XLOOKUP($D7,MENA!$C:$C,MENA!J:J),0),IFERROR(_xlfn.XLOOKUP($D7,UK!$C:$C,UK!J:J),0),IFERROR(_xlfn.XLOOKUP($D7,BMM_Order!$C:$C,BMM_Order!J:J),0),IFERROR(_xlfn.XLOOKUP($D7,'Adhoc-_Backlog'!$C:$C,'Adhoc-_Backlog'!L:L),0))</f>
        <v>0</v>
      </c>
      <c r="T7" s="51">
        <f>SUM(IFERROR(_xlfn.XLOOKUP($D7,Domestic!$C:$C,Domestic!M:M),0),IFERROR(_xlfn.XLOOKUP($D7,'INT-_Manjiri'!$C:$C,'INT-_Manjiri'!L:L),0),IFERROR(_xlfn.XLOOKUP($D7,'USA-_Sea_shipment'!$C:$C,'USA-_Sea_shipment'!L:L),0),IFERROR(_xlfn.XLOOKUP($D7,Amazon_USA_Sea!$C:$C,Amazon_USA_Sea!L:L),0),IFERROR(_xlfn.XLOOKUP($D7,USA_Air_Shipment!$C:$C,USA_Air_Shipment!K:K),0),IFERROR(_xlfn.XLOOKUP($D7,Amazon_USA_Air_Shipment!$C:$C,Amazon_USA_Air_Shipment!K:K),0),IFERROR(_xlfn.XLOOKUP($D7,MENA!$C:$C,MENA!K:K),0),IFERROR(_xlfn.XLOOKUP($D7,UK!$C:$C,UK!K:K),0),IFERROR(_xlfn.XLOOKUP($D7,BMM_Order!$C:$C,BMM_Order!K:K),0),IFERROR(_xlfn.XLOOKUP($D7,'Adhoc-_Backlog'!$C:$C,'Adhoc-_Backlog'!M:M),0))</f>
        <v>0</v>
      </c>
      <c r="U7" s="51">
        <f>SUM(IFERROR(_xlfn.XLOOKUP($D7,Domestic!$C:$C,Domestic!N:N),0),IFERROR(_xlfn.XLOOKUP($D7,'INT-_Manjiri'!$C:$C,'INT-_Manjiri'!M:M),0),IFERROR(_xlfn.XLOOKUP($D7,'USA-_Sea_shipment'!$C:$C,'USA-_Sea_shipment'!M:M),0),IFERROR(_xlfn.XLOOKUP($D7,Amazon_USA_Sea!$C:$C,Amazon_USA_Sea!M:M),0),IFERROR(_xlfn.XLOOKUP($D7,USA_Air_Shipment!$C:$C,USA_Air_Shipment!L:L),0),IFERROR(_xlfn.XLOOKUP($D7,Amazon_USA_Air_Shipment!$C:$C,Amazon_USA_Air_Shipment!L:L),0),IFERROR(_xlfn.XLOOKUP($D7,MENA!$C:$C,MENA!L:L),0),IFERROR(_xlfn.XLOOKUP($D7,UK!$C:$C,UK!L:L),0),IFERROR(_xlfn.XLOOKUP($D7,BMM_Order!$C:$C,BMM_Order!L:L),0),IFERROR(_xlfn.XLOOKUP($D7,'Adhoc-_Backlog'!$C:$C,'Adhoc-_Backlog'!N:N),0))</f>
        <v>0</v>
      </c>
      <c r="V7" s="51">
        <f>SUM(IFERROR(_xlfn.XLOOKUP($D7,Domestic!$C:$C,Domestic!O:O),0),IFERROR(_xlfn.XLOOKUP($D7,'INT-_Manjiri'!$C:$C,'INT-_Manjiri'!N:N),0),IFERROR(_xlfn.XLOOKUP($D7,'USA-_Sea_shipment'!$C:$C,'USA-_Sea_shipment'!N:N),0),IFERROR(_xlfn.XLOOKUP($D7,Amazon_USA_Sea!$C:$C,Amazon_USA_Sea!N:N),0),IFERROR(_xlfn.XLOOKUP($D7,USA_Air_Shipment!$C:$C,USA_Air_Shipment!M:M),0),IFERROR(_xlfn.XLOOKUP($D7,Amazon_USA_Air_Shipment!$C:$C,Amazon_USA_Air_Shipment!M:M),0),IFERROR(_xlfn.XLOOKUP($D7,MENA!$C:$C,MENA!M:M),0),IFERROR(_xlfn.XLOOKUP($D7,UK!$C:$C,UK!M:M),0),IFERROR(_xlfn.XLOOKUP($D7,BMM_Order!$C:$C,BMM_Order!M:M),0),IFERROR(_xlfn.XLOOKUP($D7,'Adhoc-_Backlog'!$C:$C,'Adhoc-_Backlog'!O:O),0))</f>
        <v>0</v>
      </c>
      <c r="W7" s="51">
        <f>SUM(IFERROR(_xlfn.XLOOKUP($D7,Domestic!$C:$C,Domestic!P:P),0),IFERROR(_xlfn.XLOOKUP($D7,'INT-_Manjiri'!$C:$C,'INT-_Manjiri'!O:O),0),IFERROR(_xlfn.XLOOKUP($D7,'USA-_Sea_shipment'!$C:$C,'USA-_Sea_shipment'!O:O),0),IFERROR(_xlfn.XLOOKUP($D7,Amazon_USA_Sea!$C:$C,Amazon_USA_Sea!O:O),0),IFERROR(_xlfn.XLOOKUP($D7,USA_Air_Shipment!$C:$C,USA_Air_Shipment!N:N),0),IFERROR(_xlfn.XLOOKUP($D7,Amazon_USA_Air_Shipment!$C:$C,Amazon_USA_Air_Shipment!N:N),0),IFERROR(_xlfn.XLOOKUP($D7,MENA!$C:$C,MENA!N:N),0),IFERROR(_xlfn.XLOOKUP($D7,UK!$C:$C,UK!N:N),0),IFERROR(_xlfn.XLOOKUP($D7,BMM_Order!$C:$C,BMM_Order!N:N),0),IFERROR(_xlfn.XLOOKUP($D7,'Adhoc-_Backlog'!$C:$C,'Adhoc-_Backlog'!P:P),0))</f>
        <v>0</v>
      </c>
      <c r="X7" s="51">
        <f>SUM(IFERROR(_xlfn.XLOOKUP($D7,Domestic!$C:$C,Domestic!Q:Q),0),IFERROR(_xlfn.XLOOKUP($D7,'INT-_Manjiri'!$C:$C,'INT-_Manjiri'!P:P),0),IFERROR(_xlfn.XLOOKUP($D7,'USA-_Sea_shipment'!$C:$C,'USA-_Sea_shipment'!P:P),0),IFERROR(_xlfn.XLOOKUP($D7,Amazon_USA_Sea!$C:$C,Amazon_USA_Sea!P:P),0),IFERROR(_xlfn.XLOOKUP($D7,USA_Air_Shipment!$C:$C,USA_Air_Shipment!O:O),0),IFERROR(_xlfn.XLOOKUP($D7,Amazon_USA_Air_Shipment!$C:$C,Amazon_USA_Air_Shipment!O:O),0),IFERROR(_xlfn.XLOOKUP($D7,MENA!$C:$C,MENA!O:O),0),IFERROR(_xlfn.XLOOKUP($D7,UK!$C:$C,UK!O:O),0),IFERROR(_xlfn.XLOOKUP($D7,BMM_Order!$C:$C,BMM_Order!O:O),0),IFERROR(_xlfn.XLOOKUP($D7,'Adhoc-_Backlog'!$C:$C,'Adhoc-_Backlog'!Q:Q),0))</f>
        <v>0</v>
      </c>
      <c r="Y7" s="51">
        <f>SUM(IFERROR(_xlfn.XLOOKUP($D7,Domestic!$C:$C,Domestic!R:R),0),IFERROR(_xlfn.XLOOKUP($D7,'INT-_Manjiri'!$C:$C,'INT-_Manjiri'!Q:Q),0),IFERROR(_xlfn.XLOOKUP($D7,'USA-_Sea_shipment'!$C:$C,'USA-_Sea_shipment'!Q:Q),0),IFERROR(_xlfn.XLOOKUP($D7,Amazon_USA_Sea!$C:$C,Amazon_USA_Sea!Q:Q),0),IFERROR(_xlfn.XLOOKUP($D7,USA_Air_Shipment!$C:$C,USA_Air_Shipment!P:P),0),IFERROR(_xlfn.XLOOKUP($D7,Amazon_USA_Air_Shipment!$C:$C,Amazon_USA_Air_Shipment!P:P),0),IFERROR(_xlfn.XLOOKUP($D7,MENA!$C:$C,MENA!P:P),0),IFERROR(_xlfn.XLOOKUP($D7,UK!$C:$C,UK!P:P),0),IFERROR(_xlfn.XLOOKUP($D7,BMM_Order!$C:$C,BMM_Order!P:P),0),IFERROR(_xlfn.XLOOKUP($D7,'Adhoc-_Backlog'!$C:$C,'Adhoc-_Backlog'!R:R),0))</f>
        <v>0</v>
      </c>
      <c r="Z7" s="51">
        <f>SUM(IFERROR(_xlfn.XLOOKUP($D7,Domestic!$C:$C,Domestic!S:S),0),IFERROR(_xlfn.XLOOKUP($D7,'INT-_Manjiri'!$C:$C,'INT-_Manjiri'!R:R),0),IFERROR(_xlfn.XLOOKUP($D7,'USA-_Sea_shipment'!$C:$C,'USA-_Sea_shipment'!R:R),0),IFERROR(_xlfn.XLOOKUP($D7,Amazon_USA_Sea!$C:$C,Amazon_USA_Sea!R:R),0),IFERROR(_xlfn.XLOOKUP($D7,USA_Air_Shipment!$C:$C,USA_Air_Shipment!Q:Q),0),IFERROR(_xlfn.XLOOKUP($D7,Amazon_USA_Air_Shipment!$C:$C,Amazon_USA_Air_Shipment!Q:Q),0),IFERROR(_xlfn.XLOOKUP($D7,MENA!$C:$C,MENA!Q:Q),0),IFERROR(_xlfn.XLOOKUP($D7,UK!$C:$C,UK!Q:Q),0),IFERROR(_xlfn.XLOOKUP($D7,BMM_Order!$C:$C,BMM_Order!Q:Q),0),IFERROR(_xlfn.XLOOKUP($D7,'Adhoc-_Backlog'!$C:$C,'Adhoc-_Backlog'!S:S),0))</f>
        <v>0</v>
      </c>
      <c r="AA7" s="51">
        <f>SUM(IFERROR(_xlfn.XLOOKUP($D7,Domestic!$C:$C,Domestic!T:T),0),IFERROR(_xlfn.XLOOKUP($D7,'INT-_Manjiri'!$C:$C,'INT-_Manjiri'!S:S),0),IFERROR(_xlfn.XLOOKUP($D7,'USA-_Sea_shipment'!$C:$C,'USA-_Sea_shipment'!S:S),0),IFERROR(_xlfn.XLOOKUP($D7,Amazon_USA_Sea!$C:$C,Amazon_USA_Sea!S:S),0),IFERROR(_xlfn.XLOOKUP($D7,USA_Air_Shipment!$C:$C,USA_Air_Shipment!R:R),0),IFERROR(_xlfn.XLOOKUP($D7,Amazon_USA_Air_Shipment!$C:$C,Amazon_USA_Air_Shipment!R:R),0),IFERROR(_xlfn.XLOOKUP($D7,MENA!$C:$C,MENA!R:R),0),IFERROR(_xlfn.XLOOKUP($D7,UK!$C:$C,UK!R:R),0),IFERROR(_xlfn.XLOOKUP($D7,BMM_Order!$C:$C,BMM_Order!R:R),0),IFERROR(_xlfn.XLOOKUP($D7,'Adhoc-_Backlog'!$C:$C,'Adhoc-_Backlog'!T:T),0))</f>
        <v>0</v>
      </c>
      <c r="AB7" s="51">
        <f>SUM(IFERROR(_xlfn.XLOOKUP($D7,Domestic!$C:$C,Domestic!U:U),0),IFERROR(_xlfn.XLOOKUP($D7,'INT-_Manjiri'!$C:$C,'INT-_Manjiri'!T:T),0),IFERROR(_xlfn.XLOOKUP($D7,'USA-_Sea_shipment'!$C:$C,'USA-_Sea_shipment'!T:T),0),IFERROR(_xlfn.XLOOKUP($D7,Amazon_USA_Sea!$C:$C,Amazon_USA_Sea!T:T),0),IFERROR(_xlfn.XLOOKUP($D7,USA_Air_Shipment!$C:$C,USA_Air_Shipment!S:S),0),IFERROR(_xlfn.XLOOKUP($D7,Amazon_USA_Air_Shipment!$C:$C,Amazon_USA_Air_Shipment!S:S),0),IFERROR(_xlfn.XLOOKUP($D7,MENA!$C:$C,MENA!S:S),0),IFERROR(_xlfn.XLOOKUP($D7,UK!$C:$C,UK!S:S),0),IFERROR(_xlfn.XLOOKUP($D7,BMM_Order!$C:$C,BMM_Order!S:S),0),IFERROR(_xlfn.XLOOKUP($D7,'Adhoc-_Backlog'!$C:$C,'Adhoc-_Backlog'!U:U),0))</f>
        <v>0</v>
      </c>
      <c r="AC7" s="51">
        <f>SUM(IFERROR(_xlfn.XLOOKUP($D7,Domestic!$C:$C,Domestic!V:V),0),IFERROR(_xlfn.XLOOKUP($D7,'INT-_Manjiri'!$C:$C,'INT-_Manjiri'!U:U),0),IFERROR(_xlfn.XLOOKUP($D7,'USA-_Sea_shipment'!$C:$C,'USA-_Sea_shipment'!U:U),0),IFERROR(_xlfn.XLOOKUP($D7,Amazon_USA_Sea!$C:$C,Amazon_USA_Sea!U:U),0),IFERROR(_xlfn.XLOOKUP($D7,USA_Air_Shipment!$C:$C,USA_Air_Shipment!T:T),0),IFERROR(_xlfn.XLOOKUP($D7,Amazon_USA_Air_Shipment!$C:$C,Amazon_USA_Air_Shipment!T:T),0),IFERROR(_xlfn.XLOOKUP($D7,MENA!$C:$C,MENA!T:T),0),IFERROR(_xlfn.XLOOKUP($D7,UK!$C:$C,UK!T:T),0),IFERROR(_xlfn.XLOOKUP($D7,BMM_Order!$C:$C,BMM_Order!T:T),0),IFERROR(_xlfn.XLOOKUP($D7,'Adhoc-_Backlog'!$C:$C,'Adhoc-_Backlog'!V:V),0))</f>
        <v>0</v>
      </c>
      <c r="AD7" s="51">
        <f>SUM(IFERROR(_xlfn.XLOOKUP($D7,Domestic!$C:$C,Domestic!W:W),0),IFERROR(_xlfn.XLOOKUP($D7,'INT-_Manjiri'!$C:$C,'INT-_Manjiri'!V:V),0),IFERROR(_xlfn.XLOOKUP($D7,'USA-_Sea_shipment'!$C:$C,'USA-_Sea_shipment'!V:V),0),IFERROR(_xlfn.XLOOKUP($D7,Amazon_USA_Sea!$C:$C,Amazon_USA_Sea!V:V),0),IFERROR(_xlfn.XLOOKUP($D7,USA_Air_Shipment!$C:$C,USA_Air_Shipment!U:U),0),IFERROR(_xlfn.XLOOKUP($D7,Amazon_USA_Air_Shipment!$C:$C,Amazon_USA_Air_Shipment!U:U),0),IFERROR(_xlfn.XLOOKUP($D7,MENA!$C:$C,MENA!U:U),0),IFERROR(_xlfn.XLOOKUP($D7,UK!$C:$C,UK!U:U),0),IFERROR(_xlfn.XLOOKUP($D7,BMM_Order!$C:$C,BMM_Order!U:U),0),IFERROR(_xlfn.XLOOKUP($D7,'Adhoc-_Backlog'!$C:$C,'Adhoc-_Backlog'!W:W),0))</f>
        <v>0</v>
      </c>
      <c r="AE7" s="51">
        <f>SUM(IFERROR(_xlfn.XLOOKUP($D7,Domestic!$C:$C,Domestic!X:X),0),IFERROR(_xlfn.XLOOKUP($D7,'INT-_Manjiri'!$C:$C,'INT-_Manjiri'!W:W),0),IFERROR(_xlfn.XLOOKUP($D7,'USA-_Sea_shipment'!$C:$C,'USA-_Sea_shipment'!W:W),0),IFERROR(_xlfn.XLOOKUP($D7,Amazon_USA_Sea!$C:$C,Amazon_USA_Sea!W:W),0),IFERROR(_xlfn.XLOOKUP($D7,USA_Air_Shipment!$C:$C,USA_Air_Shipment!V:V),0),IFERROR(_xlfn.XLOOKUP($D7,Amazon_USA_Air_Shipment!$C:$C,Amazon_USA_Air_Shipment!V:V),0),IFERROR(_xlfn.XLOOKUP($D7,MENA!$C:$C,MENA!V:V),0),IFERROR(_xlfn.XLOOKUP($D7,UK!$C:$C,UK!V:V),0),IFERROR(_xlfn.XLOOKUP($D7,BMM_Order!$C:$C,BMM_Order!V:V),0),IFERROR(_xlfn.XLOOKUP($D7,'Adhoc-_Backlog'!$C:$C,'Adhoc-_Backlog'!X:X),0))</f>
        <v>0</v>
      </c>
      <c r="AF7" s="51">
        <f>SUM(IFERROR(_xlfn.XLOOKUP($D7,Domestic!$C:$C,Domestic!Y:Y),0),IFERROR(_xlfn.XLOOKUP($D7,'INT-_Manjiri'!$C:$C,'INT-_Manjiri'!X:X),0),IFERROR(_xlfn.XLOOKUP($D7,'USA-_Sea_shipment'!$C:$C,'USA-_Sea_shipment'!X:X),0),IFERROR(_xlfn.XLOOKUP($D7,Amazon_USA_Sea!$C:$C,Amazon_USA_Sea!X:X),0),IFERROR(_xlfn.XLOOKUP($D7,USA_Air_Shipment!$C:$C,USA_Air_Shipment!W:W),0),IFERROR(_xlfn.XLOOKUP($D7,Amazon_USA_Air_Shipment!$C:$C,Amazon_USA_Air_Shipment!W:W),0),IFERROR(_xlfn.XLOOKUP($D7,MENA!$C:$C,MENA!W:W),0),IFERROR(_xlfn.XLOOKUP($D7,UK!$C:$C,UK!W:W),0),IFERROR(_xlfn.XLOOKUP($D7,BMM_Order!$C:$C,BMM_Order!W:W),0),IFERROR(_xlfn.XLOOKUP($D7,'Adhoc-_Backlog'!$C:$C,'Adhoc-_Backlog'!Y:Y),0))</f>
        <v>0</v>
      </c>
      <c r="AG7" s="51">
        <f>SUM(IFERROR(_xlfn.XLOOKUP($D7,Domestic!$C:$C,Domestic!Z:Z),0),IFERROR(_xlfn.XLOOKUP($D7,'INT-_Manjiri'!$C:$C,'INT-_Manjiri'!Y:Y),0),IFERROR(_xlfn.XLOOKUP($D7,'USA-_Sea_shipment'!$C:$C,'USA-_Sea_shipment'!Y:Y),0),IFERROR(_xlfn.XLOOKUP($D7,Amazon_USA_Sea!$C:$C,Amazon_USA_Sea!Y:Y),0),IFERROR(_xlfn.XLOOKUP($D7,USA_Air_Shipment!$C:$C,USA_Air_Shipment!X:X),0),IFERROR(_xlfn.XLOOKUP($D7,Amazon_USA_Air_Shipment!$C:$C,Amazon_USA_Air_Shipment!X:X),0),IFERROR(_xlfn.XLOOKUP($D7,MENA!$C:$C,MENA!X:X),0),IFERROR(_xlfn.XLOOKUP($D7,UK!$C:$C,UK!X:X),0),IFERROR(_xlfn.XLOOKUP($D7,BMM_Order!$C:$C,BMM_Order!X:X),0),IFERROR(_xlfn.XLOOKUP($D7,'Adhoc-_Backlog'!$C:$C,'Adhoc-_Backlog'!Z:Z),0))</f>
        <v>0</v>
      </c>
      <c r="AH7" s="51">
        <f>SUM(IFERROR(_xlfn.XLOOKUP($D7,Domestic!$C:$C,Domestic!AA:AA),0),IFERROR(_xlfn.XLOOKUP($D7,'INT-_Manjiri'!$C:$C,'INT-_Manjiri'!Z:Z),0),IFERROR(_xlfn.XLOOKUP($D7,'USA-_Sea_shipment'!$C:$C,'USA-_Sea_shipment'!Z:Z),0),IFERROR(_xlfn.XLOOKUP($D7,Amazon_USA_Sea!$C:$C,Amazon_USA_Sea!Z:Z),0),IFERROR(_xlfn.XLOOKUP($D7,USA_Air_Shipment!$C:$C,USA_Air_Shipment!Y:Y),0),IFERROR(_xlfn.XLOOKUP($D7,Amazon_USA_Air_Shipment!$C:$C,Amazon_USA_Air_Shipment!Y:Y),0),IFERROR(_xlfn.XLOOKUP($D7,MENA!$C:$C,MENA!Y:Y),0),IFERROR(_xlfn.XLOOKUP($D7,UK!$C:$C,UK!Y:Y),0),IFERROR(_xlfn.XLOOKUP($D7,BMM_Order!$C:$C,BMM_Order!Y:Y),0),IFERROR(_xlfn.XLOOKUP($D7,'Adhoc-_Backlog'!$C:$C,'Adhoc-_Backlog'!AA:AA),0))</f>
        <v>7</v>
      </c>
      <c r="AI7" s="51">
        <f>SUM(IFERROR(_xlfn.XLOOKUP($D7,Domestic!$C:$C,Domestic!AB:AB),0),IFERROR(_xlfn.XLOOKUP($D7,'INT-_Manjiri'!$C:$C,'INT-_Manjiri'!AA:AA),0),IFERROR(_xlfn.XLOOKUP($D7,'USA-_Sea_shipment'!$C:$C,'USA-_Sea_shipment'!AA:AA),0),IFERROR(_xlfn.XLOOKUP($D7,Amazon_USA_Sea!$C:$C,Amazon_USA_Sea!AA:AA),0),IFERROR(_xlfn.XLOOKUP($D7,USA_Air_Shipment!$C:$C,USA_Air_Shipment!Z:Z),0),IFERROR(_xlfn.XLOOKUP($D7,Amazon_USA_Air_Shipment!$C:$C,Amazon_USA_Air_Shipment!Z:Z),0),IFERROR(_xlfn.XLOOKUP($D7,MENA!$C:$C,MENA!Z:Z),0),IFERROR(_xlfn.XLOOKUP($D7,UK!$C:$C,UK!Z:Z),0),IFERROR(_xlfn.XLOOKUP($D7,BMM_Order!$C:$C,BMM_Order!Z:Z),0),IFERROR(_xlfn.XLOOKUP($D7,'Adhoc-_Backlog'!$C:$C,'Adhoc-_Backlog'!AB:AB),0))</f>
        <v>0</v>
      </c>
      <c r="AJ7" s="51">
        <f>SUM(IFERROR(_xlfn.XLOOKUP($D7,Domestic!$C:$C,Domestic!AC:AC),0),IFERROR(_xlfn.XLOOKUP($D7,'INT-_Manjiri'!$C:$C,'INT-_Manjiri'!AB:AB),0),IFERROR(_xlfn.XLOOKUP($D7,'USA-_Sea_shipment'!$C:$C,'USA-_Sea_shipment'!AB:AB),0),IFERROR(_xlfn.XLOOKUP($D7,Amazon_USA_Sea!$C:$C,Amazon_USA_Sea!AB:AB),0),IFERROR(_xlfn.XLOOKUP($D7,USA_Air_Shipment!$C:$C,USA_Air_Shipment!AA:AA),0),IFERROR(_xlfn.XLOOKUP($D7,Amazon_USA_Air_Shipment!$C:$C,Amazon_USA_Air_Shipment!AA:AA),0),IFERROR(_xlfn.XLOOKUP($D7,MENA!$C:$C,MENA!AA:AA),0),IFERROR(_xlfn.XLOOKUP($D7,UK!$C:$C,UK!AA:AA),0),IFERROR(_xlfn.XLOOKUP($D7,BMM_Order!$C:$C,BMM_Order!AA:AA),0),IFERROR(_xlfn.XLOOKUP($D7,'Adhoc-_Backlog'!$C:$C,'Adhoc-_Backlog'!AC:AC),0))</f>
        <v>0</v>
      </c>
      <c r="AK7" s="51">
        <f>SUM(IFERROR(_xlfn.XLOOKUP($D7,Domestic!$C:$C,Domestic!AD:AD),0),IFERROR(_xlfn.XLOOKUP($D7,'INT-_Manjiri'!$C:$C,'INT-_Manjiri'!AC:AC),0),IFERROR(_xlfn.XLOOKUP($D7,'USA-_Sea_shipment'!$C:$C,'USA-_Sea_shipment'!AC:AC),0),IFERROR(_xlfn.XLOOKUP($D7,Amazon_USA_Sea!$C:$C,Amazon_USA_Sea!AC:AC),0),IFERROR(_xlfn.XLOOKUP($D7,USA_Air_Shipment!$C:$C,USA_Air_Shipment!AB:AB),0),IFERROR(_xlfn.XLOOKUP($D7,Amazon_USA_Air_Shipment!$C:$C,Amazon_USA_Air_Shipment!AB:AB),0),IFERROR(_xlfn.XLOOKUP($D7,MENA!$C:$C,MENA!AB:AB),0),IFERROR(_xlfn.XLOOKUP($D7,UK!$C:$C,UK!AB:AB),0),IFERROR(_xlfn.XLOOKUP($D7,BMM_Order!$C:$C,BMM_Order!AB:AB),0),IFERROR(_xlfn.XLOOKUP($D7,'Adhoc-_Backlog'!$C:$C,'Adhoc-_Backlog'!AD:AD),0))</f>
        <v>0</v>
      </c>
      <c r="AL7" s="51">
        <f>SUM(IFERROR(_xlfn.XLOOKUP($D7,Domestic!$C:$C,Domestic!AE:AE),0),IFERROR(_xlfn.XLOOKUP($D7,'INT-_Manjiri'!$C:$C,'INT-_Manjiri'!AD:AD),0),IFERROR(_xlfn.XLOOKUP($D7,'USA-_Sea_shipment'!$C:$C,'USA-_Sea_shipment'!AD:AD),0),IFERROR(_xlfn.XLOOKUP($D7,Amazon_USA_Sea!$C:$C,Amazon_USA_Sea!AD:AD),0),IFERROR(_xlfn.XLOOKUP($D7,USA_Air_Shipment!$C:$C,USA_Air_Shipment!AC:AC),0),IFERROR(_xlfn.XLOOKUP($D7,Amazon_USA_Air_Shipment!$C:$C,Amazon_USA_Air_Shipment!AC:AC),0),IFERROR(_xlfn.XLOOKUP($D7,MENA!$C:$C,MENA!AC:AC),0),IFERROR(_xlfn.XLOOKUP($D7,UK!$C:$C,UK!AC:AC),0),IFERROR(_xlfn.XLOOKUP($D7,BMM_Order!$C:$C,BMM_Order!AC:AC),0),IFERROR(_xlfn.XLOOKUP($D7,'Adhoc-_Backlog'!$C:$C,'Adhoc-_Backlog'!AE:AE),0))</f>
        <v>0</v>
      </c>
      <c r="AM7" s="51">
        <f>SUM(IFERROR(_xlfn.XLOOKUP($D7,Domestic!$C:$C,Domestic!AF:AF),0),IFERROR(_xlfn.XLOOKUP($D7,'INT-_Manjiri'!$C:$C,'INT-_Manjiri'!AE:AE),0),IFERROR(_xlfn.XLOOKUP($D7,'USA-_Sea_shipment'!$C:$C,'USA-_Sea_shipment'!AE:AE),0),IFERROR(_xlfn.XLOOKUP($D7,Amazon_USA_Sea!$C:$C,Amazon_USA_Sea!AE:AE),0),IFERROR(_xlfn.XLOOKUP($D7,USA_Air_Shipment!$C:$C,USA_Air_Shipment!AD:AD),0),IFERROR(_xlfn.XLOOKUP($D7,Amazon_USA_Air_Shipment!$C:$C,Amazon_USA_Air_Shipment!AD:AD),0),IFERROR(_xlfn.XLOOKUP($D7,MENA!$C:$C,MENA!AD:AD),0),IFERROR(_xlfn.XLOOKUP($D7,UK!$C:$C,UK!AD:AD),0),IFERROR(_xlfn.XLOOKUP($D7,BMM_Order!$C:$C,BMM_Order!AD:AD),0),IFERROR(_xlfn.XLOOKUP($D7,'Adhoc-_Backlog'!$C:$C,'Adhoc-_Backlog'!AF:AF),0))</f>
        <v>123</v>
      </c>
      <c r="AN7" s="51">
        <f>SUM(IFERROR(_xlfn.XLOOKUP($D7,Domestic!$C:$C,Domestic!AG:AG),0),IFERROR(_xlfn.XLOOKUP($D7,'INT-_Manjiri'!$C:$C,'INT-_Manjiri'!AF:AF),0),IFERROR(_xlfn.XLOOKUP($D7,'USA-_Sea_shipment'!$C:$C,'USA-_Sea_shipment'!AF:AF),0),IFERROR(_xlfn.XLOOKUP($D7,Amazon_USA_Sea!$C:$C,Amazon_USA_Sea!AF:AF),0),IFERROR(_xlfn.XLOOKUP($D7,USA_Air_Shipment!$C:$C,USA_Air_Shipment!AE:AE),0),IFERROR(_xlfn.XLOOKUP($D7,Amazon_USA_Air_Shipment!$C:$C,Amazon_USA_Air_Shipment!AE:AE),0),IFERROR(_xlfn.XLOOKUP($D7,MENA!$C:$C,MENA!AE:AE),0),IFERROR(_xlfn.XLOOKUP($D7,UK!$C:$C,UK!AE:AE),0),IFERROR(_xlfn.XLOOKUP($D7,BMM_Order!$C:$C,BMM_Order!AE:AE),0),IFERROR(_xlfn.XLOOKUP($D7,'Adhoc-_Backlog'!$C:$C,'Adhoc-_Backlog'!AG:AG),0))</f>
        <v>0</v>
      </c>
      <c r="AO7" s="51">
        <f>SUM(IFERROR(_xlfn.XLOOKUP($D7,Domestic!$C:$C,Domestic!AH:AH),0),IFERROR(_xlfn.XLOOKUP($D7,'INT-_Manjiri'!$C:$C,'INT-_Manjiri'!AG:AG),0),IFERROR(_xlfn.XLOOKUP($D7,'USA-_Sea_shipment'!$C:$C,'USA-_Sea_shipment'!AG:AG),0),IFERROR(_xlfn.XLOOKUP($D7,Amazon_USA_Sea!$C:$C,Amazon_USA_Sea!AG:AG),0),IFERROR(_xlfn.XLOOKUP($D7,USA_Air_Shipment!$C:$C,USA_Air_Shipment!AF:AF),0),IFERROR(_xlfn.XLOOKUP($D7,Amazon_USA_Air_Shipment!$C:$C,Amazon_USA_Air_Shipment!AF:AF),0),IFERROR(_xlfn.XLOOKUP($D7,MENA!$C:$C,MENA!AF:AF),0),IFERROR(_xlfn.XLOOKUP($D7,UK!$C:$C,UK!AF:AF),0),IFERROR(_xlfn.XLOOKUP($D7,BMM_Order!$C:$C,BMM_Order!AF:AF),0),IFERROR(_xlfn.XLOOKUP($D7,'Adhoc-_Backlog'!$C:$C,'Adhoc-_Backlog'!AH:AH),0))</f>
        <v>0</v>
      </c>
      <c r="AP7" s="51">
        <f>SUM(IFERROR(_xlfn.XLOOKUP($D7,Domestic!$C:$C,Domestic!AI:AI),0),IFERROR(_xlfn.XLOOKUP($D7,'INT-_Manjiri'!$C:$C,'INT-_Manjiri'!AH:AH),0),IFERROR(_xlfn.XLOOKUP($D7,'USA-_Sea_shipment'!$C:$C,'USA-_Sea_shipment'!AH:AH),0),IFERROR(_xlfn.XLOOKUP($D7,Amazon_USA_Sea!$C:$C,Amazon_USA_Sea!AH:AH),0),IFERROR(_xlfn.XLOOKUP($D7,USA_Air_Shipment!$C:$C,USA_Air_Shipment!AG:AG),0),IFERROR(_xlfn.XLOOKUP($D7,Amazon_USA_Air_Shipment!$C:$C,Amazon_USA_Air_Shipment!AG:AG),0),IFERROR(_xlfn.XLOOKUP($D7,MENA!$C:$C,MENA!AG:AG),0),IFERROR(_xlfn.XLOOKUP($D7,UK!$C:$C,UK!AG:AG),0),IFERROR(_xlfn.XLOOKUP($D7,BMM_Order!$C:$C,BMM_Order!AG:AG),0),IFERROR(_xlfn.XLOOKUP($D7,'Adhoc-_Backlog'!$C:$C,'Adhoc-_Backlog'!AI:AI),0))</f>
        <v>0</v>
      </c>
      <c r="AQ7" s="51">
        <f>SUM(IFERROR(_xlfn.XLOOKUP($D7,Domestic!$C:$C,Domestic!AJ:AJ),0),IFERROR(_xlfn.XLOOKUP($D7,'INT-_Manjiri'!$C:$C,'INT-_Manjiri'!AI:AI),0),IFERROR(_xlfn.XLOOKUP($D7,'USA-_Sea_shipment'!$C:$C,'USA-_Sea_shipment'!AI:AI),0),IFERROR(_xlfn.XLOOKUP($D7,Amazon_USA_Sea!$C:$C,Amazon_USA_Sea!AI:AI),0),IFERROR(_xlfn.XLOOKUP($D7,USA_Air_Shipment!$C:$C,USA_Air_Shipment!AH:AH),0),IFERROR(_xlfn.XLOOKUP($D7,Amazon_USA_Air_Shipment!$C:$C,Amazon_USA_Air_Shipment!AH:AH),0),IFERROR(_xlfn.XLOOKUP($D7,MENA!$C:$C,MENA!AH:AH),0),IFERROR(_xlfn.XLOOKUP($D7,UK!$C:$C,UK!AH:AH),0),IFERROR(_xlfn.XLOOKUP($D7,BMM_Order!$C:$C,BMM_Order!AH:AH),0),IFERROR(_xlfn.XLOOKUP($D7,'Adhoc-_Backlog'!$C:$C,'Adhoc-_Backlog'!AJ:AJ),0))</f>
        <v>0</v>
      </c>
      <c r="AR7" s="51">
        <f>SUM(IFERROR(_xlfn.XLOOKUP($D7,Domestic!$C:$C,Domestic!AK:AK),0),IFERROR(_xlfn.XLOOKUP($D7,'INT-_Manjiri'!$C:$C,'INT-_Manjiri'!AJ:AJ),0),IFERROR(_xlfn.XLOOKUP($D7,'USA-_Sea_shipment'!$C:$C,'USA-_Sea_shipment'!AJ:AJ),0),IFERROR(_xlfn.XLOOKUP($D7,Amazon_USA_Sea!$C:$C,Amazon_USA_Sea!AJ:AJ),0),IFERROR(_xlfn.XLOOKUP($D7,USA_Air_Shipment!$C:$C,USA_Air_Shipment!AI:AI),0),IFERROR(_xlfn.XLOOKUP($D7,Amazon_USA_Air_Shipment!$C:$C,Amazon_USA_Air_Shipment!AI:AI),0),IFERROR(_xlfn.XLOOKUP($D7,MENA!$C:$C,MENA!AI:AI),0),IFERROR(_xlfn.XLOOKUP($D7,UK!$C:$C,UK!AI:AI),0),IFERROR(_xlfn.XLOOKUP($D7,BMM_Order!$C:$C,BMM_Order!AI:AI),0),IFERROR(_xlfn.XLOOKUP($D7,'Adhoc-_Backlog'!$C:$C,'Adhoc-_Backlog'!AK:AK),0))</f>
        <v>0</v>
      </c>
      <c r="AS7" s="51">
        <f>SUM(IFERROR(_xlfn.XLOOKUP($D7,Domestic!$C:$C,Domestic!AL:AL),0),IFERROR(_xlfn.XLOOKUP($D7,'INT-_Manjiri'!$C:$C,'INT-_Manjiri'!AK:AK),0),IFERROR(_xlfn.XLOOKUP($D7,'USA-_Sea_shipment'!$C:$C,'USA-_Sea_shipment'!AK:AK),0),IFERROR(_xlfn.XLOOKUP($D7,Amazon_USA_Sea!$C:$C,Amazon_USA_Sea!AK:AK),0),IFERROR(_xlfn.XLOOKUP($D7,USA_Air_Shipment!$C:$C,USA_Air_Shipment!AJ:AJ),0),IFERROR(_xlfn.XLOOKUP($D7,Amazon_USA_Air_Shipment!$C:$C,Amazon_USA_Air_Shipment!AJ:AJ),0),IFERROR(_xlfn.XLOOKUP($D7,MENA!$C:$C,MENA!AJ:AJ),0),IFERROR(_xlfn.XLOOKUP($D7,UK!$C:$C,UK!AJ:AJ),0),IFERROR(_xlfn.XLOOKUP($D7,BMM_Order!$C:$C,BMM_Order!AJ:AJ),0),IFERROR(_xlfn.XLOOKUP($D7,'Adhoc-_Backlog'!$C:$C,'Adhoc-_Backlog'!AL:AL),0))</f>
        <v>0</v>
      </c>
      <c r="AT7" s="51">
        <f>SUM(IFERROR(_xlfn.XLOOKUP($D7,Domestic!$C:$C,Domestic!AM:AM),0),IFERROR(_xlfn.XLOOKUP($D7,'INT-_Manjiri'!$C:$C,'INT-_Manjiri'!AL:AL),0),IFERROR(_xlfn.XLOOKUP($D7,'USA-_Sea_shipment'!$C:$C,'USA-_Sea_shipment'!AL:AL),0),IFERROR(_xlfn.XLOOKUP($D7,Amazon_USA_Sea!$C:$C,Amazon_USA_Sea!AL:AL),0),IFERROR(_xlfn.XLOOKUP($D7,USA_Air_Shipment!$C:$C,USA_Air_Shipment!AK:AK),0),IFERROR(_xlfn.XLOOKUP($D7,Amazon_USA_Air_Shipment!$C:$C,Amazon_USA_Air_Shipment!AK:AK),0),IFERROR(_xlfn.XLOOKUP($D7,MENA!$C:$C,MENA!AK:AK),0),IFERROR(_xlfn.XLOOKUP($D7,UK!$C:$C,UK!AK:AK),0),IFERROR(_xlfn.XLOOKUP($D7,BMM_Order!$C:$C,BMM_Order!AK:AK),0),IFERROR(_xlfn.XLOOKUP($D7,'Adhoc-_Backlog'!$C:$C,'Adhoc-_Backlog'!AM:AM),0))</f>
        <v>0</v>
      </c>
      <c r="AU7" s="51">
        <f>SUM(IFERROR(_xlfn.XLOOKUP($D7,Domestic!$C:$C,Domestic!AN:AN),0),IFERROR(_xlfn.XLOOKUP($D7,'INT-_Manjiri'!$C:$C,'INT-_Manjiri'!AM:AM),0),IFERROR(_xlfn.XLOOKUP($D7,'USA-_Sea_shipment'!$C:$C,'USA-_Sea_shipment'!AM:AM),0),IFERROR(_xlfn.XLOOKUP($D7,Amazon_USA_Sea!$C:$C,Amazon_USA_Sea!AM:AM),0),IFERROR(_xlfn.XLOOKUP($D7,USA_Air_Shipment!$C:$C,USA_Air_Shipment!AL:AL),0),IFERROR(_xlfn.XLOOKUP($D7,Amazon_USA_Air_Shipment!$C:$C,Amazon_USA_Air_Shipment!AL:AL),0),IFERROR(_xlfn.XLOOKUP($D7,MENA!$C:$C,MENA!AL:AL),0),IFERROR(_xlfn.XLOOKUP($D7,UK!$C:$C,UK!AL:AL),0),IFERROR(_xlfn.XLOOKUP($D7,BMM_Order!$C:$C,BMM_Order!AL:AL),0),IFERROR(_xlfn.XLOOKUP($D7,'Adhoc-_Backlog'!$C:$C,'Adhoc-_Backlog'!AN:AN),0))</f>
        <v>0</v>
      </c>
      <c r="AV7" s="51">
        <f>SUM(IFERROR(_xlfn.XLOOKUP($D7,Domestic!$C:$C,Domestic!AO:AO),0),IFERROR(_xlfn.XLOOKUP($D7,'INT-_Manjiri'!$C:$C,'INT-_Manjiri'!AN:AN),0),IFERROR(_xlfn.XLOOKUP($D7,'USA-_Sea_shipment'!$C:$C,'USA-_Sea_shipment'!AN:AN),0),IFERROR(_xlfn.XLOOKUP($D7,Amazon_USA_Sea!$C:$C,Amazon_USA_Sea!AN:AN),0),IFERROR(_xlfn.XLOOKUP($D7,USA_Air_Shipment!$C:$C,USA_Air_Shipment!AM:AM),0),IFERROR(_xlfn.XLOOKUP($D7,Amazon_USA_Air_Shipment!$C:$C,Amazon_USA_Air_Shipment!AM:AM),0),IFERROR(_xlfn.XLOOKUP($D7,MENA!$C:$C,MENA!AM:AM),0),IFERROR(_xlfn.XLOOKUP($D7,UK!$C:$C,UK!AM:AM),0),IFERROR(_xlfn.XLOOKUP($D7,BMM_Order!$C:$C,BMM_Order!AM:AM),0),IFERROR(_xlfn.XLOOKUP($D7,'Adhoc-_Backlog'!$C:$C,'Adhoc-_Backlog'!AO:AO),0))</f>
        <v>0</v>
      </c>
      <c r="AW7" s="51">
        <f>SUM(IFERROR(_xlfn.XLOOKUP($D7,Domestic!$C:$C,Domestic!AP:AP),0),IFERROR(_xlfn.XLOOKUP($D7,'INT-_Manjiri'!$C:$C,'INT-_Manjiri'!AO:AO),0),IFERROR(_xlfn.XLOOKUP($D7,'USA-_Sea_shipment'!$C:$C,'USA-_Sea_shipment'!AO:AO),0),IFERROR(_xlfn.XLOOKUP($D7,Amazon_USA_Sea!$C:$C,Amazon_USA_Sea!AO:AO),0),IFERROR(_xlfn.XLOOKUP($D7,USA_Air_Shipment!$C:$C,USA_Air_Shipment!AN:AN),0),IFERROR(_xlfn.XLOOKUP($D7,Amazon_USA_Air_Shipment!$C:$C,Amazon_USA_Air_Shipment!AN:AN),0),IFERROR(_xlfn.XLOOKUP($D7,MENA!$C:$C,MENA!AN:AN),0),IFERROR(_xlfn.XLOOKUP($D7,UK!$C:$C,UK!AN:AN),0),IFERROR(_xlfn.XLOOKUP($D7,BMM_Order!$C:$C,BMM_Order!AN:AN),0),IFERROR(_xlfn.XLOOKUP($D7,'Adhoc-_Backlog'!$C:$C,'Adhoc-_Backlog'!AP:AP),0))</f>
        <v>0</v>
      </c>
      <c r="AX7" s="51">
        <f>SUM(IFERROR(_xlfn.XLOOKUP($D7,Domestic!$C:$C,Domestic!AQ:AQ),0),IFERROR(_xlfn.XLOOKUP($D7,'INT-_Manjiri'!$C:$C,'INT-_Manjiri'!AP:AP),0),IFERROR(_xlfn.XLOOKUP($D7,'USA-_Sea_shipment'!$C:$C,'USA-_Sea_shipment'!AP:AP),0),IFERROR(_xlfn.XLOOKUP($D7,Amazon_USA_Sea!$C:$C,Amazon_USA_Sea!AP:AP),0),IFERROR(_xlfn.XLOOKUP($D7,USA_Air_Shipment!$C:$C,USA_Air_Shipment!AO:AO),0),IFERROR(_xlfn.XLOOKUP($D7,Amazon_USA_Air_Shipment!$C:$C,Amazon_USA_Air_Shipment!AO:AO),0),IFERROR(_xlfn.XLOOKUP($D7,MENA!$C:$C,MENA!AO:AO),0),IFERROR(_xlfn.XLOOKUP($D7,UK!$C:$C,UK!AO:AO),0),IFERROR(_xlfn.XLOOKUP($D7,BMM_Order!$C:$C,BMM_Order!AO:AO),0),IFERROR(_xlfn.XLOOKUP($D7,'Adhoc-_Backlog'!$C:$C,'Adhoc-_Backlog'!AQ:AQ),0))</f>
        <v>0</v>
      </c>
      <c r="AY7" s="51">
        <f>SUM(IFERROR(_xlfn.XLOOKUP($D7,Domestic!$C:$C,Domestic!AR:AR),0),IFERROR(_xlfn.XLOOKUP($D7,'INT-_Manjiri'!$C:$C,'INT-_Manjiri'!AQ:AQ),0),IFERROR(_xlfn.XLOOKUP($D7,'USA-_Sea_shipment'!$C:$C,'USA-_Sea_shipment'!AQ:AQ),0),IFERROR(_xlfn.XLOOKUP($D7,Amazon_USA_Sea!$C:$C,Amazon_USA_Sea!AQ:AQ),0),IFERROR(_xlfn.XLOOKUP($D7,USA_Air_Shipment!$C:$C,USA_Air_Shipment!AP:AP),0),IFERROR(_xlfn.XLOOKUP($D7,Amazon_USA_Air_Shipment!$C:$C,Amazon_USA_Air_Shipment!AP:AP),0),IFERROR(_xlfn.XLOOKUP($D7,MENA!$C:$C,MENA!AP:AP),0),IFERROR(_xlfn.XLOOKUP($D7,UK!$C:$C,UK!AP:AP),0),IFERROR(_xlfn.XLOOKUP($D7,BMM_Order!$C:$C,BMM_Order!AP:AP),0),IFERROR(_xlfn.XLOOKUP($D7,'Adhoc-_Backlog'!$C:$C,'Adhoc-_Backlog'!AR:AR),0))</f>
        <v>0</v>
      </c>
      <c r="AZ7" s="51">
        <f>SUM(IFERROR(_xlfn.XLOOKUP($D7,Domestic!$C:$C,Domestic!AS:AS),0),IFERROR(_xlfn.XLOOKUP($D7,'INT-_Manjiri'!$C:$C,'INT-_Manjiri'!AR:AR),0),IFERROR(_xlfn.XLOOKUP($D7,'USA-_Sea_shipment'!$C:$C,'USA-_Sea_shipment'!AR:AR),0),IFERROR(_xlfn.XLOOKUP($D7,Amazon_USA_Sea!$C:$C,Amazon_USA_Sea!AR:AR),0),IFERROR(_xlfn.XLOOKUP($D7,USA_Air_Shipment!$C:$C,USA_Air_Shipment!AQ:AQ),0),IFERROR(_xlfn.XLOOKUP($D7,Amazon_USA_Air_Shipment!$C:$C,Amazon_USA_Air_Shipment!AQ:AQ),0),IFERROR(_xlfn.XLOOKUP($D7,MENA!$C:$C,MENA!AQ:AQ),0),IFERROR(_xlfn.XLOOKUP($D7,UK!$C:$C,UK!AQ:AQ),0),IFERROR(_xlfn.XLOOKUP($D7,BMM_Order!$C:$C,BMM_Order!AQ:AQ),0),IFERROR(_xlfn.XLOOKUP($D7,'Adhoc-_Backlog'!$C:$C,'Adhoc-_Backlog'!AS:AS),0))</f>
        <v>0</v>
      </c>
      <c r="BA7" s="51">
        <f>SUM(IFERROR(_xlfn.XLOOKUP($D7,Domestic!$C:$C,Domestic!AT:AT),0),IFERROR(_xlfn.XLOOKUP($D7,'INT-_Manjiri'!$C:$C,'INT-_Manjiri'!AS:AS),0),IFERROR(_xlfn.XLOOKUP($D7,'USA-_Sea_shipment'!$C:$C,'USA-_Sea_shipment'!AS:AS),0),IFERROR(_xlfn.XLOOKUP($D7,Amazon_USA_Sea!$C:$C,Amazon_USA_Sea!AS:AS),0),IFERROR(_xlfn.XLOOKUP($D7,USA_Air_Shipment!$C:$C,USA_Air_Shipment!AR:AR),0),IFERROR(_xlfn.XLOOKUP($D7,Amazon_USA_Air_Shipment!$C:$C,Amazon_USA_Air_Shipment!AR:AR),0),IFERROR(_xlfn.XLOOKUP($D7,MENA!$C:$C,MENA!AR:AR),0),IFERROR(_xlfn.XLOOKUP($D7,UK!$C:$C,UK!AR:AR),0),IFERROR(_xlfn.XLOOKUP($D7,BMM_Order!$C:$C,BMM_Order!AR:AR),0),IFERROR(_xlfn.XLOOKUP($D7,'Adhoc-_Backlog'!$C:$C,'Adhoc-_Backlog'!AT:AT),0))</f>
        <v>0</v>
      </c>
      <c r="BB7" s="52">
        <f t="shared" si="2"/>
        <v>130</v>
      </c>
      <c r="BC7" s="64">
        <f t="shared" si="3"/>
        <v>32.5</v>
      </c>
      <c r="BD7" s="65">
        <f t="shared" si="4"/>
        <v>19</v>
      </c>
      <c r="BE7" s="64">
        <f t="shared" si="5"/>
        <v>4.75</v>
      </c>
      <c r="BF7" s="66">
        <f t="shared" si="6"/>
        <v>0.87248322147651003</v>
      </c>
      <c r="BG7" s="67" t="str">
        <f>_xlfn.TEXTJOIN(" | ",TRUE,IFERROR(_xlfn.XLOOKUP($D7,Domestic!$C:$C,Domestic!$BG:$BG,""),""),IFERROR(_xlfn.XLOOKUP($D7,'INT-_Manjiri'!$C:$C,'INT-_Manjiri'!$AY:$AY,""),""),IFERROR(_xlfn.XLOOKUP($D7,'USA-_Sea_shipment'!$C:$C,'USA-_Sea_shipment'!#REF!,""),""),IFERROR(_xlfn.XLOOKUP($D7,Amazon_USA_Sea!$C:$C,Amazon_USA_Sea!$AY:$AY,""),""),IFERROR(_xlfn.XLOOKUP($D7,USA_Air_Shipment!$C:$C,USA_Air_Shipment!$AW:$AW,""),""),IFERROR(_xlfn.XLOOKUP($D7,Amazon_USA_Air_Shipment!$C:$C,Amazon_USA_Air_Shipment!$AW:$AW,""),""),IFERROR(_xlfn.XLOOKUP($D7,MENA!$C:$C,MENA!$AW:$AW,""),""),IFERROR(_xlfn.XLOOKUP($D7,UK!$C:$C,UK!$BA:$BA,""),""),IFERROR(_xlfn.XLOOKUP($D7,BMM_Order!$C:$C,BMM_Order!$BA:$BA,""),""),IFERROR(_xlfn.XLOOKUP($D7,'Adhoc-_Backlog'!$C:$C,'Adhoc-_Backlog'!$BD:$BD,""),""))</f>
        <v>WIP</v>
      </c>
      <c r="BH7" s="67">
        <f>_xlfn.XLOOKUP(D7,Raw_Data!A:A,Raw_Data!B:B)</f>
        <v>76</v>
      </c>
      <c r="BI7" s="68">
        <f t="shared" si="7"/>
        <v>15.302013422818792</v>
      </c>
      <c r="BJ7" s="67">
        <f t="shared" si="8"/>
        <v>5</v>
      </c>
      <c r="BK7" s="57" t="str">
        <f t="shared" si="9"/>
        <v>P3 – Normal</v>
      </c>
      <c r="BL7" t="s">
        <v>69</v>
      </c>
    </row>
    <row r="8" spans="1:64" ht="13">
      <c r="A8" s="58">
        <f>6</f>
        <v>6</v>
      </c>
      <c r="B8" s="45" t="s">
        <v>12</v>
      </c>
      <c r="C8" s="59"/>
      <c r="D8" s="60" t="str">
        <f>Projection_!A9</f>
        <v>FG00043</v>
      </c>
      <c r="E8" s="61" t="str">
        <f>Projection_!B9</f>
        <v>Buffalo Ghee - A2 Cultured 500ml</v>
      </c>
      <c r="F8" s="62">
        <v>0.5</v>
      </c>
      <c r="G8" s="63">
        <f>IFERROR(_xlfn.XLOOKUP($D8,Projection_!$A:$A,Projection_!$J:$J),0)</f>
        <v>22726</v>
      </c>
      <c r="H8" s="63">
        <f>IFERROR(_xlfn.XLOOKUP($D8,Projection_!$A:$A,Projection_!$K:$K),0)</f>
        <v>0</v>
      </c>
      <c r="I8" s="63">
        <f>IFERROR(_xlfn.XLOOKUP($D8,Projection_!$A:$A,Projection_!$L:$L),0)</f>
        <v>155</v>
      </c>
      <c r="J8" s="63">
        <f>IFERROR(_xlfn.XLOOKUP($D8,Projection_!$A:$A,Projection_!$M:$M),0)</f>
        <v>0</v>
      </c>
      <c r="K8" s="63">
        <f>IFERROR(_xlfn.XLOOKUP($D8,Projection_!$A:$A,Projection_!$Q:$Q),0)</f>
        <v>0</v>
      </c>
      <c r="L8" s="63">
        <f>IFERROR(_xlfn.XLOOKUP($D8,Projection_!$A:$A,Projection_!$R:$R),0)</f>
        <v>0</v>
      </c>
      <c r="M8" s="63">
        <f>IFERROR(_xlfn.XLOOKUP($D8,Projection_!$A:$A,Projection_!$O:$O),0)</f>
        <v>0</v>
      </c>
      <c r="N8" s="63">
        <f>IFERROR(_xlfn.XLOOKUP($D8,Projection_!$A:$A,Projection_!$P:$P),0)</f>
        <v>0</v>
      </c>
      <c r="O8" s="50">
        <f t="shared" si="1"/>
        <v>22881</v>
      </c>
      <c r="P8" s="51">
        <f>SUM(IFERROR(_xlfn.XLOOKUP($D8,Domestic!$C:$C,Domestic!I:I),0),IFERROR(_xlfn.XLOOKUP($D8,'INT-_Manjiri'!$C:$C,'INT-_Manjiri'!H:H),0),IFERROR(_xlfn.XLOOKUP($D8,'USA-_Sea_shipment'!$C:$C,'USA-_Sea_shipment'!H:H),0),IFERROR(_xlfn.XLOOKUP($D8,Amazon_USA_Sea!$C:$C,Amazon_USA_Sea!H:H),0),IFERROR(_xlfn.XLOOKUP($D8,USA_Air_Shipment!$C:$C,USA_Air_Shipment!G:G),0),IFERROR(_xlfn.XLOOKUP($D8,Amazon_USA_Air_Shipment!$C:$C,Amazon_USA_Air_Shipment!G:G),0),IFERROR(_xlfn.XLOOKUP($D8,MENA!$C:$C,MENA!G:G),0),IFERROR(_xlfn.XLOOKUP($D8,UK!$C:$C,UK!G:G),0),IFERROR(_xlfn.XLOOKUP($D8,BMM_Order!$C:$C,BMM_Order!G:G),0),IFERROR(_xlfn.XLOOKUP($D8,'Adhoc-_Backlog'!$C:$C,'Adhoc-_Backlog'!I:I),0))</f>
        <v>0</v>
      </c>
      <c r="Q8" s="51">
        <f>SUM(IFERROR(_xlfn.XLOOKUP($D8,Domestic!$C:$C,Domestic!J:J),0),IFERROR(_xlfn.XLOOKUP($D8,'INT-_Manjiri'!$C:$C,'INT-_Manjiri'!I:I),0),IFERROR(_xlfn.XLOOKUP($D8,'USA-_Sea_shipment'!$C:$C,'USA-_Sea_shipment'!I:I),0),IFERROR(_xlfn.XLOOKUP($D8,Amazon_USA_Sea!$C:$C,Amazon_USA_Sea!I:I),0),IFERROR(_xlfn.XLOOKUP($D8,USA_Air_Shipment!$C:$C,USA_Air_Shipment!H:H),0),IFERROR(_xlfn.XLOOKUP($D8,Amazon_USA_Air_Shipment!$C:$C,Amazon_USA_Air_Shipment!H:H),0),IFERROR(_xlfn.XLOOKUP($D8,MENA!$C:$C,MENA!H:H),0),IFERROR(_xlfn.XLOOKUP($D8,UK!$C:$C,UK!H:H),0),IFERROR(_xlfn.XLOOKUP($D8,BMM_Order!$C:$C,BMM_Order!H:H),0),IFERROR(_xlfn.XLOOKUP($D8,'Adhoc-_Backlog'!$C:$C,'Adhoc-_Backlog'!J:J),0))</f>
        <v>240</v>
      </c>
      <c r="R8" s="51">
        <f>SUM(IFERROR(_xlfn.XLOOKUP($D8,Domestic!$C:$C,Domestic!K:K),0),IFERROR(_xlfn.XLOOKUP($D8,'INT-_Manjiri'!$C:$C,'INT-_Manjiri'!J:J),0),IFERROR(_xlfn.XLOOKUP($D8,'USA-_Sea_shipment'!$C:$C,'USA-_Sea_shipment'!J:J),0),IFERROR(_xlfn.XLOOKUP($D8,Amazon_USA_Sea!$C:$C,Amazon_USA_Sea!J:J),0),IFERROR(_xlfn.XLOOKUP($D8,USA_Air_Shipment!$C:$C,USA_Air_Shipment!I:I),0),IFERROR(_xlfn.XLOOKUP($D8,Amazon_USA_Air_Shipment!$C:$C,Amazon_USA_Air_Shipment!I:I),0),IFERROR(_xlfn.XLOOKUP($D8,MENA!$C:$C,MENA!I:I),0),IFERROR(_xlfn.XLOOKUP($D8,UK!$C:$C,UK!I:I),0),IFERROR(_xlfn.XLOOKUP($D8,BMM_Order!$C:$C,BMM_Order!I:I),0),IFERROR(_xlfn.XLOOKUP($D8,'Adhoc-_Backlog'!$C:$C,'Adhoc-_Backlog'!K:K),0))</f>
        <v>763</v>
      </c>
      <c r="S8" s="51">
        <f>SUM(IFERROR(_xlfn.XLOOKUP($D8,Domestic!$C:$C,Domestic!L:L),0),IFERROR(_xlfn.XLOOKUP($D8,'INT-_Manjiri'!$C:$C,'INT-_Manjiri'!K:K),0),IFERROR(_xlfn.XLOOKUP($D8,'USA-_Sea_shipment'!$C:$C,'USA-_Sea_shipment'!K:K),0),IFERROR(_xlfn.XLOOKUP($D8,Amazon_USA_Sea!$C:$C,Amazon_USA_Sea!K:K),0),IFERROR(_xlfn.XLOOKUP($D8,USA_Air_Shipment!$C:$C,USA_Air_Shipment!J:J),0),IFERROR(_xlfn.XLOOKUP($D8,Amazon_USA_Air_Shipment!$C:$C,Amazon_USA_Air_Shipment!J:J),0),IFERROR(_xlfn.XLOOKUP($D8,MENA!$C:$C,MENA!J:J),0),IFERROR(_xlfn.XLOOKUP($D8,UK!$C:$C,UK!J:J),0),IFERROR(_xlfn.XLOOKUP($D8,BMM_Order!$C:$C,BMM_Order!J:J),0),IFERROR(_xlfn.XLOOKUP($D8,'Adhoc-_Backlog'!$C:$C,'Adhoc-_Backlog'!L:L),0))</f>
        <v>0</v>
      </c>
      <c r="T8" s="51">
        <f>SUM(IFERROR(_xlfn.XLOOKUP($D8,Domestic!$C:$C,Domestic!M:M),0),IFERROR(_xlfn.XLOOKUP($D8,'INT-_Manjiri'!$C:$C,'INT-_Manjiri'!L:L),0),IFERROR(_xlfn.XLOOKUP($D8,'USA-_Sea_shipment'!$C:$C,'USA-_Sea_shipment'!L:L),0),IFERROR(_xlfn.XLOOKUP($D8,Amazon_USA_Sea!$C:$C,Amazon_USA_Sea!L:L),0),IFERROR(_xlfn.XLOOKUP($D8,USA_Air_Shipment!$C:$C,USA_Air_Shipment!K:K),0),IFERROR(_xlfn.XLOOKUP($D8,Amazon_USA_Air_Shipment!$C:$C,Amazon_USA_Air_Shipment!K:K),0),IFERROR(_xlfn.XLOOKUP($D8,MENA!$C:$C,MENA!K:K),0),IFERROR(_xlfn.XLOOKUP($D8,UK!$C:$C,UK!K:K),0),IFERROR(_xlfn.XLOOKUP($D8,BMM_Order!$C:$C,BMM_Order!K:K),0),IFERROR(_xlfn.XLOOKUP($D8,'Adhoc-_Backlog'!$C:$C,'Adhoc-_Backlog'!M:M),0))</f>
        <v>0</v>
      </c>
      <c r="U8" s="51">
        <f>SUM(IFERROR(_xlfn.XLOOKUP($D8,Domestic!$C:$C,Domestic!N:N),0),IFERROR(_xlfn.XLOOKUP($D8,'INT-_Manjiri'!$C:$C,'INT-_Manjiri'!M:M),0),IFERROR(_xlfn.XLOOKUP($D8,'USA-_Sea_shipment'!$C:$C,'USA-_Sea_shipment'!M:M),0),IFERROR(_xlfn.XLOOKUP($D8,Amazon_USA_Sea!$C:$C,Amazon_USA_Sea!M:M),0),IFERROR(_xlfn.XLOOKUP($D8,USA_Air_Shipment!$C:$C,USA_Air_Shipment!L:L),0),IFERROR(_xlfn.XLOOKUP($D8,Amazon_USA_Air_Shipment!$C:$C,Amazon_USA_Air_Shipment!L:L),0),IFERROR(_xlfn.XLOOKUP($D8,MENA!$C:$C,MENA!L:L),0),IFERROR(_xlfn.XLOOKUP($D8,UK!$C:$C,UK!L:L),0),IFERROR(_xlfn.XLOOKUP($D8,BMM_Order!$C:$C,BMM_Order!L:L),0),IFERROR(_xlfn.XLOOKUP($D8,'Adhoc-_Backlog'!$C:$C,'Adhoc-_Backlog'!N:N),0))</f>
        <v>0</v>
      </c>
      <c r="V8" s="51">
        <f>SUM(IFERROR(_xlfn.XLOOKUP($D8,Domestic!$C:$C,Domestic!O:O),0),IFERROR(_xlfn.XLOOKUP($D8,'INT-_Manjiri'!$C:$C,'INT-_Manjiri'!N:N),0),IFERROR(_xlfn.XLOOKUP($D8,'USA-_Sea_shipment'!$C:$C,'USA-_Sea_shipment'!N:N),0),IFERROR(_xlfn.XLOOKUP($D8,Amazon_USA_Sea!$C:$C,Amazon_USA_Sea!N:N),0),IFERROR(_xlfn.XLOOKUP($D8,USA_Air_Shipment!$C:$C,USA_Air_Shipment!M:M),0),IFERROR(_xlfn.XLOOKUP($D8,Amazon_USA_Air_Shipment!$C:$C,Amazon_USA_Air_Shipment!M:M),0),IFERROR(_xlfn.XLOOKUP($D8,MENA!$C:$C,MENA!M:M),0),IFERROR(_xlfn.XLOOKUP($D8,UK!$C:$C,UK!M:M),0),IFERROR(_xlfn.XLOOKUP($D8,BMM_Order!$C:$C,BMM_Order!M:M),0),IFERROR(_xlfn.XLOOKUP($D8,'Adhoc-_Backlog'!$C:$C,'Adhoc-_Backlog'!O:O),0))</f>
        <v>0</v>
      </c>
      <c r="W8" s="51">
        <f>SUM(IFERROR(_xlfn.XLOOKUP($D8,Domestic!$C:$C,Domestic!P:P),0),IFERROR(_xlfn.XLOOKUP($D8,'INT-_Manjiri'!$C:$C,'INT-_Manjiri'!O:O),0),IFERROR(_xlfn.XLOOKUP($D8,'USA-_Sea_shipment'!$C:$C,'USA-_Sea_shipment'!O:O),0),IFERROR(_xlfn.XLOOKUP($D8,Amazon_USA_Sea!$C:$C,Amazon_USA_Sea!O:O),0),IFERROR(_xlfn.XLOOKUP($D8,USA_Air_Shipment!$C:$C,USA_Air_Shipment!N:N),0),IFERROR(_xlfn.XLOOKUP($D8,Amazon_USA_Air_Shipment!$C:$C,Amazon_USA_Air_Shipment!N:N),0),IFERROR(_xlfn.XLOOKUP($D8,MENA!$C:$C,MENA!N:N),0),IFERROR(_xlfn.XLOOKUP($D8,UK!$C:$C,UK!N:N),0),IFERROR(_xlfn.XLOOKUP($D8,BMM_Order!$C:$C,BMM_Order!N:N),0),IFERROR(_xlfn.XLOOKUP($D8,'Adhoc-_Backlog'!$C:$C,'Adhoc-_Backlog'!P:P),0))</f>
        <v>0</v>
      </c>
      <c r="X8" s="51">
        <f>SUM(IFERROR(_xlfn.XLOOKUP($D8,Domestic!$C:$C,Domestic!Q:Q),0),IFERROR(_xlfn.XLOOKUP($D8,'INT-_Manjiri'!$C:$C,'INT-_Manjiri'!P:P),0),IFERROR(_xlfn.XLOOKUP($D8,'USA-_Sea_shipment'!$C:$C,'USA-_Sea_shipment'!P:P),0),IFERROR(_xlfn.XLOOKUP($D8,Amazon_USA_Sea!$C:$C,Amazon_USA_Sea!P:P),0),IFERROR(_xlfn.XLOOKUP($D8,USA_Air_Shipment!$C:$C,USA_Air_Shipment!O:O),0),IFERROR(_xlfn.XLOOKUP($D8,Amazon_USA_Air_Shipment!$C:$C,Amazon_USA_Air_Shipment!O:O),0),IFERROR(_xlfn.XLOOKUP($D8,MENA!$C:$C,MENA!O:O),0),IFERROR(_xlfn.XLOOKUP($D8,UK!$C:$C,UK!O:O),0),IFERROR(_xlfn.XLOOKUP($D8,BMM_Order!$C:$C,BMM_Order!O:O),0),IFERROR(_xlfn.XLOOKUP($D8,'Adhoc-_Backlog'!$C:$C,'Adhoc-_Backlog'!Q:Q),0))</f>
        <v>0</v>
      </c>
      <c r="Y8" s="51">
        <f>SUM(IFERROR(_xlfn.XLOOKUP($D8,Domestic!$C:$C,Domestic!R:R),0),IFERROR(_xlfn.XLOOKUP($D8,'INT-_Manjiri'!$C:$C,'INT-_Manjiri'!Q:Q),0),IFERROR(_xlfn.XLOOKUP($D8,'USA-_Sea_shipment'!$C:$C,'USA-_Sea_shipment'!Q:Q),0),IFERROR(_xlfn.XLOOKUP($D8,Amazon_USA_Sea!$C:$C,Amazon_USA_Sea!Q:Q),0),IFERROR(_xlfn.XLOOKUP($D8,USA_Air_Shipment!$C:$C,USA_Air_Shipment!P:P),0),IFERROR(_xlfn.XLOOKUP($D8,Amazon_USA_Air_Shipment!$C:$C,Amazon_USA_Air_Shipment!P:P),0),IFERROR(_xlfn.XLOOKUP($D8,MENA!$C:$C,MENA!P:P),0),IFERROR(_xlfn.XLOOKUP($D8,UK!$C:$C,UK!P:P),0),IFERROR(_xlfn.XLOOKUP($D8,BMM_Order!$C:$C,BMM_Order!P:P),0),IFERROR(_xlfn.XLOOKUP($D8,'Adhoc-_Backlog'!$C:$C,'Adhoc-_Backlog'!R:R),0))</f>
        <v>1174</v>
      </c>
      <c r="Z8" s="51">
        <f>SUM(IFERROR(_xlfn.XLOOKUP($D8,Domestic!$C:$C,Domestic!S:S),0),IFERROR(_xlfn.XLOOKUP($D8,'INT-_Manjiri'!$C:$C,'INT-_Manjiri'!R:R),0),IFERROR(_xlfn.XLOOKUP($D8,'USA-_Sea_shipment'!$C:$C,'USA-_Sea_shipment'!R:R),0),IFERROR(_xlfn.XLOOKUP($D8,Amazon_USA_Sea!$C:$C,Amazon_USA_Sea!R:R),0),IFERROR(_xlfn.XLOOKUP($D8,USA_Air_Shipment!$C:$C,USA_Air_Shipment!Q:Q),0),IFERROR(_xlfn.XLOOKUP($D8,Amazon_USA_Air_Shipment!$C:$C,Amazon_USA_Air_Shipment!Q:Q),0),IFERROR(_xlfn.XLOOKUP($D8,MENA!$C:$C,MENA!Q:Q),0),IFERROR(_xlfn.XLOOKUP($D8,UK!$C:$C,UK!Q:Q),0),IFERROR(_xlfn.XLOOKUP($D8,BMM_Order!$C:$C,BMM_Order!Q:Q),0),IFERROR(_xlfn.XLOOKUP($D8,'Adhoc-_Backlog'!$C:$C,'Adhoc-_Backlog'!S:S),0))</f>
        <v>0</v>
      </c>
      <c r="AA8" s="51">
        <f>SUM(IFERROR(_xlfn.XLOOKUP($D8,Domestic!$C:$C,Domestic!T:T),0),IFERROR(_xlfn.XLOOKUP($D8,'INT-_Manjiri'!$C:$C,'INT-_Manjiri'!S:S),0),IFERROR(_xlfn.XLOOKUP($D8,'USA-_Sea_shipment'!$C:$C,'USA-_Sea_shipment'!S:S),0),IFERROR(_xlfn.XLOOKUP($D8,Amazon_USA_Sea!$C:$C,Amazon_USA_Sea!S:S),0),IFERROR(_xlfn.XLOOKUP($D8,USA_Air_Shipment!$C:$C,USA_Air_Shipment!R:R),0),IFERROR(_xlfn.XLOOKUP($D8,Amazon_USA_Air_Shipment!$C:$C,Amazon_USA_Air_Shipment!R:R),0),IFERROR(_xlfn.XLOOKUP($D8,MENA!$C:$C,MENA!R:R),0),IFERROR(_xlfn.XLOOKUP($D8,UK!$C:$C,UK!R:R),0),IFERROR(_xlfn.XLOOKUP($D8,BMM_Order!$C:$C,BMM_Order!R:R),0),IFERROR(_xlfn.XLOOKUP($D8,'Adhoc-_Backlog'!$C:$C,'Adhoc-_Backlog'!T:T),0))</f>
        <v>0</v>
      </c>
      <c r="AB8" s="51">
        <f>SUM(IFERROR(_xlfn.XLOOKUP($D8,Domestic!$C:$C,Domestic!U:U),0),IFERROR(_xlfn.XLOOKUP($D8,'INT-_Manjiri'!$C:$C,'INT-_Manjiri'!T:T),0),IFERROR(_xlfn.XLOOKUP($D8,'USA-_Sea_shipment'!$C:$C,'USA-_Sea_shipment'!T:T),0),IFERROR(_xlfn.XLOOKUP($D8,Amazon_USA_Sea!$C:$C,Amazon_USA_Sea!T:T),0),IFERROR(_xlfn.XLOOKUP($D8,USA_Air_Shipment!$C:$C,USA_Air_Shipment!S:S),0),IFERROR(_xlfn.XLOOKUP($D8,Amazon_USA_Air_Shipment!$C:$C,Amazon_USA_Air_Shipment!S:S),0),IFERROR(_xlfn.XLOOKUP($D8,MENA!$C:$C,MENA!S:S),0),IFERROR(_xlfn.XLOOKUP($D8,UK!$C:$C,UK!S:S),0),IFERROR(_xlfn.XLOOKUP($D8,BMM_Order!$C:$C,BMM_Order!S:S),0),IFERROR(_xlfn.XLOOKUP($D8,'Adhoc-_Backlog'!$C:$C,'Adhoc-_Backlog'!U:U),0))</f>
        <v>0</v>
      </c>
      <c r="AC8" s="51">
        <f>SUM(IFERROR(_xlfn.XLOOKUP($D8,Domestic!$C:$C,Domestic!V:V),0),IFERROR(_xlfn.XLOOKUP($D8,'INT-_Manjiri'!$C:$C,'INT-_Manjiri'!U:U),0),IFERROR(_xlfn.XLOOKUP($D8,'USA-_Sea_shipment'!$C:$C,'USA-_Sea_shipment'!U:U),0),IFERROR(_xlfn.XLOOKUP($D8,Amazon_USA_Sea!$C:$C,Amazon_USA_Sea!U:U),0),IFERROR(_xlfn.XLOOKUP($D8,USA_Air_Shipment!$C:$C,USA_Air_Shipment!T:T),0),IFERROR(_xlfn.XLOOKUP($D8,Amazon_USA_Air_Shipment!$C:$C,Amazon_USA_Air_Shipment!T:T),0),IFERROR(_xlfn.XLOOKUP($D8,MENA!$C:$C,MENA!T:T),0),IFERROR(_xlfn.XLOOKUP($D8,UK!$C:$C,UK!T:T),0),IFERROR(_xlfn.XLOOKUP($D8,BMM_Order!$C:$C,BMM_Order!T:T),0),IFERROR(_xlfn.XLOOKUP($D8,'Adhoc-_Backlog'!$C:$C,'Adhoc-_Backlog'!V:V),0))</f>
        <v>0</v>
      </c>
      <c r="AD8" s="51">
        <f>SUM(IFERROR(_xlfn.XLOOKUP($D8,Domestic!$C:$C,Domestic!W:W),0),IFERROR(_xlfn.XLOOKUP($D8,'INT-_Manjiri'!$C:$C,'INT-_Manjiri'!V:V),0),IFERROR(_xlfn.XLOOKUP($D8,'USA-_Sea_shipment'!$C:$C,'USA-_Sea_shipment'!V:V),0),IFERROR(_xlfn.XLOOKUP($D8,Amazon_USA_Sea!$C:$C,Amazon_USA_Sea!V:V),0),IFERROR(_xlfn.XLOOKUP($D8,USA_Air_Shipment!$C:$C,USA_Air_Shipment!U:U),0),IFERROR(_xlfn.XLOOKUP($D8,Amazon_USA_Air_Shipment!$C:$C,Amazon_USA_Air_Shipment!U:U),0),IFERROR(_xlfn.XLOOKUP($D8,MENA!$C:$C,MENA!U:U),0),IFERROR(_xlfn.XLOOKUP($D8,UK!$C:$C,UK!U:U),0),IFERROR(_xlfn.XLOOKUP($D8,BMM_Order!$C:$C,BMM_Order!U:U),0),IFERROR(_xlfn.XLOOKUP($D8,'Adhoc-_Backlog'!$C:$C,'Adhoc-_Backlog'!W:W),0))</f>
        <v>0</v>
      </c>
      <c r="AE8" s="51">
        <f>SUM(IFERROR(_xlfn.XLOOKUP($D8,Domestic!$C:$C,Domestic!X:X),0),IFERROR(_xlfn.XLOOKUP($D8,'INT-_Manjiri'!$C:$C,'INT-_Manjiri'!W:W),0),IFERROR(_xlfn.XLOOKUP($D8,'USA-_Sea_shipment'!$C:$C,'USA-_Sea_shipment'!W:W),0),IFERROR(_xlfn.XLOOKUP($D8,Amazon_USA_Sea!$C:$C,Amazon_USA_Sea!W:W),0),IFERROR(_xlfn.XLOOKUP($D8,USA_Air_Shipment!$C:$C,USA_Air_Shipment!V:V),0),IFERROR(_xlfn.XLOOKUP($D8,Amazon_USA_Air_Shipment!$C:$C,Amazon_USA_Air_Shipment!V:V),0),IFERROR(_xlfn.XLOOKUP($D8,MENA!$C:$C,MENA!V:V),0),IFERROR(_xlfn.XLOOKUP($D8,UK!$C:$C,UK!V:V),0),IFERROR(_xlfn.XLOOKUP($D8,BMM_Order!$C:$C,BMM_Order!V:V),0),IFERROR(_xlfn.XLOOKUP($D8,'Adhoc-_Backlog'!$C:$C,'Adhoc-_Backlog'!X:X),0))</f>
        <v>0</v>
      </c>
      <c r="AF8" s="51">
        <f>SUM(IFERROR(_xlfn.XLOOKUP($D8,Domestic!$C:$C,Domestic!Y:Y),0),IFERROR(_xlfn.XLOOKUP($D8,'INT-_Manjiri'!$C:$C,'INT-_Manjiri'!X:X),0),IFERROR(_xlfn.XLOOKUP($D8,'USA-_Sea_shipment'!$C:$C,'USA-_Sea_shipment'!X:X),0),IFERROR(_xlfn.XLOOKUP($D8,Amazon_USA_Sea!$C:$C,Amazon_USA_Sea!X:X),0),IFERROR(_xlfn.XLOOKUP($D8,USA_Air_Shipment!$C:$C,USA_Air_Shipment!W:W),0),IFERROR(_xlfn.XLOOKUP($D8,Amazon_USA_Air_Shipment!$C:$C,Amazon_USA_Air_Shipment!W:W),0),IFERROR(_xlfn.XLOOKUP($D8,MENA!$C:$C,MENA!W:W),0),IFERROR(_xlfn.XLOOKUP($D8,UK!$C:$C,UK!W:W),0),IFERROR(_xlfn.XLOOKUP($D8,BMM_Order!$C:$C,BMM_Order!W:W),0),IFERROR(_xlfn.XLOOKUP($D8,'Adhoc-_Backlog'!$C:$C,'Adhoc-_Backlog'!Y:Y),0))</f>
        <v>0</v>
      </c>
      <c r="AG8" s="51">
        <f>SUM(IFERROR(_xlfn.XLOOKUP($D8,Domestic!$C:$C,Domestic!Z:Z),0),IFERROR(_xlfn.XLOOKUP($D8,'INT-_Manjiri'!$C:$C,'INT-_Manjiri'!Y:Y),0),IFERROR(_xlfn.XLOOKUP($D8,'USA-_Sea_shipment'!$C:$C,'USA-_Sea_shipment'!Y:Y),0),IFERROR(_xlfn.XLOOKUP($D8,Amazon_USA_Sea!$C:$C,Amazon_USA_Sea!Y:Y),0),IFERROR(_xlfn.XLOOKUP($D8,USA_Air_Shipment!$C:$C,USA_Air_Shipment!X:X),0),IFERROR(_xlfn.XLOOKUP($D8,Amazon_USA_Air_Shipment!$C:$C,Amazon_USA_Air_Shipment!X:X),0),IFERROR(_xlfn.XLOOKUP($D8,MENA!$C:$C,MENA!X:X),0),IFERROR(_xlfn.XLOOKUP($D8,UK!$C:$C,UK!X:X),0),IFERROR(_xlfn.XLOOKUP($D8,BMM_Order!$C:$C,BMM_Order!X:X),0),IFERROR(_xlfn.XLOOKUP($D8,'Adhoc-_Backlog'!$C:$C,'Adhoc-_Backlog'!Z:Z),0))</f>
        <v>0</v>
      </c>
      <c r="AH8" s="51">
        <f>SUM(IFERROR(_xlfn.XLOOKUP($D8,Domestic!$C:$C,Domestic!AA:AA),0),IFERROR(_xlfn.XLOOKUP($D8,'INT-_Manjiri'!$C:$C,'INT-_Manjiri'!Z:Z),0),IFERROR(_xlfn.XLOOKUP($D8,'USA-_Sea_shipment'!$C:$C,'USA-_Sea_shipment'!Z:Z),0),IFERROR(_xlfn.XLOOKUP($D8,Amazon_USA_Sea!$C:$C,Amazon_USA_Sea!Z:Z),0),IFERROR(_xlfn.XLOOKUP($D8,USA_Air_Shipment!$C:$C,USA_Air_Shipment!Y:Y),0),IFERROR(_xlfn.XLOOKUP($D8,Amazon_USA_Air_Shipment!$C:$C,Amazon_USA_Air_Shipment!Y:Y),0),IFERROR(_xlfn.XLOOKUP($D8,MENA!$C:$C,MENA!Y:Y),0),IFERROR(_xlfn.XLOOKUP($D8,UK!$C:$C,UK!Y:Y),0),IFERROR(_xlfn.XLOOKUP($D8,BMM_Order!$C:$C,BMM_Order!Y:Y),0),IFERROR(_xlfn.XLOOKUP($D8,'Adhoc-_Backlog'!$C:$C,'Adhoc-_Backlog'!AA:AA),0))</f>
        <v>0</v>
      </c>
      <c r="AI8" s="51">
        <f>SUM(IFERROR(_xlfn.XLOOKUP($D8,Domestic!$C:$C,Domestic!AB:AB),0),IFERROR(_xlfn.XLOOKUP($D8,'INT-_Manjiri'!$C:$C,'INT-_Manjiri'!AA:AA),0),IFERROR(_xlfn.XLOOKUP($D8,'USA-_Sea_shipment'!$C:$C,'USA-_Sea_shipment'!AA:AA),0),IFERROR(_xlfn.XLOOKUP($D8,Amazon_USA_Sea!$C:$C,Amazon_USA_Sea!AA:AA),0),IFERROR(_xlfn.XLOOKUP($D8,USA_Air_Shipment!$C:$C,USA_Air_Shipment!Z:Z),0),IFERROR(_xlfn.XLOOKUP($D8,Amazon_USA_Air_Shipment!$C:$C,Amazon_USA_Air_Shipment!Z:Z),0),IFERROR(_xlfn.XLOOKUP($D8,MENA!$C:$C,MENA!Z:Z),0),IFERROR(_xlfn.XLOOKUP($D8,UK!$C:$C,UK!Z:Z),0),IFERROR(_xlfn.XLOOKUP($D8,BMM_Order!$C:$C,BMM_Order!Z:Z),0),IFERROR(_xlfn.XLOOKUP($D8,'Adhoc-_Backlog'!$C:$C,'Adhoc-_Backlog'!AB:AB),0))</f>
        <v>0</v>
      </c>
      <c r="AJ8" s="51">
        <f>SUM(IFERROR(_xlfn.XLOOKUP($D8,Domestic!$C:$C,Domestic!AC:AC),0),IFERROR(_xlfn.XLOOKUP($D8,'INT-_Manjiri'!$C:$C,'INT-_Manjiri'!AB:AB),0),IFERROR(_xlfn.XLOOKUP($D8,'USA-_Sea_shipment'!$C:$C,'USA-_Sea_shipment'!AB:AB),0),IFERROR(_xlfn.XLOOKUP($D8,Amazon_USA_Sea!$C:$C,Amazon_USA_Sea!AB:AB),0),IFERROR(_xlfn.XLOOKUP($D8,USA_Air_Shipment!$C:$C,USA_Air_Shipment!AA:AA),0),IFERROR(_xlfn.XLOOKUP($D8,Amazon_USA_Air_Shipment!$C:$C,Amazon_USA_Air_Shipment!AA:AA),0),IFERROR(_xlfn.XLOOKUP($D8,MENA!$C:$C,MENA!AA:AA),0),IFERROR(_xlfn.XLOOKUP($D8,UK!$C:$C,UK!AA:AA),0),IFERROR(_xlfn.XLOOKUP($D8,BMM_Order!$C:$C,BMM_Order!AA:AA),0),IFERROR(_xlfn.XLOOKUP($D8,'Adhoc-_Backlog'!$C:$C,'Adhoc-_Backlog'!AC:AC),0))</f>
        <v>0</v>
      </c>
      <c r="AK8" s="51">
        <f>SUM(IFERROR(_xlfn.XLOOKUP($D8,Domestic!$C:$C,Domestic!AD:AD),0),IFERROR(_xlfn.XLOOKUP($D8,'INT-_Manjiri'!$C:$C,'INT-_Manjiri'!AC:AC),0),IFERROR(_xlfn.XLOOKUP($D8,'USA-_Sea_shipment'!$C:$C,'USA-_Sea_shipment'!AC:AC),0),IFERROR(_xlfn.XLOOKUP($D8,Amazon_USA_Sea!$C:$C,Amazon_USA_Sea!AC:AC),0),IFERROR(_xlfn.XLOOKUP($D8,USA_Air_Shipment!$C:$C,USA_Air_Shipment!AB:AB),0),IFERROR(_xlfn.XLOOKUP($D8,Amazon_USA_Air_Shipment!$C:$C,Amazon_USA_Air_Shipment!AB:AB),0),IFERROR(_xlfn.XLOOKUP($D8,MENA!$C:$C,MENA!AB:AB),0),IFERROR(_xlfn.XLOOKUP($D8,UK!$C:$C,UK!AB:AB),0),IFERROR(_xlfn.XLOOKUP($D8,BMM_Order!$C:$C,BMM_Order!AB:AB),0),IFERROR(_xlfn.XLOOKUP($D8,'Adhoc-_Backlog'!$C:$C,'Adhoc-_Backlog'!AD:AD),0))</f>
        <v>0</v>
      </c>
      <c r="AL8" s="51">
        <f>SUM(IFERROR(_xlfn.XLOOKUP($D8,Domestic!$C:$C,Domestic!AE:AE),0),IFERROR(_xlfn.XLOOKUP($D8,'INT-_Manjiri'!$C:$C,'INT-_Manjiri'!AD:AD),0),IFERROR(_xlfn.XLOOKUP($D8,'USA-_Sea_shipment'!$C:$C,'USA-_Sea_shipment'!AD:AD),0),IFERROR(_xlfn.XLOOKUP($D8,Amazon_USA_Sea!$C:$C,Amazon_USA_Sea!AD:AD),0),IFERROR(_xlfn.XLOOKUP($D8,USA_Air_Shipment!$C:$C,USA_Air_Shipment!AC:AC),0),IFERROR(_xlfn.XLOOKUP($D8,Amazon_USA_Air_Shipment!$C:$C,Amazon_USA_Air_Shipment!AC:AC),0),IFERROR(_xlfn.XLOOKUP($D8,MENA!$C:$C,MENA!AC:AC),0),IFERROR(_xlfn.XLOOKUP($D8,UK!$C:$C,UK!AC:AC),0),IFERROR(_xlfn.XLOOKUP($D8,BMM_Order!$C:$C,BMM_Order!AC:AC),0),IFERROR(_xlfn.XLOOKUP($D8,'Adhoc-_Backlog'!$C:$C,'Adhoc-_Backlog'!AE:AE),0))</f>
        <v>0</v>
      </c>
      <c r="AM8" s="51">
        <f>SUM(IFERROR(_xlfn.XLOOKUP($D8,Domestic!$C:$C,Domestic!AF:AF),0),IFERROR(_xlfn.XLOOKUP($D8,'INT-_Manjiri'!$C:$C,'INT-_Manjiri'!AE:AE),0),IFERROR(_xlfn.XLOOKUP($D8,'USA-_Sea_shipment'!$C:$C,'USA-_Sea_shipment'!AE:AE),0),IFERROR(_xlfn.XLOOKUP($D8,Amazon_USA_Sea!$C:$C,Amazon_USA_Sea!AE:AE),0),IFERROR(_xlfn.XLOOKUP($D8,USA_Air_Shipment!$C:$C,USA_Air_Shipment!AD:AD),0),IFERROR(_xlfn.XLOOKUP($D8,Amazon_USA_Air_Shipment!$C:$C,Amazon_USA_Air_Shipment!AD:AD),0),IFERROR(_xlfn.XLOOKUP($D8,MENA!$C:$C,MENA!AD:AD),0),IFERROR(_xlfn.XLOOKUP($D8,UK!$C:$C,UK!AD:AD),0),IFERROR(_xlfn.XLOOKUP($D8,BMM_Order!$C:$C,BMM_Order!AD:AD),0),IFERROR(_xlfn.XLOOKUP($D8,'Adhoc-_Backlog'!$C:$C,'Adhoc-_Backlog'!AF:AF),0))</f>
        <v>0</v>
      </c>
      <c r="AN8" s="51">
        <f>SUM(IFERROR(_xlfn.XLOOKUP($D8,Domestic!$C:$C,Domestic!AG:AG),0),IFERROR(_xlfn.XLOOKUP($D8,'INT-_Manjiri'!$C:$C,'INT-_Manjiri'!AF:AF),0),IFERROR(_xlfn.XLOOKUP($D8,'USA-_Sea_shipment'!$C:$C,'USA-_Sea_shipment'!AF:AF),0),IFERROR(_xlfn.XLOOKUP($D8,Amazon_USA_Sea!$C:$C,Amazon_USA_Sea!AF:AF),0),IFERROR(_xlfn.XLOOKUP($D8,USA_Air_Shipment!$C:$C,USA_Air_Shipment!AE:AE),0),IFERROR(_xlfn.XLOOKUP($D8,Amazon_USA_Air_Shipment!$C:$C,Amazon_USA_Air_Shipment!AE:AE),0),IFERROR(_xlfn.XLOOKUP($D8,MENA!$C:$C,MENA!AE:AE),0),IFERROR(_xlfn.XLOOKUP($D8,UK!$C:$C,UK!AE:AE),0),IFERROR(_xlfn.XLOOKUP($D8,BMM_Order!$C:$C,BMM_Order!AE:AE),0),IFERROR(_xlfn.XLOOKUP($D8,'Adhoc-_Backlog'!$C:$C,'Adhoc-_Backlog'!AG:AG),0))</f>
        <v>0</v>
      </c>
      <c r="AO8" s="51">
        <f>SUM(IFERROR(_xlfn.XLOOKUP($D8,Domestic!$C:$C,Domestic!AH:AH),0),IFERROR(_xlfn.XLOOKUP($D8,'INT-_Manjiri'!$C:$C,'INT-_Manjiri'!AG:AG),0),IFERROR(_xlfn.XLOOKUP($D8,'USA-_Sea_shipment'!$C:$C,'USA-_Sea_shipment'!AG:AG),0),IFERROR(_xlfn.XLOOKUP($D8,Amazon_USA_Sea!$C:$C,Amazon_USA_Sea!AG:AG),0),IFERROR(_xlfn.XLOOKUP($D8,USA_Air_Shipment!$C:$C,USA_Air_Shipment!AF:AF),0),IFERROR(_xlfn.XLOOKUP($D8,Amazon_USA_Air_Shipment!$C:$C,Amazon_USA_Air_Shipment!AF:AF),0),IFERROR(_xlfn.XLOOKUP($D8,MENA!$C:$C,MENA!AF:AF),0),IFERROR(_xlfn.XLOOKUP($D8,UK!$C:$C,UK!AF:AF),0),IFERROR(_xlfn.XLOOKUP($D8,BMM_Order!$C:$C,BMM_Order!AF:AF),0),IFERROR(_xlfn.XLOOKUP($D8,'Adhoc-_Backlog'!$C:$C,'Adhoc-_Backlog'!AH:AH),0))</f>
        <v>0</v>
      </c>
      <c r="AP8" s="51">
        <f>SUM(IFERROR(_xlfn.XLOOKUP($D8,Domestic!$C:$C,Domestic!AI:AI),0),IFERROR(_xlfn.XLOOKUP($D8,'INT-_Manjiri'!$C:$C,'INT-_Manjiri'!AH:AH),0),IFERROR(_xlfn.XLOOKUP($D8,'USA-_Sea_shipment'!$C:$C,'USA-_Sea_shipment'!AH:AH),0),IFERROR(_xlfn.XLOOKUP($D8,Amazon_USA_Sea!$C:$C,Amazon_USA_Sea!AH:AH),0),IFERROR(_xlfn.XLOOKUP($D8,USA_Air_Shipment!$C:$C,USA_Air_Shipment!AG:AG),0),IFERROR(_xlfn.XLOOKUP($D8,Amazon_USA_Air_Shipment!$C:$C,Amazon_USA_Air_Shipment!AG:AG),0),IFERROR(_xlfn.XLOOKUP($D8,MENA!$C:$C,MENA!AG:AG),0),IFERROR(_xlfn.XLOOKUP($D8,UK!$C:$C,UK!AG:AG),0),IFERROR(_xlfn.XLOOKUP($D8,BMM_Order!$C:$C,BMM_Order!AG:AG),0),IFERROR(_xlfn.XLOOKUP($D8,'Adhoc-_Backlog'!$C:$C,'Adhoc-_Backlog'!AI:AI),0))</f>
        <v>1059</v>
      </c>
      <c r="AQ8" s="51">
        <f>SUM(IFERROR(_xlfn.XLOOKUP($D8,Domestic!$C:$C,Domestic!AJ:AJ),0),IFERROR(_xlfn.XLOOKUP($D8,'INT-_Manjiri'!$C:$C,'INT-_Manjiri'!AI:AI),0),IFERROR(_xlfn.XLOOKUP($D8,'USA-_Sea_shipment'!$C:$C,'USA-_Sea_shipment'!AI:AI),0),IFERROR(_xlfn.XLOOKUP($D8,Amazon_USA_Sea!$C:$C,Amazon_USA_Sea!AI:AI),0),IFERROR(_xlfn.XLOOKUP($D8,USA_Air_Shipment!$C:$C,USA_Air_Shipment!AH:AH),0),IFERROR(_xlfn.XLOOKUP($D8,Amazon_USA_Air_Shipment!$C:$C,Amazon_USA_Air_Shipment!AH:AH),0),IFERROR(_xlfn.XLOOKUP($D8,MENA!$C:$C,MENA!AH:AH),0),IFERROR(_xlfn.XLOOKUP($D8,UK!$C:$C,UK!AH:AH),0),IFERROR(_xlfn.XLOOKUP($D8,BMM_Order!$C:$C,BMM_Order!AH:AH),0),IFERROR(_xlfn.XLOOKUP($D8,'Adhoc-_Backlog'!$C:$C,'Adhoc-_Backlog'!AJ:AJ),0))</f>
        <v>0</v>
      </c>
      <c r="AR8" s="51">
        <f>SUM(IFERROR(_xlfn.XLOOKUP($D8,Domestic!$C:$C,Domestic!AK:AK),0),IFERROR(_xlfn.XLOOKUP($D8,'INT-_Manjiri'!$C:$C,'INT-_Manjiri'!AJ:AJ),0),IFERROR(_xlfn.XLOOKUP($D8,'USA-_Sea_shipment'!$C:$C,'USA-_Sea_shipment'!AJ:AJ),0),IFERROR(_xlfn.XLOOKUP($D8,Amazon_USA_Sea!$C:$C,Amazon_USA_Sea!AJ:AJ),0),IFERROR(_xlfn.XLOOKUP($D8,USA_Air_Shipment!$C:$C,USA_Air_Shipment!AI:AI),0),IFERROR(_xlfn.XLOOKUP($D8,Amazon_USA_Air_Shipment!$C:$C,Amazon_USA_Air_Shipment!AI:AI),0),IFERROR(_xlfn.XLOOKUP($D8,MENA!$C:$C,MENA!AI:AI),0),IFERROR(_xlfn.XLOOKUP($D8,UK!$C:$C,UK!AI:AI),0),IFERROR(_xlfn.XLOOKUP($D8,BMM_Order!$C:$C,BMM_Order!AI:AI),0),IFERROR(_xlfn.XLOOKUP($D8,'Adhoc-_Backlog'!$C:$C,'Adhoc-_Backlog'!AK:AK),0))</f>
        <v>30</v>
      </c>
      <c r="AS8" s="51">
        <f>SUM(IFERROR(_xlfn.XLOOKUP($D8,Domestic!$C:$C,Domestic!AL:AL),0),IFERROR(_xlfn.XLOOKUP($D8,'INT-_Manjiri'!$C:$C,'INT-_Manjiri'!AK:AK),0),IFERROR(_xlfn.XLOOKUP($D8,'USA-_Sea_shipment'!$C:$C,'USA-_Sea_shipment'!AK:AK),0),IFERROR(_xlfn.XLOOKUP($D8,Amazon_USA_Sea!$C:$C,Amazon_USA_Sea!AK:AK),0),IFERROR(_xlfn.XLOOKUP($D8,USA_Air_Shipment!$C:$C,USA_Air_Shipment!AJ:AJ),0),IFERROR(_xlfn.XLOOKUP($D8,Amazon_USA_Air_Shipment!$C:$C,Amazon_USA_Air_Shipment!AJ:AJ),0),IFERROR(_xlfn.XLOOKUP($D8,MENA!$C:$C,MENA!AJ:AJ),0),IFERROR(_xlfn.XLOOKUP($D8,UK!$C:$C,UK!AJ:AJ),0),IFERROR(_xlfn.XLOOKUP($D8,BMM_Order!$C:$C,BMM_Order!AJ:AJ),0),IFERROR(_xlfn.XLOOKUP($D8,'Adhoc-_Backlog'!$C:$C,'Adhoc-_Backlog'!AL:AL),0))</f>
        <v>0</v>
      </c>
      <c r="AT8" s="51">
        <f>SUM(IFERROR(_xlfn.XLOOKUP($D8,Domestic!$C:$C,Domestic!AM:AM),0),IFERROR(_xlfn.XLOOKUP($D8,'INT-_Manjiri'!$C:$C,'INT-_Manjiri'!AL:AL),0),IFERROR(_xlfn.XLOOKUP($D8,'USA-_Sea_shipment'!$C:$C,'USA-_Sea_shipment'!AL:AL),0),IFERROR(_xlfn.XLOOKUP($D8,Amazon_USA_Sea!$C:$C,Amazon_USA_Sea!AL:AL),0),IFERROR(_xlfn.XLOOKUP($D8,USA_Air_Shipment!$C:$C,USA_Air_Shipment!AK:AK),0),IFERROR(_xlfn.XLOOKUP($D8,Amazon_USA_Air_Shipment!$C:$C,Amazon_USA_Air_Shipment!AK:AK),0),IFERROR(_xlfn.XLOOKUP($D8,MENA!$C:$C,MENA!AK:AK),0),IFERROR(_xlfn.XLOOKUP($D8,UK!$C:$C,UK!AK:AK),0),IFERROR(_xlfn.XLOOKUP($D8,BMM_Order!$C:$C,BMM_Order!AK:AK),0),IFERROR(_xlfn.XLOOKUP($D8,'Adhoc-_Backlog'!$C:$C,'Adhoc-_Backlog'!AM:AM),0))</f>
        <v>150</v>
      </c>
      <c r="AU8" s="51">
        <f>SUM(IFERROR(_xlfn.XLOOKUP($D8,Domestic!$C:$C,Domestic!AN:AN),0),IFERROR(_xlfn.XLOOKUP($D8,'INT-_Manjiri'!$C:$C,'INT-_Manjiri'!AM:AM),0),IFERROR(_xlfn.XLOOKUP($D8,'USA-_Sea_shipment'!$C:$C,'USA-_Sea_shipment'!AM:AM),0),IFERROR(_xlfn.XLOOKUP($D8,Amazon_USA_Sea!$C:$C,Amazon_USA_Sea!AM:AM),0),IFERROR(_xlfn.XLOOKUP($D8,USA_Air_Shipment!$C:$C,USA_Air_Shipment!AL:AL),0),IFERROR(_xlfn.XLOOKUP($D8,Amazon_USA_Air_Shipment!$C:$C,Amazon_USA_Air_Shipment!AL:AL),0),IFERROR(_xlfn.XLOOKUP($D8,MENA!$C:$C,MENA!AL:AL),0),IFERROR(_xlfn.XLOOKUP($D8,UK!$C:$C,UK!AL:AL),0),IFERROR(_xlfn.XLOOKUP($D8,BMM_Order!$C:$C,BMM_Order!AL:AL),0),IFERROR(_xlfn.XLOOKUP($D8,'Adhoc-_Backlog'!$C:$C,'Adhoc-_Backlog'!AN:AN),0))</f>
        <v>0</v>
      </c>
      <c r="AV8" s="51">
        <f>SUM(IFERROR(_xlfn.XLOOKUP($D8,Domestic!$C:$C,Domestic!AO:AO),0),IFERROR(_xlfn.XLOOKUP($D8,'INT-_Manjiri'!$C:$C,'INT-_Manjiri'!AN:AN),0),IFERROR(_xlfn.XLOOKUP($D8,'USA-_Sea_shipment'!$C:$C,'USA-_Sea_shipment'!AN:AN),0),IFERROR(_xlfn.XLOOKUP($D8,Amazon_USA_Sea!$C:$C,Amazon_USA_Sea!AN:AN),0),IFERROR(_xlfn.XLOOKUP($D8,USA_Air_Shipment!$C:$C,USA_Air_Shipment!AM:AM),0),IFERROR(_xlfn.XLOOKUP($D8,Amazon_USA_Air_Shipment!$C:$C,Amazon_USA_Air_Shipment!AM:AM),0),IFERROR(_xlfn.XLOOKUP($D8,MENA!$C:$C,MENA!AM:AM),0),IFERROR(_xlfn.XLOOKUP($D8,UK!$C:$C,UK!AM:AM),0),IFERROR(_xlfn.XLOOKUP($D8,BMM_Order!$C:$C,BMM_Order!AM:AM),0),IFERROR(_xlfn.XLOOKUP($D8,'Adhoc-_Backlog'!$C:$C,'Adhoc-_Backlog'!AO:AO),0))</f>
        <v>200</v>
      </c>
      <c r="AW8" s="51">
        <f>SUM(IFERROR(_xlfn.XLOOKUP($D8,Domestic!$C:$C,Domestic!AP:AP),0),IFERROR(_xlfn.XLOOKUP($D8,'INT-_Manjiri'!$C:$C,'INT-_Manjiri'!AO:AO),0),IFERROR(_xlfn.XLOOKUP($D8,'USA-_Sea_shipment'!$C:$C,'USA-_Sea_shipment'!AO:AO),0),IFERROR(_xlfn.XLOOKUP($D8,Amazon_USA_Sea!$C:$C,Amazon_USA_Sea!AO:AO),0),IFERROR(_xlfn.XLOOKUP($D8,USA_Air_Shipment!$C:$C,USA_Air_Shipment!AN:AN),0),IFERROR(_xlfn.XLOOKUP($D8,Amazon_USA_Air_Shipment!$C:$C,Amazon_USA_Air_Shipment!AN:AN),0),IFERROR(_xlfn.XLOOKUP($D8,MENA!$C:$C,MENA!AN:AN),0),IFERROR(_xlfn.XLOOKUP($D8,UK!$C:$C,UK!AN:AN),0),IFERROR(_xlfn.XLOOKUP($D8,BMM_Order!$C:$C,BMM_Order!AN:AN),0),IFERROR(_xlfn.XLOOKUP($D8,'Adhoc-_Backlog'!$C:$C,'Adhoc-_Backlog'!AP:AP),0))</f>
        <v>427</v>
      </c>
      <c r="AX8" s="51">
        <f>SUM(IFERROR(_xlfn.XLOOKUP($D8,Domestic!$C:$C,Domestic!AQ:AQ),0),IFERROR(_xlfn.XLOOKUP($D8,'INT-_Manjiri'!$C:$C,'INT-_Manjiri'!AP:AP),0),IFERROR(_xlfn.XLOOKUP($D8,'USA-_Sea_shipment'!$C:$C,'USA-_Sea_shipment'!AP:AP),0),IFERROR(_xlfn.XLOOKUP($D8,Amazon_USA_Sea!$C:$C,Amazon_USA_Sea!AP:AP),0),IFERROR(_xlfn.XLOOKUP($D8,USA_Air_Shipment!$C:$C,USA_Air_Shipment!AO:AO),0),IFERROR(_xlfn.XLOOKUP($D8,Amazon_USA_Air_Shipment!$C:$C,Amazon_USA_Air_Shipment!AO:AO),0),IFERROR(_xlfn.XLOOKUP($D8,MENA!$C:$C,MENA!AO:AO),0),IFERROR(_xlfn.XLOOKUP($D8,UK!$C:$C,UK!AO:AO),0),IFERROR(_xlfn.XLOOKUP($D8,BMM_Order!$C:$C,BMM_Order!AO:AO),0),IFERROR(_xlfn.XLOOKUP($D8,'Adhoc-_Backlog'!$C:$C,'Adhoc-_Backlog'!AQ:AQ),0))</f>
        <v>252</v>
      </c>
      <c r="AY8" s="51">
        <f>SUM(IFERROR(_xlfn.XLOOKUP($D8,Domestic!$C:$C,Domestic!AR:AR),0),IFERROR(_xlfn.XLOOKUP($D8,'INT-_Manjiri'!$C:$C,'INT-_Manjiri'!AQ:AQ),0),IFERROR(_xlfn.XLOOKUP($D8,'USA-_Sea_shipment'!$C:$C,'USA-_Sea_shipment'!AQ:AQ),0),IFERROR(_xlfn.XLOOKUP($D8,Amazon_USA_Sea!$C:$C,Amazon_USA_Sea!AQ:AQ),0),IFERROR(_xlfn.XLOOKUP($D8,USA_Air_Shipment!$C:$C,USA_Air_Shipment!AP:AP),0),IFERROR(_xlfn.XLOOKUP($D8,Amazon_USA_Air_Shipment!$C:$C,Amazon_USA_Air_Shipment!AP:AP),0),IFERROR(_xlfn.XLOOKUP($D8,MENA!$C:$C,MENA!AP:AP),0),IFERROR(_xlfn.XLOOKUP($D8,UK!$C:$C,UK!AP:AP),0),IFERROR(_xlfn.XLOOKUP($D8,BMM_Order!$C:$C,BMM_Order!AP:AP),0),IFERROR(_xlfn.XLOOKUP($D8,'Adhoc-_Backlog'!$C:$C,'Adhoc-_Backlog'!AR:AR),0))</f>
        <v>0</v>
      </c>
      <c r="AZ8" s="51">
        <f>SUM(IFERROR(_xlfn.XLOOKUP($D8,Domestic!$C:$C,Domestic!AS:AS),0),IFERROR(_xlfn.XLOOKUP($D8,'INT-_Manjiri'!$C:$C,'INT-_Manjiri'!AR:AR),0),IFERROR(_xlfn.XLOOKUP($D8,'USA-_Sea_shipment'!$C:$C,'USA-_Sea_shipment'!AR:AR),0),IFERROR(_xlfn.XLOOKUP($D8,Amazon_USA_Sea!$C:$C,Amazon_USA_Sea!AR:AR),0),IFERROR(_xlfn.XLOOKUP($D8,USA_Air_Shipment!$C:$C,USA_Air_Shipment!AQ:AQ),0),IFERROR(_xlfn.XLOOKUP($D8,Amazon_USA_Air_Shipment!$C:$C,Amazon_USA_Air_Shipment!AQ:AQ),0),IFERROR(_xlfn.XLOOKUP($D8,MENA!$C:$C,MENA!AQ:AQ),0),IFERROR(_xlfn.XLOOKUP($D8,UK!$C:$C,UK!AQ:AQ),0),IFERROR(_xlfn.XLOOKUP($D8,BMM_Order!$C:$C,BMM_Order!AQ:AQ),0),IFERROR(_xlfn.XLOOKUP($D8,'Adhoc-_Backlog'!$C:$C,'Adhoc-_Backlog'!AS:AS),0))</f>
        <v>0</v>
      </c>
      <c r="BA8" s="51">
        <f>SUM(IFERROR(_xlfn.XLOOKUP($D8,Domestic!$C:$C,Domestic!AT:AT),0),IFERROR(_xlfn.XLOOKUP($D8,'INT-_Manjiri'!$C:$C,'INT-_Manjiri'!AS:AS),0),IFERROR(_xlfn.XLOOKUP($D8,'USA-_Sea_shipment'!$C:$C,'USA-_Sea_shipment'!AS:AS),0),IFERROR(_xlfn.XLOOKUP($D8,Amazon_USA_Sea!$C:$C,Amazon_USA_Sea!AS:AS),0),IFERROR(_xlfn.XLOOKUP($D8,USA_Air_Shipment!$C:$C,USA_Air_Shipment!AR:AR),0),IFERROR(_xlfn.XLOOKUP($D8,Amazon_USA_Air_Shipment!$C:$C,Amazon_USA_Air_Shipment!AR:AR),0),IFERROR(_xlfn.XLOOKUP($D8,MENA!$C:$C,MENA!AR:AR),0),IFERROR(_xlfn.XLOOKUP($D8,UK!$C:$C,UK!AR:AR),0),IFERROR(_xlfn.XLOOKUP($D8,BMM_Order!$C:$C,BMM_Order!AR:AR),0),IFERROR(_xlfn.XLOOKUP($D8,'Adhoc-_Backlog'!$C:$C,'Adhoc-_Backlog'!AT:AT),0))</f>
        <v>0</v>
      </c>
      <c r="BB8" s="52">
        <f t="shared" si="2"/>
        <v>4295</v>
      </c>
      <c r="BC8" s="64">
        <f t="shared" si="3"/>
        <v>2147.5</v>
      </c>
      <c r="BD8" s="65">
        <f t="shared" si="4"/>
        <v>18586</v>
      </c>
      <c r="BE8" s="64">
        <f t="shared" si="5"/>
        <v>9293</v>
      </c>
      <c r="BF8" s="66">
        <f t="shared" si="6"/>
        <v>0.18771032734583279</v>
      </c>
      <c r="BG8" s="67" t="str">
        <f>_xlfn.TEXTJOIN(" | ",TRUE,IFERROR(_xlfn.XLOOKUP($D8,Domestic!$C:$C,Domestic!$BG:$BG,""),""),IFERROR(_xlfn.XLOOKUP($D8,'INT-_Manjiri'!$C:$C,'INT-_Manjiri'!$AY:$AY,""),""),IFERROR(_xlfn.XLOOKUP($D8,'USA-_Sea_shipment'!$C:$C,'USA-_Sea_shipment'!#REF!,""),""),IFERROR(_xlfn.XLOOKUP($D8,Amazon_USA_Sea!$C:$C,Amazon_USA_Sea!$AY:$AY,""),""),IFERROR(_xlfn.XLOOKUP($D8,USA_Air_Shipment!$C:$C,USA_Air_Shipment!$AW:$AW,""),""),IFERROR(_xlfn.XLOOKUP($D8,Amazon_USA_Air_Shipment!$C:$C,Amazon_USA_Air_Shipment!$AW:$AW,""),""),IFERROR(_xlfn.XLOOKUP($D8,MENA!$C:$C,MENA!$AW:$AW,""),""),IFERROR(_xlfn.XLOOKUP($D8,UK!$C:$C,UK!$BA:$BA,""),""),IFERROR(_xlfn.XLOOKUP($D8,BMM_Order!$C:$C,BMM_Order!$BA:$BA,""),""),IFERROR(_xlfn.XLOOKUP($D8,'Adhoc-_Backlog'!$C:$C,'Adhoc-_Backlog'!$BD:$BD,""),""))</f>
        <v>WIP</v>
      </c>
      <c r="BH8" s="67">
        <f>_xlfn.XLOOKUP(D8,Raw_Data!A:A,Raw_Data!B:B)</f>
        <v>974</v>
      </c>
      <c r="BI8" s="68">
        <f t="shared" si="7"/>
        <v>1.2770420873213582</v>
      </c>
      <c r="BJ8" s="67">
        <f t="shared" si="8"/>
        <v>10</v>
      </c>
      <c r="BK8" s="57" t="str">
        <f t="shared" si="9"/>
        <v>P1 – Critical</v>
      </c>
      <c r="BL8" t="s">
        <v>122</v>
      </c>
    </row>
    <row r="9" spans="1:64" ht="13">
      <c r="A9" s="44">
        <f>7</f>
        <v>7</v>
      </c>
      <c r="B9" s="45" t="s">
        <v>12</v>
      </c>
      <c r="C9" s="45"/>
      <c r="D9" s="46" t="str">
        <f>Projection_!A10</f>
        <v>FG00904</v>
      </c>
      <c r="E9" s="47" t="str">
        <f>Projection_!B10</f>
        <v>A2 Desi Cow Ghee - 500ml</v>
      </c>
      <c r="F9" s="48">
        <v>0.5</v>
      </c>
      <c r="G9" s="49">
        <f>IFERROR(_xlfn.XLOOKUP($D9,Projection_!$A:$A,Projection_!$J:$J),0)</f>
        <v>10468.700000000001</v>
      </c>
      <c r="H9" s="49">
        <f>IFERROR(_xlfn.XLOOKUP($D9,Projection_!$A:$A,Projection_!$K:$K),0)</f>
        <v>0</v>
      </c>
      <c r="I9" s="49">
        <f>IFERROR(_xlfn.XLOOKUP($D9,Projection_!$A:$A,Projection_!$L:$L),0)</f>
        <v>0</v>
      </c>
      <c r="J9" s="49">
        <f>IFERROR(_xlfn.XLOOKUP($D9,Projection_!$A:$A,Projection_!$M:$M),0)</f>
        <v>0</v>
      </c>
      <c r="K9" s="49">
        <f>IFERROR(_xlfn.XLOOKUP($D9,Projection_!$A:$A,Projection_!$Q:$Q),0)</f>
        <v>0</v>
      </c>
      <c r="L9" s="49">
        <f>IFERROR(_xlfn.XLOOKUP($D9,Projection_!$A:$A,Projection_!$R:$R),0)</f>
        <v>0</v>
      </c>
      <c r="M9" s="49">
        <f>IFERROR(_xlfn.XLOOKUP($D9,Projection_!$A:$A,Projection_!$O:$O),0)</f>
        <v>0</v>
      </c>
      <c r="N9" s="49">
        <f>IFERROR(_xlfn.XLOOKUP($D9,Projection_!$A:$A,Projection_!$P:$P),0)</f>
        <v>0</v>
      </c>
      <c r="O9" s="50">
        <f t="shared" si="1"/>
        <v>10468.700000000001</v>
      </c>
      <c r="P9" s="51">
        <f>SUM(IFERROR(_xlfn.XLOOKUP($D9,Domestic!$C:$C,Domestic!I:I),0),IFERROR(_xlfn.XLOOKUP($D9,'INT-_Manjiri'!$C:$C,'INT-_Manjiri'!H:H),0),IFERROR(_xlfn.XLOOKUP($D9,'USA-_Sea_shipment'!$C:$C,'USA-_Sea_shipment'!H:H),0),IFERROR(_xlfn.XLOOKUP($D9,Amazon_USA_Sea!$C:$C,Amazon_USA_Sea!H:H),0),IFERROR(_xlfn.XLOOKUP($D9,USA_Air_Shipment!$C:$C,USA_Air_Shipment!G:G),0),IFERROR(_xlfn.XLOOKUP($D9,Amazon_USA_Air_Shipment!$C:$C,Amazon_USA_Air_Shipment!G:G),0),IFERROR(_xlfn.XLOOKUP($D9,MENA!$C:$C,MENA!G:G),0),IFERROR(_xlfn.XLOOKUP($D9,UK!$C:$C,UK!G:G),0),IFERROR(_xlfn.XLOOKUP($D9,BMM_Order!$C:$C,BMM_Order!G:G),0),IFERROR(_xlfn.XLOOKUP($D9,'Adhoc-_Backlog'!$C:$C,'Adhoc-_Backlog'!I:I),0))</f>
        <v>0</v>
      </c>
      <c r="Q9" s="51">
        <f>SUM(IFERROR(_xlfn.XLOOKUP($D9,Domestic!$C:$C,Domestic!J:J),0),IFERROR(_xlfn.XLOOKUP($D9,'INT-_Manjiri'!$C:$C,'INT-_Manjiri'!I:I),0),IFERROR(_xlfn.XLOOKUP($D9,'USA-_Sea_shipment'!$C:$C,'USA-_Sea_shipment'!I:I),0),IFERROR(_xlfn.XLOOKUP($D9,Amazon_USA_Sea!$C:$C,Amazon_USA_Sea!I:I),0),IFERROR(_xlfn.XLOOKUP($D9,USA_Air_Shipment!$C:$C,USA_Air_Shipment!H:H),0),IFERROR(_xlfn.XLOOKUP($D9,Amazon_USA_Air_Shipment!$C:$C,Amazon_USA_Air_Shipment!H:H),0),IFERROR(_xlfn.XLOOKUP($D9,MENA!$C:$C,MENA!H:H),0),IFERROR(_xlfn.XLOOKUP($D9,UK!$C:$C,UK!H:H),0),IFERROR(_xlfn.XLOOKUP($D9,BMM_Order!$C:$C,BMM_Order!H:H),0),IFERROR(_xlfn.XLOOKUP($D9,'Adhoc-_Backlog'!$C:$C,'Adhoc-_Backlog'!J:J),0))</f>
        <v>0</v>
      </c>
      <c r="R9" s="51">
        <f>SUM(IFERROR(_xlfn.XLOOKUP($D9,Domestic!$C:$C,Domestic!K:K),0),IFERROR(_xlfn.XLOOKUP($D9,'INT-_Manjiri'!$C:$C,'INT-_Manjiri'!J:J),0),IFERROR(_xlfn.XLOOKUP($D9,'USA-_Sea_shipment'!$C:$C,'USA-_Sea_shipment'!J:J),0),IFERROR(_xlfn.XLOOKUP($D9,Amazon_USA_Sea!$C:$C,Amazon_USA_Sea!J:J),0),IFERROR(_xlfn.XLOOKUP($D9,USA_Air_Shipment!$C:$C,USA_Air_Shipment!I:I),0),IFERROR(_xlfn.XLOOKUP($D9,Amazon_USA_Air_Shipment!$C:$C,Amazon_USA_Air_Shipment!I:I),0),IFERROR(_xlfn.XLOOKUP($D9,MENA!$C:$C,MENA!I:I),0),IFERROR(_xlfn.XLOOKUP($D9,UK!$C:$C,UK!I:I),0),IFERROR(_xlfn.XLOOKUP($D9,BMM_Order!$C:$C,BMM_Order!I:I),0),IFERROR(_xlfn.XLOOKUP($D9,'Adhoc-_Backlog'!$C:$C,'Adhoc-_Backlog'!K:K),0))</f>
        <v>0</v>
      </c>
      <c r="S9" s="51">
        <f>SUM(IFERROR(_xlfn.XLOOKUP($D9,Domestic!$C:$C,Domestic!L:L),0),IFERROR(_xlfn.XLOOKUP($D9,'INT-_Manjiri'!$C:$C,'INT-_Manjiri'!K:K),0),IFERROR(_xlfn.XLOOKUP($D9,'USA-_Sea_shipment'!$C:$C,'USA-_Sea_shipment'!K:K),0),IFERROR(_xlfn.XLOOKUP($D9,Amazon_USA_Sea!$C:$C,Amazon_USA_Sea!K:K),0),IFERROR(_xlfn.XLOOKUP($D9,USA_Air_Shipment!$C:$C,USA_Air_Shipment!J:J),0),IFERROR(_xlfn.XLOOKUP($D9,Amazon_USA_Air_Shipment!$C:$C,Amazon_USA_Air_Shipment!J:J),0),IFERROR(_xlfn.XLOOKUP($D9,MENA!$C:$C,MENA!J:J),0),IFERROR(_xlfn.XLOOKUP($D9,UK!$C:$C,UK!J:J),0),IFERROR(_xlfn.XLOOKUP($D9,BMM_Order!$C:$C,BMM_Order!J:J),0),IFERROR(_xlfn.XLOOKUP($D9,'Adhoc-_Backlog'!$C:$C,'Adhoc-_Backlog'!L:L),0))</f>
        <v>0</v>
      </c>
      <c r="T9" s="51">
        <f>SUM(IFERROR(_xlfn.XLOOKUP($D9,Domestic!$C:$C,Domestic!M:M),0),IFERROR(_xlfn.XLOOKUP($D9,'INT-_Manjiri'!$C:$C,'INT-_Manjiri'!L:L),0),IFERROR(_xlfn.XLOOKUP($D9,'USA-_Sea_shipment'!$C:$C,'USA-_Sea_shipment'!L:L),0),IFERROR(_xlfn.XLOOKUP($D9,Amazon_USA_Sea!$C:$C,Amazon_USA_Sea!L:L),0),IFERROR(_xlfn.XLOOKUP($D9,USA_Air_Shipment!$C:$C,USA_Air_Shipment!K:K),0),IFERROR(_xlfn.XLOOKUP($D9,Amazon_USA_Air_Shipment!$C:$C,Amazon_USA_Air_Shipment!K:K),0),IFERROR(_xlfn.XLOOKUP($D9,MENA!$C:$C,MENA!K:K),0),IFERROR(_xlfn.XLOOKUP($D9,UK!$C:$C,UK!K:K),0),IFERROR(_xlfn.XLOOKUP($D9,BMM_Order!$C:$C,BMM_Order!K:K),0),IFERROR(_xlfn.XLOOKUP($D9,'Adhoc-_Backlog'!$C:$C,'Adhoc-_Backlog'!M:M),0))</f>
        <v>0</v>
      </c>
      <c r="U9" s="51">
        <f>SUM(IFERROR(_xlfn.XLOOKUP($D9,Domestic!$C:$C,Domestic!N:N),0),IFERROR(_xlfn.XLOOKUP($D9,'INT-_Manjiri'!$C:$C,'INT-_Manjiri'!M:M),0),IFERROR(_xlfn.XLOOKUP($D9,'USA-_Sea_shipment'!$C:$C,'USA-_Sea_shipment'!M:M),0),IFERROR(_xlfn.XLOOKUP($D9,Amazon_USA_Sea!$C:$C,Amazon_USA_Sea!M:M),0),IFERROR(_xlfn.XLOOKUP($D9,USA_Air_Shipment!$C:$C,USA_Air_Shipment!L:L),0),IFERROR(_xlfn.XLOOKUP($D9,Amazon_USA_Air_Shipment!$C:$C,Amazon_USA_Air_Shipment!L:L),0),IFERROR(_xlfn.XLOOKUP($D9,MENA!$C:$C,MENA!L:L),0),IFERROR(_xlfn.XLOOKUP($D9,UK!$C:$C,UK!L:L),0),IFERROR(_xlfn.XLOOKUP($D9,BMM_Order!$C:$C,BMM_Order!L:L),0),IFERROR(_xlfn.XLOOKUP($D9,'Adhoc-_Backlog'!$C:$C,'Adhoc-_Backlog'!N:N),0))</f>
        <v>547</v>
      </c>
      <c r="V9" s="51">
        <f>SUM(IFERROR(_xlfn.XLOOKUP($D9,Domestic!$C:$C,Domestic!O:O),0),IFERROR(_xlfn.XLOOKUP($D9,'INT-_Manjiri'!$C:$C,'INT-_Manjiri'!N:N),0),IFERROR(_xlfn.XLOOKUP($D9,'USA-_Sea_shipment'!$C:$C,'USA-_Sea_shipment'!N:N),0),IFERROR(_xlfn.XLOOKUP($D9,Amazon_USA_Sea!$C:$C,Amazon_USA_Sea!N:N),0),IFERROR(_xlfn.XLOOKUP($D9,USA_Air_Shipment!$C:$C,USA_Air_Shipment!M:M),0),IFERROR(_xlfn.XLOOKUP($D9,Amazon_USA_Air_Shipment!$C:$C,Amazon_USA_Air_Shipment!M:M),0),IFERROR(_xlfn.XLOOKUP($D9,MENA!$C:$C,MENA!M:M),0),IFERROR(_xlfn.XLOOKUP($D9,UK!$C:$C,UK!M:M),0),IFERROR(_xlfn.XLOOKUP($D9,BMM_Order!$C:$C,BMM_Order!M:M),0),IFERROR(_xlfn.XLOOKUP($D9,'Adhoc-_Backlog'!$C:$C,'Adhoc-_Backlog'!O:O),0))</f>
        <v>0</v>
      </c>
      <c r="W9" s="51">
        <f>SUM(IFERROR(_xlfn.XLOOKUP($D9,Domestic!$C:$C,Domestic!P:P),0),IFERROR(_xlfn.XLOOKUP($D9,'INT-_Manjiri'!$C:$C,'INT-_Manjiri'!O:O),0),IFERROR(_xlfn.XLOOKUP($D9,'USA-_Sea_shipment'!$C:$C,'USA-_Sea_shipment'!O:O),0),IFERROR(_xlfn.XLOOKUP($D9,Amazon_USA_Sea!$C:$C,Amazon_USA_Sea!O:O),0),IFERROR(_xlfn.XLOOKUP($D9,USA_Air_Shipment!$C:$C,USA_Air_Shipment!N:N),0),IFERROR(_xlfn.XLOOKUP($D9,Amazon_USA_Air_Shipment!$C:$C,Amazon_USA_Air_Shipment!N:N),0),IFERROR(_xlfn.XLOOKUP($D9,MENA!$C:$C,MENA!N:N),0),IFERROR(_xlfn.XLOOKUP($D9,UK!$C:$C,UK!N:N),0),IFERROR(_xlfn.XLOOKUP($D9,BMM_Order!$C:$C,BMM_Order!N:N),0),IFERROR(_xlfn.XLOOKUP($D9,'Adhoc-_Backlog'!$C:$C,'Adhoc-_Backlog'!P:P),0))</f>
        <v>267</v>
      </c>
      <c r="X9" s="51">
        <f>SUM(IFERROR(_xlfn.XLOOKUP($D9,Domestic!$C:$C,Domestic!Q:Q),0),IFERROR(_xlfn.XLOOKUP($D9,'INT-_Manjiri'!$C:$C,'INT-_Manjiri'!P:P),0),IFERROR(_xlfn.XLOOKUP($D9,'USA-_Sea_shipment'!$C:$C,'USA-_Sea_shipment'!P:P),0),IFERROR(_xlfn.XLOOKUP($D9,Amazon_USA_Sea!$C:$C,Amazon_USA_Sea!P:P),0),IFERROR(_xlfn.XLOOKUP($D9,USA_Air_Shipment!$C:$C,USA_Air_Shipment!O:O),0),IFERROR(_xlfn.XLOOKUP($D9,Amazon_USA_Air_Shipment!$C:$C,Amazon_USA_Air_Shipment!O:O),0),IFERROR(_xlfn.XLOOKUP($D9,MENA!$C:$C,MENA!O:O),0),IFERROR(_xlfn.XLOOKUP($D9,UK!$C:$C,UK!O:O),0),IFERROR(_xlfn.XLOOKUP($D9,BMM_Order!$C:$C,BMM_Order!O:O),0),IFERROR(_xlfn.XLOOKUP($D9,'Adhoc-_Backlog'!$C:$C,'Adhoc-_Backlog'!Q:Q),0))</f>
        <v>232</v>
      </c>
      <c r="Y9" s="51">
        <f>SUM(IFERROR(_xlfn.XLOOKUP($D9,Domestic!$C:$C,Domestic!R:R),0),IFERROR(_xlfn.XLOOKUP($D9,'INT-_Manjiri'!$C:$C,'INT-_Manjiri'!Q:Q),0),IFERROR(_xlfn.XLOOKUP($D9,'USA-_Sea_shipment'!$C:$C,'USA-_Sea_shipment'!Q:Q),0),IFERROR(_xlfn.XLOOKUP($D9,Amazon_USA_Sea!$C:$C,Amazon_USA_Sea!Q:Q),0),IFERROR(_xlfn.XLOOKUP($D9,USA_Air_Shipment!$C:$C,USA_Air_Shipment!P:P),0),IFERROR(_xlfn.XLOOKUP($D9,Amazon_USA_Air_Shipment!$C:$C,Amazon_USA_Air_Shipment!P:P),0),IFERROR(_xlfn.XLOOKUP($D9,MENA!$C:$C,MENA!P:P),0),IFERROR(_xlfn.XLOOKUP($D9,UK!$C:$C,UK!P:P),0),IFERROR(_xlfn.XLOOKUP($D9,BMM_Order!$C:$C,BMM_Order!P:P),0),IFERROR(_xlfn.XLOOKUP($D9,'Adhoc-_Backlog'!$C:$C,'Adhoc-_Backlog'!R:R),0))</f>
        <v>0</v>
      </c>
      <c r="Z9" s="51">
        <f>SUM(IFERROR(_xlfn.XLOOKUP($D9,Domestic!$C:$C,Domestic!S:S),0),IFERROR(_xlfn.XLOOKUP($D9,'INT-_Manjiri'!$C:$C,'INT-_Manjiri'!R:R),0),IFERROR(_xlfn.XLOOKUP($D9,'USA-_Sea_shipment'!$C:$C,'USA-_Sea_shipment'!R:R),0),IFERROR(_xlfn.XLOOKUP($D9,Amazon_USA_Sea!$C:$C,Amazon_USA_Sea!R:R),0),IFERROR(_xlfn.XLOOKUP($D9,USA_Air_Shipment!$C:$C,USA_Air_Shipment!Q:Q),0),IFERROR(_xlfn.XLOOKUP($D9,Amazon_USA_Air_Shipment!$C:$C,Amazon_USA_Air_Shipment!Q:Q),0),IFERROR(_xlfn.XLOOKUP($D9,MENA!$C:$C,MENA!Q:Q),0),IFERROR(_xlfn.XLOOKUP($D9,UK!$C:$C,UK!Q:Q),0),IFERROR(_xlfn.XLOOKUP($D9,BMM_Order!$C:$C,BMM_Order!Q:Q),0),IFERROR(_xlfn.XLOOKUP($D9,'Adhoc-_Backlog'!$C:$C,'Adhoc-_Backlog'!S:S),0))</f>
        <v>230</v>
      </c>
      <c r="AA9" s="51">
        <f>SUM(IFERROR(_xlfn.XLOOKUP($D9,Domestic!$C:$C,Domestic!T:T),0),IFERROR(_xlfn.XLOOKUP($D9,'INT-_Manjiri'!$C:$C,'INT-_Manjiri'!S:S),0),IFERROR(_xlfn.XLOOKUP($D9,'USA-_Sea_shipment'!$C:$C,'USA-_Sea_shipment'!S:S),0),IFERROR(_xlfn.XLOOKUP($D9,Amazon_USA_Sea!$C:$C,Amazon_USA_Sea!S:S),0),IFERROR(_xlfn.XLOOKUP($D9,USA_Air_Shipment!$C:$C,USA_Air_Shipment!R:R),0),IFERROR(_xlfn.XLOOKUP($D9,Amazon_USA_Air_Shipment!$C:$C,Amazon_USA_Air_Shipment!R:R),0),IFERROR(_xlfn.XLOOKUP($D9,MENA!$C:$C,MENA!R:R),0),IFERROR(_xlfn.XLOOKUP($D9,UK!$C:$C,UK!R:R),0),IFERROR(_xlfn.XLOOKUP($D9,BMM_Order!$C:$C,BMM_Order!R:R),0),IFERROR(_xlfn.XLOOKUP($D9,'Adhoc-_Backlog'!$C:$C,'Adhoc-_Backlog'!T:T),0))</f>
        <v>0</v>
      </c>
      <c r="AB9" s="51">
        <f>SUM(IFERROR(_xlfn.XLOOKUP($D9,Domestic!$C:$C,Domestic!U:U),0),IFERROR(_xlfn.XLOOKUP($D9,'INT-_Manjiri'!$C:$C,'INT-_Manjiri'!T:T),0),IFERROR(_xlfn.XLOOKUP($D9,'USA-_Sea_shipment'!$C:$C,'USA-_Sea_shipment'!T:T),0),IFERROR(_xlfn.XLOOKUP($D9,Amazon_USA_Sea!$C:$C,Amazon_USA_Sea!T:T),0),IFERROR(_xlfn.XLOOKUP($D9,USA_Air_Shipment!$C:$C,USA_Air_Shipment!S:S),0),IFERROR(_xlfn.XLOOKUP($D9,Amazon_USA_Air_Shipment!$C:$C,Amazon_USA_Air_Shipment!S:S),0),IFERROR(_xlfn.XLOOKUP($D9,MENA!$C:$C,MENA!S:S),0),IFERROR(_xlfn.XLOOKUP($D9,UK!$C:$C,UK!S:S),0),IFERROR(_xlfn.XLOOKUP($D9,BMM_Order!$C:$C,BMM_Order!S:S),0),IFERROR(_xlfn.XLOOKUP($D9,'Adhoc-_Backlog'!$C:$C,'Adhoc-_Backlog'!U:U),0))</f>
        <v>0</v>
      </c>
      <c r="AC9" s="51">
        <f>SUM(IFERROR(_xlfn.XLOOKUP($D9,Domestic!$C:$C,Domestic!V:V),0),IFERROR(_xlfn.XLOOKUP($D9,'INT-_Manjiri'!$C:$C,'INT-_Manjiri'!U:U),0),IFERROR(_xlfn.XLOOKUP($D9,'USA-_Sea_shipment'!$C:$C,'USA-_Sea_shipment'!U:U),0),IFERROR(_xlfn.XLOOKUP($D9,Amazon_USA_Sea!$C:$C,Amazon_USA_Sea!U:U),0),IFERROR(_xlfn.XLOOKUP($D9,USA_Air_Shipment!$C:$C,USA_Air_Shipment!T:T),0),IFERROR(_xlfn.XLOOKUP($D9,Amazon_USA_Air_Shipment!$C:$C,Amazon_USA_Air_Shipment!T:T),0),IFERROR(_xlfn.XLOOKUP($D9,MENA!$C:$C,MENA!T:T),0),IFERROR(_xlfn.XLOOKUP($D9,UK!$C:$C,UK!T:T),0),IFERROR(_xlfn.XLOOKUP($D9,BMM_Order!$C:$C,BMM_Order!T:T),0),IFERROR(_xlfn.XLOOKUP($D9,'Adhoc-_Backlog'!$C:$C,'Adhoc-_Backlog'!V:V),0))</f>
        <v>0</v>
      </c>
      <c r="AD9" s="51">
        <f>SUM(IFERROR(_xlfn.XLOOKUP($D9,Domestic!$C:$C,Domestic!W:W),0),IFERROR(_xlfn.XLOOKUP($D9,'INT-_Manjiri'!$C:$C,'INT-_Manjiri'!V:V),0),IFERROR(_xlfn.XLOOKUP($D9,'USA-_Sea_shipment'!$C:$C,'USA-_Sea_shipment'!V:V),0),IFERROR(_xlfn.XLOOKUP($D9,Amazon_USA_Sea!$C:$C,Amazon_USA_Sea!V:V),0),IFERROR(_xlfn.XLOOKUP($D9,USA_Air_Shipment!$C:$C,USA_Air_Shipment!U:U),0),IFERROR(_xlfn.XLOOKUP($D9,Amazon_USA_Air_Shipment!$C:$C,Amazon_USA_Air_Shipment!U:U),0),IFERROR(_xlfn.XLOOKUP($D9,MENA!$C:$C,MENA!U:U),0),IFERROR(_xlfn.XLOOKUP($D9,UK!$C:$C,UK!U:U),0),IFERROR(_xlfn.XLOOKUP($D9,BMM_Order!$C:$C,BMM_Order!U:U),0),IFERROR(_xlfn.XLOOKUP($D9,'Adhoc-_Backlog'!$C:$C,'Adhoc-_Backlog'!W:W),0))</f>
        <v>0</v>
      </c>
      <c r="AE9" s="51">
        <f>SUM(IFERROR(_xlfn.XLOOKUP($D9,Domestic!$C:$C,Domestic!X:X),0),IFERROR(_xlfn.XLOOKUP($D9,'INT-_Manjiri'!$C:$C,'INT-_Manjiri'!W:W),0),IFERROR(_xlfn.XLOOKUP($D9,'USA-_Sea_shipment'!$C:$C,'USA-_Sea_shipment'!W:W),0),IFERROR(_xlfn.XLOOKUP($D9,Amazon_USA_Sea!$C:$C,Amazon_USA_Sea!W:W),0),IFERROR(_xlfn.XLOOKUP($D9,USA_Air_Shipment!$C:$C,USA_Air_Shipment!V:V),0),IFERROR(_xlfn.XLOOKUP($D9,Amazon_USA_Air_Shipment!$C:$C,Amazon_USA_Air_Shipment!V:V),0),IFERROR(_xlfn.XLOOKUP($D9,MENA!$C:$C,MENA!V:V),0),IFERROR(_xlfn.XLOOKUP($D9,UK!$C:$C,UK!V:V),0),IFERROR(_xlfn.XLOOKUP($D9,BMM_Order!$C:$C,BMM_Order!V:V),0),IFERROR(_xlfn.XLOOKUP($D9,'Adhoc-_Backlog'!$C:$C,'Adhoc-_Backlog'!X:X),0))</f>
        <v>0</v>
      </c>
      <c r="AF9" s="51">
        <f>SUM(IFERROR(_xlfn.XLOOKUP($D9,Domestic!$C:$C,Domestic!Y:Y),0),IFERROR(_xlfn.XLOOKUP($D9,'INT-_Manjiri'!$C:$C,'INT-_Manjiri'!X:X),0),IFERROR(_xlfn.XLOOKUP($D9,'USA-_Sea_shipment'!$C:$C,'USA-_Sea_shipment'!X:X),0),IFERROR(_xlfn.XLOOKUP($D9,Amazon_USA_Sea!$C:$C,Amazon_USA_Sea!X:X),0),IFERROR(_xlfn.XLOOKUP($D9,USA_Air_Shipment!$C:$C,USA_Air_Shipment!W:W),0),IFERROR(_xlfn.XLOOKUP($D9,Amazon_USA_Air_Shipment!$C:$C,Amazon_USA_Air_Shipment!W:W),0),IFERROR(_xlfn.XLOOKUP($D9,MENA!$C:$C,MENA!W:W),0),IFERROR(_xlfn.XLOOKUP($D9,UK!$C:$C,UK!W:W),0),IFERROR(_xlfn.XLOOKUP($D9,BMM_Order!$C:$C,BMM_Order!W:W),0),IFERROR(_xlfn.XLOOKUP($D9,'Adhoc-_Backlog'!$C:$C,'Adhoc-_Backlog'!Y:Y),0))</f>
        <v>0</v>
      </c>
      <c r="AG9" s="51">
        <f>SUM(IFERROR(_xlfn.XLOOKUP($D9,Domestic!$C:$C,Domestic!Z:Z),0),IFERROR(_xlfn.XLOOKUP($D9,'INT-_Manjiri'!$C:$C,'INT-_Manjiri'!Y:Y),0),IFERROR(_xlfn.XLOOKUP($D9,'USA-_Sea_shipment'!$C:$C,'USA-_Sea_shipment'!Y:Y),0),IFERROR(_xlfn.XLOOKUP($D9,Amazon_USA_Sea!$C:$C,Amazon_USA_Sea!Y:Y),0),IFERROR(_xlfn.XLOOKUP($D9,USA_Air_Shipment!$C:$C,USA_Air_Shipment!X:X),0),IFERROR(_xlfn.XLOOKUP($D9,Amazon_USA_Air_Shipment!$C:$C,Amazon_USA_Air_Shipment!X:X),0),IFERROR(_xlfn.XLOOKUP($D9,MENA!$C:$C,MENA!X:X),0),IFERROR(_xlfn.XLOOKUP($D9,UK!$C:$C,UK!X:X),0),IFERROR(_xlfn.XLOOKUP($D9,BMM_Order!$C:$C,BMM_Order!X:X),0),IFERROR(_xlfn.XLOOKUP($D9,'Adhoc-_Backlog'!$C:$C,'Adhoc-_Backlog'!Z:Z),0))</f>
        <v>0</v>
      </c>
      <c r="AH9" s="51">
        <f>SUM(IFERROR(_xlfn.XLOOKUP($D9,Domestic!$C:$C,Domestic!AA:AA),0),IFERROR(_xlfn.XLOOKUP($D9,'INT-_Manjiri'!$C:$C,'INT-_Manjiri'!Z:Z),0),IFERROR(_xlfn.XLOOKUP($D9,'USA-_Sea_shipment'!$C:$C,'USA-_Sea_shipment'!Z:Z),0),IFERROR(_xlfn.XLOOKUP($D9,Amazon_USA_Sea!$C:$C,Amazon_USA_Sea!Z:Z),0),IFERROR(_xlfn.XLOOKUP($D9,USA_Air_Shipment!$C:$C,USA_Air_Shipment!Y:Y),0),IFERROR(_xlfn.XLOOKUP($D9,Amazon_USA_Air_Shipment!$C:$C,Amazon_USA_Air_Shipment!Y:Y),0),IFERROR(_xlfn.XLOOKUP($D9,MENA!$C:$C,MENA!Y:Y),0),IFERROR(_xlfn.XLOOKUP($D9,UK!$C:$C,UK!Y:Y),0),IFERROR(_xlfn.XLOOKUP($D9,BMM_Order!$C:$C,BMM_Order!Y:Y),0),IFERROR(_xlfn.XLOOKUP($D9,'Adhoc-_Backlog'!$C:$C,'Adhoc-_Backlog'!AA:AA),0))</f>
        <v>0</v>
      </c>
      <c r="AI9" s="51">
        <f>SUM(IFERROR(_xlfn.XLOOKUP($D9,Domestic!$C:$C,Domestic!AB:AB),0),IFERROR(_xlfn.XLOOKUP($D9,'INT-_Manjiri'!$C:$C,'INT-_Manjiri'!AA:AA),0),IFERROR(_xlfn.XLOOKUP($D9,'USA-_Sea_shipment'!$C:$C,'USA-_Sea_shipment'!AA:AA),0),IFERROR(_xlfn.XLOOKUP($D9,Amazon_USA_Sea!$C:$C,Amazon_USA_Sea!AA:AA),0),IFERROR(_xlfn.XLOOKUP($D9,USA_Air_Shipment!$C:$C,USA_Air_Shipment!Z:Z),0),IFERROR(_xlfn.XLOOKUP($D9,Amazon_USA_Air_Shipment!$C:$C,Amazon_USA_Air_Shipment!Z:Z),0),IFERROR(_xlfn.XLOOKUP($D9,MENA!$C:$C,MENA!Z:Z),0),IFERROR(_xlfn.XLOOKUP($D9,UK!$C:$C,UK!Z:Z),0),IFERROR(_xlfn.XLOOKUP($D9,BMM_Order!$C:$C,BMM_Order!Z:Z),0),IFERROR(_xlfn.XLOOKUP($D9,'Adhoc-_Backlog'!$C:$C,'Adhoc-_Backlog'!AB:AB),0))</f>
        <v>0</v>
      </c>
      <c r="AJ9" s="51">
        <f>SUM(IFERROR(_xlfn.XLOOKUP($D9,Domestic!$C:$C,Domestic!AC:AC),0),IFERROR(_xlfn.XLOOKUP($D9,'INT-_Manjiri'!$C:$C,'INT-_Manjiri'!AB:AB),0),IFERROR(_xlfn.XLOOKUP($D9,'USA-_Sea_shipment'!$C:$C,'USA-_Sea_shipment'!AB:AB),0),IFERROR(_xlfn.XLOOKUP($D9,Amazon_USA_Sea!$C:$C,Amazon_USA_Sea!AB:AB),0),IFERROR(_xlfn.XLOOKUP($D9,USA_Air_Shipment!$C:$C,USA_Air_Shipment!AA:AA),0),IFERROR(_xlfn.XLOOKUP($D9,Amazon_USA_Air_Shipment!$C:$C,Amazon_USA_Air_Shipment!AA:AA),0),IFERROR(_xlfn.XLOOKUP($D9,MENA!$C:$C,MENA!AA:AA),0),IFERROR(_xlfn.XLOOKUP($D9,UK!$C:$C,UK!AA:AA),0),IFERROR(_xlfn.XLOOKUP($D9,BMM_Order!$C:$C,BMM_Order!AA:AA),0),IFERROR(_xlfn.XLOOKUP($D9,'Adhoc-_Backlog'!$C:$C,'Adhoc-_Backlog'!AC:AC),0))</f>
        <v>0</v>
      </c>
      <c r="AK9" s="51">
        <f>SUM(IFERROR(_xlfn.XLOOKUP($D9,Domestic!$C:$C,Domestic!AD:AD),0),IFERROR(_xlfn.XLOOKUP($D9,'INT-_Manjiri'!$C:$C,'INT-_Manjiri'!AC:AC),0),IFERROR(_xlfn.XLOOKUP($D9,'USA-_Sea_shipment'!$C:$C,'USA-_Sea_shipment'!AC:AC),0),IFERROR(_xlfn.XLOOKUP($D9,Amazon_USA_Sea!$C:$C,Amazon_USA_Sea!AC:AC),0),IFERROR(_xlfn.XLOOKUP($D9,USA_Air_Shipment!$C:$C,USA_Air_Shipment!AB:AB),0),IFERROR(_xlfn.XLOOKUP($D9,Amazon_USA_Air_Shipment!$C:$C,Amazon_USA_Air_Shipment!AB:AB),0),IFERROR(_xlfn.XLOOKUP($D9,MENA!$C:$C,MENA!AB:AB),0),IFERROR(_xlfn.XLOOKUP($D9,UK!$C:$C,UK!AB:AB),0),IFERROR(_xlfn.XLOOKUP($D9,BMM_Order!$C:$C,BMM_Order!AB:AB),0),IFERROR(_xlfn.XLOOKUP($D9,'Adhoc-_Backlog'!$C:$C,'Adhoc-_Backlog'!AD:AD),0))</f>
        <v>0</v>
      </c>
      <c r="AL9" s="51">
        <f>SUM(IFERROR(_xlfn.XLOOKUP($D9,Domestic!$C:$C,Domestic!AE:AE),0),IFERROR(_xlfn.XLOOKUP($D9,'INT-_Manjiri'!$C:$C,'INT-_Manjiri'!AD:AD),0),IFERROR(_xlfn.XLOOKUP($D9,'USA-_Sea_shipment'!$C:$C,'USA-_Sea_shipment'!AD:AD),0),IFERROR(_xlfn.XLOOKUP($D9,Amazon_USA_Sea!$C:$C,Amazon_USA_Sea!AD:AD),0),IFERROR(_xlfn.XLOOKUP($D9,USA_Air_Shipment!$C:$C,USA_Air_Shipment!AC:AC),0),IFERROR(_xlfn.XLOOKUP($D9,Amazon_USA_Air_Shipment!$C:$C,Amazon_USA_Air_Shipment!AC:AC),0),IFERROR(_xlfn.XLOOKUP($D9,MENA!$C:$C,MENA!AC:AC),0),IFERROR(_xlfn.XLOOKUP($D9,UK!$C:$C,UK!AC:AC),0),IFERROR(_xlfn.XLOOKUP($D9,BMM_Order!$C:$C,BMM_Order!AC:AC),0),IFERROR(_xlfn.XLOOKUP($D9,'Adhoc-_Backlog'!$C:$C,'Adhoc-_Backlog'!AE:AE),0))</f>
        <v>0</v>
      </c>
      <c r="AM9" s="51">
        <f>SUM(IFERROR(_xlfn.XLOOKUP($D9,Domestic!$C:$C,Domestic!AF:AF),0),IFERROR(_xlfn.XLOOKUP($D9,'INT-_Manjiri'!$C:$C,'INT-_Manjiri'!AE:AE),0),IFERROR(_xlfn.XLOOKUP($D9,'USA-_Sea_shipment'!$C:$C,'USA-_Sea_shipment'!AE:AE),0),IFERROR(_xlfn.XLOOKUP($D9,Amazon_USA_Sea!$C:$C,Amazon_USA_Sea!AE:AE),0),IFERROR(_xlfn.XLOOKUP($D9,USA_Air_Shipment!$C:$C,USA_Air_Shipment!AD:AD),0),IFERROR(_xlfn.XLOOKUP($D9,Amazon_USA_Air_Shipment!$C:$C,Amazon_USA_Air_Shipment!AD:AD),0),IFERROR(_xlfn.XLOOKUP($D9,MENA!$C:$C,MENA!AD:AD),0),IFERROR(_xlfn.XLOOKUP($D9,UK!$C:$C,UK!AD:AD),0),IFERROR(_xlfn.XLOOKUP($D9,BMM_Order!$C:$C,BMM_Order!AD:AD),0),IFERROR(_xlfn.XLOOKUP($D9,'Adhoc-_Backlog'!$C:$C,'Adhoc-_Backlog'!AF:AF),0))</f>
        <v>150</v>
      </c>
      <c r="AN9" s="51">
        <f>SUM(IFERROR(_xlfn.XLOOKUP($D9,Domestic!$C:$C,Domestic!AG:AG),0),IFERROR(_xlfn.XLOOKUP($D9,'INT-_Manjiri'!$C:$C,'INT-_Manjiri'!AF:AF),0),IFERROR(_xlfn.XLOOKUP($D9,'USA-_Sea_shipment'!$C:$C,'USA-_Sea_shipment'!AF:AF),0),IFERROR(_xlfn.XLOOKUP($D9,Amazon_USA_Sea!$C:$C,Amazon_USA_Sea!AF:AF),0),IFERROR(_xlfn.XLOOKUP($D9,USA_Air_Shipment!$C:$C,USA_Air_Shipment!AE:AE),0),IFERROR(_xlfn.XLOOKUP($D9,Amazon_USA_Air_Shipment!$C:$C,Amazon_USA_Air_Shipment!AE:AE),0),IFERROR(_xlfn.XLOOKUP($D9,MENA!$C:$C,MENA!AE:AE),0),IFERROR(_xlfn.XLOOKUP($D9,UK!$C:$C,UK!AE:AE),0),IFERROR(_xlfn.XLOOKUP($D9,BMM_Order!$C:$C,BMM_Order!AE:AE),0),IFERROR(_xlfn.XLOOKUP($D9,'Adhoc-_Backlog'!$C:$C,'Adhoc-_Backlog'!AG:AG),0))</f>
        <v>312</v>
      </c>
      <c r="AO9" s="51">
        <f>SUM(IFERROR(_xlfn.XLOOKUP($D9,Domestic!$C:$C,Domestic!AH:AH),0),IFERROR(_xlfn.XLOOKUP($D9,'INT-_Manjiri'!$C:$C,'INT-_Manjiri'!AG:AG),0),IFERROR(_xlfn.XLOOKUP($D9,'USA-_Sea_shipment'!$C:$C,'USA-_Sea_shipment'!AG:AG),0),IFERROR(_xlfn.XLOOKUP($D9,Amazon_USA_Sea!$C:$C,Amazon_USA_Sea!AG:AG),0),IFERROR(_xlfn.XLOOKUP($D9,USA_Air_Shipment!$C:$C,USA_Air_Shipment!AF:AF),0),IFERROR(_xlfn.XLOOKUP($D9,Amazon_USA_Air_Shipment!$C:$C,Amazon_USA_Air_Shipment!AF:AF),0),IFERROR(_xlfn.XLOOKUP($D9,MENA!$C:$C,MENA!AF:AF),0),IFERROR(_xlfn.XLOOKUP($D9,UK!$C:$C,UK!AF:AF),0),IFERROR(_xlfn.XLOOKUP($D9,BMM_Order!$C:$C,BMM_Order!AF:AF),0),IFERROR(_xlfn.XLOOKUP($D9,'Adhoc-_Backlog'!$C:$C,'Adhoc-_Backlog'!AH:AH),0))</f>
        <v>354</v>
      </c>
      <c r="AP9" s="51">
        <f>SUM(IFERROR(_xlfn.XLOOKUP($D9,Domestic!$C:$C,Domestic!AI:AI),0),IFERROR(_xlfn.XLOOKUP($D9,'INT-_Manjiri'!$C:$C,'INT-_Manjiri'!AH:AH),0),IFERROR(_xlfn.XLOOKUP($D9,'USA-_Sea_shipment'!$C:$C,'USA-_Sea_shipment'!AH:AH),0),IFERROR(_xlfn.XLOOKUP($D9,Amazon_USA_Sea!$C:$C,Amazon_USA_Sea!AH:AH),0),IFERROR(_xlfn.XLOOKUP($D9,USA_Air_Shipment!$C:$C,USA_Air_Shipment!AG:AG),0),IFERROR(_xlfn.XLOOKUP($D9,Amazon_USA_Air_Shipment!$C:$C,Amazon_USA_Air_Shipment!AG:AG),0),IFERROR(_xlfn.XLOOKUP($D9,MENA!$C:$C,MENA!AG:AG),0),IFERROR(_xlfn.XLOOKUP($D9,UK!$C:$C,UK!AG:AG),0),IFERROR(_xlfn.XLOOKUP($D9,BMM_Order!$C:$C,BMM_Order!AG:AG),0),IFERROR(_xlfn.XLOOKUP($D9,'Adhoc-_Backlog'!$C:$C,'Adhoc-_Backlog'!AI:AI),0))</f>
        <v>0</v>
      </c>
      <c r="AQ9" s="51">
        <f>SUM(IFERROR(_xlfn.XLOOKUP($D9,Domestic!$C:$C,Domestic!AJ:AJ),0),IFERROR(_xlfn.XLOOKUP($D9,'INT-_Manjiri'!$C:$C,'INT-_Manjiri'!AI:AI),0),IFERROR(_xlfn.XLOOKUP($D9,'USA-_Sea_shipment'!$C:$C,'USA-_Sea_shipment'!AI:AI),0),IFERROR(_xlfn.XLOOKUP($D9,Amazon_USA_Sea!$C:$C,Amazon_USA_Sea!AI:AI),0),IFERROR(_xlfn.XLOOKUP($D9,USA_Air_Shipment!$C:$C,USA_Air_Shipment!AH:AH),0),IFERROR(_xlfn.XLOOKUP($D9,Amazon_USA_Air_Shipment!$C:$C,Amazon_USA_Air_Shipment!AH:AH),0),IFERROR(_xlfn.XLOOKUP($D9,MENA!$C:$C,MENA!AH:AH),0),IFERROR(_xlfn.XLOOKUP($D9,UK!$C:$C,UK!AH:AH),0),IFERROR(_xlfn.XLOOKUP($D9,BMM_Order!$C:$C,BMM_Order!AH:AH),0),IFERROR(_xlfn.XLOOKUP($D9,'Adhoc-_Backlog'!$C:$C,'Adhoc-_Backlog'!AJ:AJ),0))</f>
        <v>0</v>
      </c>
      <c r="AR9" s="51">
        <f>SUM(IFERROR(_xlfn.XLOOKUP($D9,Domestic!$C:$C,Domestic!AK:AK),0),IFERROR(_xlfn.XLOOKUP($D9,'INT-_Manjiri'!$C:$C,'INT-_Manjiri'!AJ:AJ),0),IFERROR(_xlfn.XLOOKUP($D9,'USA-_Sea_shipment'!$C:$C,'USA-_Sea_shipment'!AJ:AJ),0),IFERROR(_xlfn.XLOOKUP($D9,Amazon_USA_Sea!$C:$C,Amazon_USA_Sea!AJ:AJ),0),IFERROR(_xlfn.XLOOKUP($D9,USA_Air_Shipment!$C:$C,USA_Air_Shipment!AI:AI),0),IFERROR(_xlfn.XLOOKUP($D9,Amazon_USA_Air_Shipment!$C:$C,Amazon_USA_Air_Shipment!AI:AI),0),IFERROR(_xlfn.XLOOKUP($D9,MENA!$C:$C,MENA!AI:AI),0),IFERROR(_xlfn.XLOOKUP($D9,UK!$C:$C,UK!AI:AI),0),IFERROR(_xlfn.XLOOKUP($D9,BMM_Order!$C:$C,BMM_Order!AI:AI),0),IFERROR(_xlfn.XLOOKUP($D9,'Adhoc-_Backlog'!$C:$C,'Adhoc-_Backlog'!AK:AK),0))</f>
        <v>0</v>
      </c>
      <c r="AS9" s="51">
        <f>SUM(IFERROR(_xlfn.XLOOKUP($D9,Domestic!$C:$C,Domestic!AL:AL),0),IFERROR(_xlfn.XLOOKUP($D9,'INT-_Manjiri'!$C:$C,'INT-_Manjiri'!AK:AK),0),IFERROR(_xlfn.XLOOKUP($D9,'USA-_Sea_shipment'!$C:$C,'USA-_Sea_shipment'!AK:AK),0),IFERROR(_xlfn.XLOOKUP($D9,Amazon_USA_Sea!$C:$C,Amazon_USA_Sea!AK:AK),0),IFERROR(_xlfn.XLOOKUP($D9,USA_Air_Shipment!$C:$C,USA_Air_Shipment!AJ:AJ),0),IFERROR(_xlfn.XLOOKUP($D9,Amazon_USA_Air_Shipment!$C:$C,Amazon_USA_Air_Shipment!AJ:AJ),0),IFERROR(_xlfn.XLOOKUP($D9,MENA!$C:$C,MENA!AJ:AJ),0),IFERROR(_xlfn.XLOOKUP($D9,UK!$C:$C,UK!AJ:AJ),0),IFERROR(_xlfn.XLOOKUP($D9,BMM_Order!$C:$C,BMM_Order!AJ:AJ),0),IFERROR(_xlfn.XLOOKUP($D9,'Adhoc-_Backlog'!$C:$C,'Adhoc-_Backlog'!AL:AL),0))</f>
        <v>0</v>
      </c>
      <c r="AT9" s="51">
        <f>SUM(IFERROR(_xlfn.XLOOKUP($D9,Domestic!$C:$C,Domestic!AM:AM),0),IFERROR(_xlfn.XLOOKUP($D9,'INT-_Manjiri'!$C:$C,'INT-_Manjiri'!AL:AL),0),IFERROR(_xlfn.XLOOKUP($D9,'USA-_Sea_shipment'!$C:$C,'USA-_Sea_shipment'!AL:AL),0),IFERROR(_xlfn.XLOOKUP($D9,Amazon_USA_Sea!$C:$C,Amazon_USA_Sea!AL:AL),0),IFERROR(_xlfn.XLOOKUP($D9,USA_Air_Shipment!$C:$C,USA_Air_Shipment!AK:AK),0),IFERROR(_xlfn.XLOOKUP($D9,Amazon_USA_Air_Shipment!$C:$C,Amazon_USA_Air_Shipment!AK:AK),0),IFERROR(_xlfn.XLOOKUP($D9,MENA!$C:$C,MENA!AK:AK),0),IFERROR(_xlfn.XLOOKUP($D9,UK!$C:$C,UK!AK:AK),0),IFERROR(_xlfn.XLOOKUP($D9,BMM_Order!$C:$C,BMM_Order!AK:AK),0),IFERROR(_xlfn.XLOOKUP($D9,'Adhoc-_Backlog'!$C:$C,'Adhoc-_Backlog'!AM:AM),0))</f>
        <v>429</v>
      </c>
      <c r="AU9" s="51">
        <f>SUM(IFERROR(_xlfn.XLOOKUP($D9,Domestic!$C:$C,Domestic!AN:AN),0),IFERROR(_xlfn.XLOOKUP($D9,'INT-_Manjiri'!$C:$C,'INT-_Manjiri'!AM:AM),0),IFERROR(_xlfn.XLOOKUP($D9,'USA-_Sea_shipment'!$C:$C,'USA-_Sea_shipment'!AM:AM),0),IFERROR(_xlfn.XLOOKUP($D9,Amazon_USA_Sea!$C:$C,Amazon_USA_Sea!AM:AM),0),IFERROR(_xlfn.XLOOKUP($D9,USA_Air_Shipment!$C:$C,USA_Air_Shipment!AL:AL),0),IFERROR(_xlfn.XLOOKUP($D9,Amazon_USA_Air_Shipment!$C:$C,Amazon_USA_Air_Shipment!AL:AL),0),IFERROR(_xlfn.XLOOKUP($D9,MENA!$C:$C,MENA!AL:AL),0),IFERROR(_xlfn.XLOOKUP($D9,UK!$C:$C,UK!AL:AL),0),IFERROR(_xlfn.XLOOKUP($D9,BMM_Order!$C:$C,BMM_Order!AL:AL),0),IFERROR(_xlfn.XLOOKUP($D9,'Adhoc-_Backlog'!$C:$C,'Adhoc-_Backlog'!AN:AN),0))</f>
        <v>0</v>
      </c>
      <c r="AV9" s="51">
        <f>SUM(IFERROR(_xlfn.XLOOKUP($D9,Domestic!$C:$C,Domestic!AO:AO),0),IFERROR(_xlfn.XLOOKUP($D9,'INT-_Manjiri'!$C:$C,'INT-_Manjiri'!AN:AN),0),IFERROR(_xlfn.XLOOKUP($D9,'USA-_Sea_shipment'!$C:$C,'USA-_Sea_shipment'!AN:AN),0),IFERROR(_xlfn.XLOOKUP($D9,Amazon_USA_Sea!$C:$C,Amazon_USA_Sea!AN:AN),0),IFERROR(_xlfn.XLOOKUP($D9,USA_Air_Shipment!$C:$C,USA_Air_Shipment!AM:AM),0),IFERROR(_xlfn.XLOOKUP($D9,Amazon_USA_Air_Shipment!$C:$C,Amazon_USA_Air_Shipment!AM:AM),0),IFERROR(_xlfn.XLOOKUP($D9,MENA!$C:$C,MENA!AM:AM),0),IFERROR(_xlfn.XLOOKUP($D9,UK!$C:$C,UK!AM:AM),0),IFERROR(_xlfn.XLOOKUP($D9,BMM_Order!$C:$C,BMM_Order!AM:AM),0),IFERROR(_xlfn.XLOOKUP($D9,'Adhoc-_Backlog'!$C:$C,'Adhoc-_Backlog'!AO:AO),0))</f>
        <v>351</v>
      </c>
      <c r="AW9" s="51">
        <f>SUM(IFERROR(_xlfn.XLOOKUP($D9,Domestic!$C:$C,Domestic!AP:AP),0),IFERROR(_xlfn.XLOOKUP($D9,'INT-_Manjiri'!$C:$C,'INT-_Manjiri'!AO:AO),0),IFERROR(_xlfn.XLOOKUP($D9,'USA-_Sea_shipment'!$C:$C,'USA-_Sea_shipment'!AO:AO),0),IFERROR(_xlfn.XLOOKUP($D9,Amazon_USA_Sea!$C:$C,Amazon_USA_Sea!AO:AO),0),IFERROR(_xlfn.XLOOKUP($D9,USA_Air_Shipment!$C:$C,USA_Air_Shipment!AN:AN),0),IFERROR(_xlfn.XLOOKUP($D9,Amazon_USA_Air_Shipment!$C:$C,Amazon_USA_Air_Shipment!AN:AN),0),IFERROR(_xlfn.XLOOKUP($D9,MENA!$C:$C,MENA!AN:AN),0),IFERROR(_xlfn.XLOOKUP($D9,UK!$C:$C,UK!AN:AN),0),IFERROR(_xlfn.XLOOKUP($D9,BMM_Order!$C:$C,BMM_Order!AN:AN),0),IFERROR(_xlfn.XLOOKUP($D9,'Adhoc-_Backlog'!$C:$C,'Adhoc-_Backlog'!AP:AP),0))</f>
        <v>0</v>
      </c>
      <c r="AX9" s="51">
        <f>SUM(IFERROR(_xlfn.XLOOKUP($D9,Domestic!$C:$C,Domestic!AQ:AQ),0),IFERROR(_xlfn.XLOOKUP($D9,'INT-_Manjiri'!$C:$C,'INT-_Manjiri'!AP:AP),0),IFERROR(_xlfn.XLOOKUP($D9,'USA-_Sea_shipment'!$C:$C,'USA-_Sea_shipment'!AP:AP),0),IFERROR(_xlfn.XLOOKUP($D9,Amazon_USA_Sea!$C:$C,Amazon_USA_Sea!AP:AP),0),IFERROR(_xlfn.XLOOKUP($D9,USA_Air_Shipment!$C:$C,USA_Air_Shipment!AO:AO),0),IFERROR(_xlfn.XLOOKUP($D9,Amazon_USA_Air_Shipment!$C:$C,Amazon_USA_Air_Shipment!AO:AO),0),IFERROR(_xlfn.XLOOKUP($D9,MENA!$C:$C,MENA!AO:AO),0),IFERROR(_xlfn.XLOOKUP($D9,UK!$C:$C,UK!AO:AO),0),IFERROR(_xlfn.XLOOKUP($D9,BMM_Order!$C:$C,BMM_Order!AO:AO),0),IFERROR(_xlfn.XLOOKUP($D9,'Adhoc-_Backlog'!$C:$C,'Adhoc-_Backlog'!AQ:AQ),0))</f>
        <v>180</v>
      </c>
      <c r="AY9" s="51">
        <f>SUM(IFERROR(_xlfn.XLOOKUP($D9,Domestic!$C:$C,Domestic!AR:AR),0),IFERROR(_xlfn.XLOOKUP($D9,'INT-_Manjiri'!$C:$C,'INT-_Manjiri'!AQ:AQ),0),IFERROR(_xlfn.XLOOKUP($D9,'USA-_Sea_shipment'!$C:$C,'USA-_Sea_shipment'!AQ:AQ),0),IFERROR(_xlfn.XLOOKUP($D9,Amazon_USA_Sea!$C:$C,Amazon_USA_Sea!AQ:AQ),0),IFERROR(_xlfn.XLOOKUP($D9,USA_Air_Shipment!$C:$C,USA_Air_Shipment!AP:AP),0),IFERROR(_xlfn.XLOOKUP($D9,Amazon_USA_Air_Shipment!$C:$C,Amazon_USA_Air_Shipment!AP:AP),0),IFERROR(_xlfn.XLOOKUP($D9,MENA!$C:$C,MENA!AP:AP),0),IFERROR(_xlfn.XLOOKUP($D9,UK!$C:$C,UK!AP:AP),0),IFERROR(_xlfn.XLOOKUP($D9,BMM_Order!$C:$C,BMM_Order!AP:AP),0),IFERROR(_xlfn.XLOOKUP($D9,'Adhoc-_Backlog'!$C:$C,'Adhoc-_Backlog'!AR:AR),0))</f>
        <v>329</v>
      </c>
      <c r="AZ9" s="51">
        <f>SUM(IFERROR(_xlfn.XLOOKUP($D9,Domestic!$C:$C,Domestic!AS:AS),0),IFERROR(_xlfn.XLOOKUP($D9,'INT-_Manjiri'!$C:$C,'INT-_Manjiri'!AR:AR),0),IFERROR(_xlfn.XLOOKUP($D9,'USA-_Sea_shipment'!$C:$C,'USA-_Sea_shipment'!AR:AR),0),IFERROR(_xlfn.XLOOKUP($D9,Amazon_USA_Sea!$C:$C,Amazon_USA_Sea!AR:AR),0),IFERROR(_xlfn.XLOOKUP($D9,USA_Air_Shipment!$C:$C,USA_Air_Shipment!AQ:AQ),0),IFERROR(_xlfn.XLOOKUP($D9,Amazon_USA_Air_Shipment!$C:$C,Amazon_USA_Air_Shipment!AQ:AQ),0),IFERROR(_xlfn.XLOOKUP($D9,MENA!$C:$C,MENA!AQ:AQ),0),IFERROR(_xlfn.XLOOKUP($D9,UK!$C:$C,UK!AQ:AQ),0),IFERROR(_xlfn.XLOOKUP($D9,BMM_Order!$C:$C,BMM_Order!AQ:AQ),0),IFERROR(_xlfn.XLOOKUP($D9,'Adhoc-_Backlog'!$C:$C,'Adhoc-_Backlog'!AS:AS),0))</f>
        <v>0</v>
      </c>
      <c r="BA9" s="51">
        <f>SUM(IFERROR(_xlfn.XLOOKUP($D9,Domestic!$C:$C,Domestic!AT:AT),0),IFERROR(_xlfn.XLOOKUP($D9,'INT-_Manjiri'!$C:$C,'INT-_Manjiri'!AS:AS),0),IFERROR(_xlfn.XLOOKUP($D9,'USA-_Sea_shipment'!$C:$C,'USA-_Sea_shipment'!AS:AS),0),IFERROR(_xlfn.XLOOKUP($D9,Amazon_USA_Sea!$C:$C,Amazon_USA_Sea!AS:AS),0),IFERROR(_xlfn.XLOOKUP($D9,USA_Air_Shipment!$C:$C,USA_Air_Shipment!AR:AR),0),IFERROR(_xlfn.XLOOKUP($D9,Amazon_USA_Air_Shipment!$C:$C,Amazon_USA_Air_Shipment!AR:AR),0),IFERROR(_xlfn.XLOOKUP($D9,MENA!$C:$C,MENA!AR:AR),0),IFERROR(_xlfn.XLOOKUP($D9,UK!$C:$C,UK!AR:AR),0),IFERROR(_xlfn.XLOOKUP($D9,BMM_Order!$C:$C,BMM_Order!AR:AR),0),IFERROR(_xlfn.XLOOKUP($D9,'Adhoc-_Backlog'!$C:$C,'Adhoc-_Backlog'!AT:AT),0))</f>
        <v>0</v>
      </c>
      <c r="BB9" s="52">
        <f t="shared" si="2"/>
        <v>3381</v>
      </c>
      <c r="BC9" s="53">
        <f t="shared" si="3"/>
        <v>1690.5</v>
      </c>
      <c r="BD9" s="51">
        <f t="shared" si="4"/>
        <v>7087.7000000000007</v>
      </c>
      <c r="BE9" s="53">
        <f t="shared" si="5"/>
        <v>3543.8500000000004</v>
      </c>
      <c r="BF9" s="54">
        <f t="shared" si="6"/>
        <v>0.32296273653844315</v>
      </c>
      <c r="BG9" s="55" t="str">
        <f>_xlfn.TEXTJOIN(" | ",TRUE,IFERROR(_xlfn.XLOOKUP($D9,Domestic!$C:$C,Domestic!$BG:$BG,""),""),IFERROR(_xlfn.XLOOKUP($D9,'INT-_Manjiri'!$C:$C,'INT-_Manjiri'!$AY:$AY,""),""),IFERROR(_xlfn.XLOOKUP($D9,'USA-_Sea_shipment'!$C:$C,'USA-_Sea_shipment'!#REF!,""),""),IFERROR(_xlfn.XLOOKUP($D9,Amazon_USA_Sea!$C:$C,Amazon_USA_Sea!$AY:$AY,""),""),IFERROR(_xlfn.XLOOKUP($D9,USA_Air_Shipment!$C:$C,USA_Air_Shipment!$AW:$AW,""),""),IFERROR(_xlfn.XLOOKUP($D9,Amazon_USA_Air_Shipment!$C:$C,Amazon_USA_Air_Shipment!$AW:$AW,""),""),IFERROR(_xlfn.XLOOKUP($D9,MENA!$C:$C,MENA!$AW:$AW,""),""),IFERROR(_xlfn.XLOOKUP($D9,UK!$C:$C,UK!$BA:$BA,""),""),IFERROR(_xlfn.XLOOKUP($D9,BMM_Order!$C:$C,BMM_Order!$BA:$BA,""),""),IFERROR(_xlfn.XLOOKUP($D9,'Adhoc-_Backlog'!$C:$C,'Adhoc-_Backlog'!$BD:$BD,""),""))</f>
        <v/>
      </c>
      <c r="BH9" s="55">
        <f>_xlfn.XLOOKUP(D9,Raw_Data!A:A,Raw_Data!B:B)</f>
        <v>874</v>
      </c>
      <c r="BI9" s="56">
        <f t="shared" si="7"/>
        <v>2.5046089772369058</v>
      </c>
      <c r="BJ9" s="55">
        <f t="shared" si="8"/>
        <v>10</v>
      </c>
      <c r="BK9" s="57" t="str">
        <f t="shared" si="9"/>
        <v>P1 – Critical</v>
      </c>
      <c r="BL9" t="s">
        <v>123</v>
      </c>
    </row>
    <row r="10" spans="1:64" ht="13">
      <c r="A10" s="58">
        <f>10</f>
        <v>10</v>
      </c>
      <c r="B10" s="45" t="s">
        <v>12</v>
      </c>
      <c r="C10" s="59"/>
      <c r="D10" s="60" t="str">
        <f>Projection_!A13</f>
        <v>FG00052</v>
      </c>
      <c r="E10" s="61" t="str">
        <f>Projection_!B13</f>
        <v>Colostrum Powder, Desi Gir Cow - 100 gm</v>
      </c>
      <c r="F10" s="62">
        <v>0.1</v>
      </c>
      <c r="G10" s="63">
        <f>IFERROR(_xlfn.XLOOKUP($D10,Projection_!$A:$A,Projection_!$J:$J),0)</f>
        <v>1242</v>
      </c>
      <c r="H10" s="63">
        <f>IFERROR(_xlfn.XLOOKUP($D10,Projection_!$A:$A,Projection_!$K:$K),0)</f>
        <v>0</v>
      </c>
      <c r="I10" s="63">
        <f>IFERROR(_xlfn.XLOOKUP($D10,Projection_!$A:$A,Projection_!$L:$L),0)</f>
        <v>0</v>
      </c>
      <c r="J10" s="63">
        <f>IFERROR(_xlfn.XLOOKUP($D10,Projection_!$A:$A,Projection_!$M:$M),0)</f>
        <v>0</v>
      </c>
      <c r="K10" s="63">
        <f>IFERROR(_xlfn.XLOOKUP($D10,Projection_!$A:$A,Projection_!$Q:$Q),0)</f>
        <v>0</v>
      </c>
      <c r="L10" s="63">
        <f>IFERROR(_xlfn.XLOOKUP($D10,Projection_!$A:$A,Projection_!$R:$R),0)</f>
        <v>470</v>
      </c>
      <c r="M10" s="63">
        <f>IFERROR(_xlfn.XLOOKUP($D10,Projection_!$A:$A,Projection_!$O:$O),0)</f>
        <v>0</v>
      </c>
      <c r="N10" s="63">
        <f>IFERROR(_xlfn.XLOOKUP($D10,Projection_!$A:$A,Projection_!$P:$P),0)</f>
        <v>0</v>
      </c>
      <c r="O10" s="50">
        <f t="shared" si="1"/>
        <v>1712</v>
      </c>
      <c r="P10" s="51">
        <f>SUM(IFERROR(_xlfn.XLOOKUP($D10,Domestic!$C:$C,Domestic!I:I),0),IFERROR(_xlfn.XLOOKUP($D10,'INT-_Manjiri'!$C:$C,'INT-_Manjiri'!H:H),0),IFERROR(_xlfn.XLOOKUP($D10,'USA-_Sea_shipment'!$C:$C,'USA-_Sea_shipment'!H:H),0),IFERROR(_xlfn.XLOOKUP($D10,Amazon_USA_Sea!$C:$C,Amazon_USA_Sea!H:H),0),IFERROR(_xlfn.XLOOKUP($D10,USA_Air_Shipment!$C:$C,USA_Air_Shipment!G:G),0),IFERROR(_xlfn.XLOOKUP($D10,Amazon_USA_Air_Shipment!$C:$C,Amazon_USA_Air_Shipment!G:G),0),IFERROR(_xlfn.XLOOKUP($D10,MENA!$C:$C,MENA!G:G),0),IFERROR(_xlfn.XLOOKUP($D10,UK!$C:$C,UK!G:G),0),IFERROR(_xlfn.XLOOKUP($D10,BMM_Order!$C:$C,BMM_Order!G:G),0),IFERROR(_xlfn.XLOOKUP($D10,'Adhoc-_Backlog'!$C:$C,'Adhoc-_Backlog'!I:I),0))</f>
        <v>0</v>
      </c>
      <c r="Q10" s="51">
        <f>SUM(IFERROR(_xlfn.XLOOKUP($D10,Domestic!$C:$C,Domestic!J:J),0),IFERROR(_xlfn.XLOOKUP($D10,'INT-_Manjiri'!$C:$C,'INT-_Manjiri'!I:I),0),IFERROR(_xlfn.XLOOKUP($D10,'USA-_Sea_shipment'!$C:$C,'USA-_Sea_shipment'!I:I),0),IFERROR(_xlfn.XLOOKUP($D10,Amazon_USA_Sea!$C:$C,Amazon_USA_Sea!I:I),0),IFERROR(_xlfn.XLOOKUP($D10,USA_Air_Shipment!$C:$C,USA_Air_Shipment!H:H),0),IFERROR(_xlfn.XLOOKUP($D10,Amazon_USA_Air_Shipment!$C:$C,Amazon_USA_Air_Shipment!H:H),0),IFERROR(_xlfn.XLOOKUP($D10,MENA!$C:$C,MENA!H:H),0),IFERROR(_xlfn.XLOOKUP($D10,UK!$C:$C,UK!H:H),0),IFERROR(_xlfn.XLOOKUP($D10,BMM_Order!$C:$C,BMM_Order!H:H),0),IFERROR(_xlfn.XLOOKUP($D10,'Adhoc-_Backlog'!$C:$C,'Adhoc-_Backlog'!J:J),0))</f>
        <v>0</v>
      </c>
      <c r="R10" s="51">
        <f>SUM(IFERROR(_xlfn.XLOOKUP($D10,Domestic!$C:$C,Domestic!K:K),0),IFERROR(_xlfn.XLOOKUP($D10,'INT-_Manjiri'!$C:$C,'INT-_Manjiri'!J:J),0),IFERROR(_xlfn.XLOOKUP($D10,'USA-_Sea_shipment'!$C:$C,'USA-_Sea_shipment'!J:J),0),IFERROR(_xlfn.XLOOKUP($D10,Amazon_USA_Sea!$C:$C,Amazon_USA_Sea!J:J),0),IFERROR(_xlfn.XLOOKUP($D10,USA_Air_Shipment!$C:$C,USA_Air_Shipment!I:I),0),IFERROR(_xlfn.XLOOKUP($D10,Amazon_USA_Air_Shipment!$C:$C,Amazon_USA_Air_Shipment!I:I),0),IFERROR(_xlfn.XLOOKUP($D10,MENA!$C:$C,MENA!I:I),0),IFERROR(_xlfn.XLOOKUP($D10,UK!$C:$C,UK!I:I),0),IFERROR(_xlfn.XLOOKUP($D10,BMM_Order!$C:$C,BMM_Order!I:I),0),IFERROR(_xlfn.XLOOKUP($D10,'Adhoc-_Backlog'!$C:$C,'Adhoc-_Backlog'!K:K),0))</f>
        <v>0</v>
      </c>
      <c r="S10" s="51">
        <f>SUM(IFERROR(_xlfn.XLOOKUP($D10,Domestic!$C:$C,Domestic!L:L),0),IFERROR(_xlfn.XLOOKUP($D10,'INT-_Manjiri'!$C:$C,'INT-_Manjiri'!K:K),0),IFERROR(_xlfn.XLOOKUP($D10,'USA-_Sea_shipment'!$C:$C,'USA-_Sea_shipment'!K:K),0),IFERROR(_xlfn.XLOOKUP($D10,Amazon_USA_Sea!$C:$C,Amazon_USA_Sea!K:K),0),IFERROR(_xlfn.XLOOKUP($D10,USA_Air_Shipment!$C:$C,USA_Air_Shipment!J:J),0),IFERROR(_xlfn.XLOOKUP($D10,Amazon_USA_Air_Shipment!$C:$C,Amazon_USA_Air_Shipment!J:J),0),IFERROR(_xlfn.XLOOKUP($D10,MENA!$C:$C,MENA!J:J),0),IFERROR(_xlfn.XLOOKUP($D10,UK!$C:$C,UK!J:J),0),IFERROR(_xlfn.XLOOKUP($D10,BMM_Order!$C:$C,BMM_Order!J:J),0),IFERROR(_xlfn.XLOOKUP($D10,'Adhoc-_Backlog'!$C:$C,'Adhoc-_Backlog'!L:L),0))</f>
        <v>5</v>
      </c>
      <c r="T10" s="51">
        <f>SUM(IFERROR(_xlfn.XLOOKUP($D10,Domestic!$C:$C,Domestic!M:M),0),IFERROR(_xlfn.XLOOKUP($D10,'INT-_Manjiri'!$C:$C,'INT-_Manjiri'!L:L),0),IFERROR(_xlfn.XLOOKUP($D10,'USA-_Sea_shipment'!$C:$C,'USA-_Sea_shipment'!L:L),0),IFERROR(_xlfn.XLOOKUP($D10,Amazon_USA_Sea!$C:$C,Amazon_USA_Sea!L:L),0),IFERROR(_xlfn.XLOOKUP($D10,USA_Air_Shipment!$C:$C,USA_Air_Shipment!K:K),0),IFERROR(_xlfn.XLOOKUP($D10,Amazon_USA_Air_Shipment!$C:$C,Amazon_USA_Air_Shipment!K:K),0),IFERROR(_xlfn.XLOOKUP($D10,MENA!$C:$C,MENA!K:K),0),IFERROR(_xlfn.XLOOKUP($D10,UK!$C:$C,UK!K:K),0),IFERROR(_xlfn.XLOOKUP($D10,BMM_Order!$C:$C,BMM_Order!K:K),0),IFERROR(_xlfn.XLOOKUP($D10,'Adhoc-_Backlog'!$C:$C,'Adhoc-_Backlog'!M:M),0))</f>
        <v>0</v>
      </c>
      <c r="U10" s="51">
        <f>SUM(IFERROR(_xlfn.XLOOKUP($D10,Domestic!$C:$C,Domestic!N:N),0),IFERROR(_xlfn.XLOOKUP($D10,'INT-_Manjiri'!$C:$C,'INT-_Manjiri'!M:M),0),IFERROR(_xlfn.XLOOKUP($D10,'USA-_Sea_shipment'!$C:$C,'USA-_Sea_shipment'!M:M),0),IFERROR(_xlfn.XLOOKUP($D10,Amazon_USA_Sea!$C:$C,Amazon_USA_Sea!M:M),0),IFERROR(_xlfn.XLOOKUP($D10,USA_Air_Shipment!$C:$C,USA_Air_Shipment!L:L),0),IFERROR(_xlfn.XLOOKUP($D10,Amazon_USA_Air_Shipment!$C:$C,Amazon_USA_Air_Shipment!L:L),0),IFERROR(_xlfn.XLOOKUP($D10,MENA!$C:$C,MENA!L:L),0),IFERROR(_xlfn.XLOOKUP($D10,UK!$C:$C,UK!L:L),0),IFERROR(_xlfn.XLOOKUP($D10,BMM_Order!$C:$C,BMM_Order!L:L),0),IFERROR(_xlfn.XLOOKUP($D10,'Adhoc-_Backlog'!$C:$C,'Adhoc-_Backlog'!N:N),0))</f>
        <v>0</v>
      </c>
      <c r="V10" s="51">
        <f>SUM(IFERROR(_xlfn.XLOOKUP($D10,Domestic!$C:$C,Domestic!O:O),0),IFERROR(_xlfn.XLOOKUP($D10,'INT-_Manjiri'!$C:$C,'INT-_Manjiri'!N:N),0),IFERROR(_xlfn.XLOOKUP($D10,'USA-_Sea_shipment'!$C:$C,'USA-_Sea_shipment'!N:N),0),IFERROR(_xlfn.XLOOKUP($D10,Amazon_USA_Sea!$C:$C,Amazon_USA_Sea!N:N),0),IFERROR(_xlfn.XLOOKUP($D10,USA_Air_Shipment!$C:$C,USA_Air_Shipment!M:M),0),IFERROR(_xlfn.XLOOKUP($D10,Amazon_USA_Air_Shipment!$C:$C,Amazon_USA_Air_Shipment!M:M),0),IFERROR(_xlfn.XLOOKUP($D10,MENA!$C:$C,MENA!M:M),0),IFERROR(_xlfn.XLOOKUP($D10,UK!$C:$C,UK!M:M),0),IFERROR(_xlfn.XLOOKUP($D10,BMM_Order!$C:$C,BMM_Order!M:M),0),IFERROR(_xlfn.XLOOKUP($D10,'Adhoc-_Backlog'!$C:$C,'Adhoc-_Backlog'!O:O),0))</f>
        <v>0</v>
      </c>
      <c r="W10" s="51">
        <f>SUM(IFERROR(_xlfn.XLOOKUP($D10,Domestic!$C:$C,Domestic!P:P),0),IFERROR(_xlfn.XLOOKUP($D10,'INT-_Manjiri'!$C:$C,'INT-_Manjiri'!O:O),0),IFERROR(_xlfn.XLOOKUP($D10,'USA-_Sea_shipment'!$C:$C,'USA-_Sea_shipment'!O:O),0),IFERROR(_xlfn.XLOOKUP($D10,Amazon_USA_Sea!$C:$C,Amazon_USA_Sea!O:O),0),IFERROR(_xlfn.XLOOKUP($D10,USA_Air_Shipment!$C:$C,USA_Air_Shipment!N:N),0),IFERROR(_xlfn.XLOOKUP($D10,Amazon_USA_Air_Shipment!$C:$C,Amazon_USA_Air_Shipment!N:N),0),IFERROR(_xlfn.XLOOKUP($D10,MENA!$C:$C,MENA!N:N),0),IFERROR(_xlfn.XLOOKUP($D10,UK!$C:$C,UK!N:N),0),IFERROR(_xlfn.XLOOKUP($D10,BMM_Order!$C:$C,BMM_Order!N:N),0),IFERROR(_xlfn.XLOOKUP($D10,'Adhoc-_Backlog'!$C:$C,'Adhoc-_Backlog'!P:P),0))</f>
        <v>0</v>
      </c>
      <c r="X10" s="51">
        <f>SUM(IFERROR(_xlfn.XLOOKUP($D10,Domestic!$C:$C,Domestic!Q:Q),0),IFERROR(_xlfn.XLOOKUP($D10,'INT-_Manjiri'!$C:$C,'INT-_Manjiri'!P:P),0),IFERROR(_xlfn.XLOOKUP($D10,'USA-_Sea_shipment'!$C:$C,'USA-_Sea_shipment'!P:P),0),IFERROR(_xlfn.XLOOKUP($D10,Amazon_USA_Sea!$C:$C,Amazon_USA_Sea!P:P),0),IFERROR(_xlfn.XLOOKUP($D10,USA_Air_Shipment!$C:$C,USA_Air_Shipment!O:O),0),IFERROR(_xlfn.XLOOKUP($D10,Amazon_USA_Air_Shipment!$C:$C,Amazon_USA_Air_Shipment!O:O),0),IFERROR(_xlfn.XLOOKUP($D10,MENA!$C:$C,MENA!O:O),0),IFERROR(_xlfn.XLOOKUP($D10,UK!$C:$C,UK!O:O),0),IFERROR(_xlfn.XLOOKUP($D10,BMM_Order!$C:$C,BMM_Order!O:O),0),IFERROR(_xlfn.XLOOKUP($D10,'Adhoc-_Backlog'!$C:$C,'Adhoc-_Backlog'!Q:Q),0))</f>
        <v>0</v>
      </c>
      <c r="Y10" s="51">
        <f>SUM(IFERROR(_xlfn.XLOOKUP($D10,Domestic!$C:$C,Domestic!R:R),0),IFERROR(_xlfn.XLOOKUP($D10,'INT-_Manjiri'!$C:$C,'INT-_Manjiri'!Q:Q),0),IFERROR(_xlfn.XLOOKUP($D10,'USA-_Sea_shipment'!$C:$C,'USA-_Sea_shipment'!Q:Q),0),IFERROR(_xlfn.XLOOKUP($D10,Amazon_USA_Sea!$C:$C,Amazon_USA_Sea!Q:Q),0),IFERROR(_xlfn.XLOOKUP($D10,USA_Air_Shipment!$C:$C,USA_Air_Shipment!P:P),0),IFERROR(_xlfn.XLOOKUP($D10,Amazon_USA_Air_Shipment!$C:$C,Amazon_USA_Air_Shipment!P:P),0),IFERROR(_xlfn.XLOOKUP($D10,MENA!$C:$C,MENA!P:P),0),IFERROR(_xlfn.XLOOKUP($D10,UK!$C:$C,UK!P:P),0),IFERROR(_xlfn.XLOOKUP($D10,BMM_Order!$C:$C,BMM_Order!P:P),0),IFERROR(_xlfn.XLOOKUP($D10,'Adhoc-_Backlog'!$C:$C,'Adhoc-_Backlog'!R:R),0))</f>
        <v>0</v>
      </c>
      <c r="Z10" s="51">
        <f>SUM(IFERROR(_xlfn.XLOOKUP($D10,Domestic!$C:$C,Domestic!S:S),0),IFERROR(_xlfn.XLOOKUP($D10,'INT-_Manjiri'!$C:$C,'INT-_Manjiri'!R:R),0),IFERROR(_xlfn.XLOOKUP($D10,'USA-_Sea_shipment'!$C:$C,'USA-_Sea_shipment'!R:R),0),IFERROR(_xlfn.XLOOKUP($D10,Amazon_USA_Sea!$C:$C,Amazon_USA_Sea!R:R),0),IFERROR(_xlfn.XLOOKUP($D10,USA_Air_Shipment!$C:$C,USA_Air_Shipment!Q:Q),0),IFERROR(_xlfn.XLOOKUP($D10,Amazon_USA_Air_Shipment!$C:$C,Amazon_USA_Air_Shipment!Q:Q),0),IFERROR(_xlfn.XLOOKUP($D10,MENA!$C:$C,MENA!Q:Q),0),IFERROR(_xlfn.XLOOKUP($D10,UK!$C:$C,UK!Q:Q),0),IFERROR(_xlfn.XLOOKUP($D10,BMM_Order!$C:$C,BMM_Order!Q:Q),0),IFERROR(_xlfn.XLOOKUP($D10,'Adhoc-_Backlog'!$C:$C,'Adhoc-_Backlog'!S:S),0))</f>
        <v>268</v>
      </c>
      <c r="AA10" s="51">
        <f>SUM(IFERROR(_xlfn.XLOOKUP($D10,Domestic!$C:$C,Domestic!T:T),0),IFERROR(_xlfn.XLOOKUP($D10,'INT-_Manjiri'!$C:$C,'INT-_Manjiri'!S:S),0),IFERROR(_xlfn.XLOOKUP($D10,'USA-_Sea_shipment'!$C:$C,'USA-_Sea_shipment'!S:S),0),IFERROR(_xlfn.XLOOKUP($D10,Amazon_USA_Sea!$C:$C,Amazon_USA_Sea!S:S),0),IFERROR(_xlfn.XLOOKUP($D10,USA_Air_Shipment!$C:$C,USA_Air_Shipment!R:R),0),IFERROR(_xlfn.XLOOKUP($D10,Amazon_USA_Air_Shipment!$C:$C,Amazon_USA_Air_Shipment!R:R),0),IFERROR(_xlfn.XLOOKUP($D10,MENA!$C:$C,MENA!R:R),0),IFERROR(_xlfn.XLOOKUP($D10,UK!$C:$C,UK!R:R),0),IFERROR(_xlfn.XLOOKUP($D10,BMM_Order!$C:$C,BMM_Order!R:R),0),IFERROR(_xlfn.XLOOKUP($D10,'Adhoc-_Backlog'!$C:$C,'Adhoc-_Backlog'!T:T),0))</f>
        <v>105</v>
      </c>
      <c r="AB10" s="51">
        <f>SUM(IFERROR(_xlfn.XLOOKUP($D10,Domestic!$C:$C,Domestic!U:U),0),IFERROR(_xlfn.XLOOKUP($D10,'INT-_Manjiri'!$C:$C,'INT-_Manjiri'!T:T),0),IFERROR(_xlfn.XLOOKUP($D10,'USA-_Sea_shipment'!$C:$C,'USA-_Sea_shipment'!T:T),0),IFERROR(_xlfn.XLOOKUP($D10,Amazon_USA_Sea!$C:$C,Amazon_USA_Sea!T:T),0),IFERROR(_xlfn.XLOOKUP($D10,USA_Air_Shipment!$C:$C,USA_Air_Shipment!S:S),0),IFERROR(_xlfn.XLOOKUP($D10,Amazon_USA_Air_Shipment!$C:$C,Amazon_USA_Air_Shipment!S:S),0),IFERROR(_xlfn.XLOOKUP($D10,MENA!$C:$C,MENA!S:S),0),IFERROR(_xlfn.XLOOKUP($D10,UK!$C:$C,UK!S:S),0),IFERROR(_xlfn.XLOOKUP($D10,BMM_Order!$C:$C,BMM_Order!S:S),0),IFERROR(_xlfn.XLOOKUP($D10,'Adhoc-_Backlog'!$C:$C,'Adhoc-_Backlog'!U:U),0))</f>
        <v>0</v>
      </c>
      <c r="AC10" s="51">
        <f>SUM(IFERROR(_xlfn.XLOOKUP($D10,Domestic!$C:$C,Domestic!V:V),0),IFERROR(_xlfn.XLOOKUP($D10,'INT-_Manjiri'!$C:$C,'INT-_Manjiri'!U:U),0),IFERROR(_xlfn.XLOOKUP($D10,'USA-_Sea_shipment'!$C:$C,'USA-_Sea_shipment'!U:U),0),IFERROR(_xlfn.XLOOKUP($D10,Amazon_USA_Sea!$C:$C,Amazon_USA_Sea!U:U),0),IFERROR(_xlfn.XLOOKUP($D10,USA_Air_Shipment!$C:$C,USA_Air_Shipment!T:T),0),IFERROR(_xlfn.XLOOKUP($D10,Amazon_USA_Air_Shipment!$C:$C,Amazon_USA_Air_Shipment!T:T),0),IFERROR(_xlfn.XLOOKUP($D10,MENA!$C:$C,MENA!T:T),0),IFERROR(_xlfn.XLOOKUP($D10,UK!$C:$C,UK!T:T),0),IFERROR(_xlfn.XLOOKUP($D10,BMM_Order!$C:$C,BMM_Order!T:T),0),IFERROR(_xlfn.XLOOKUP($D10,'Adhoc-_Backlog'!$C:$C,'Adhoc-_Backlog'!V:V),0))</f>
        <v>0</v>
      </c>
      <c r="AD10" s="51">
        <f>SUM(IFERROR(_xlfn.XLOOKUP($D10,Domestic!$C:$C,Domestic!W:W),0),IFERROR(_xlfn.XLOOKUP($D10,'INT-_Manjiri'!$C:$C,'INT-_Manjiri'!V:V),0),IFERROR(_xlfn.XLOOKUP($D10,'USA-_Sea_shipment'!$C:$C,'USA-_Sea_shipment'!V:V),0),IFERROR(_xlfn.XLOOKUP($D10,Amazon_USA_Sea!$C:$C,Amazon_USA_Sea!V:V),0),IFERROR(_xlfn.XLOOKUP($D10,USA_Air_Shipment!$C:$C,USA_Air_Shipment!U:U),0),IFERROR(_xlfn.XLOOKUP($D10,Amazon_USA_Air_Shipment!$C:$C,Amazon_USA_Air_Shipment!U:U),0),IFERROR(_xlfn.XLOOKUP($D10,MENA!$C:$C,MENA!U:U),0),IFERROR(_xlfn.XLOOKUP($D10,UK!$C:$C,UK!U:U),0),IFERROR(_xlfn.XLOOKUP($D10,BMM_Order!$C:$C,BMM_Order!U:U),0),IFERROR(_xlfn.XLOOKUP($D10,'Adhoc-_Backlog'!$C:$C,'Adhoc-_Backlog'!W:W),0))</f>
        <v>0</v>
      </c>
      <c r="AE10" s="51">
        <f>SUM(IFERROR(_xlfn.XLOOKUP($D10,Domestic!$C:$C,Domestic!X:X),0),IFERROR(_xlfn.XLOOKUP($D10,'INT-_Manjiri'!$C:$C,'INT-_Manjiri'!W:W),0),IFERROR(_xlfn.XLOOKUP($D10,'USA-_Sea_shipment'!$C:$C,'USA-_Sea_shipment'!W:W),0),IFERROR(_xlfn.XLOOKUP($D10,Amazon_USA_Sea!$C:$C,Amazon_USA_Sea!W:W),0),IFERROR(_xlfn.XLOOKUP($D10,USA_Air_Shipment!$C:$C,USA_Air_Shipment!V:V),0),IFERROR(_xlfn.XLOOKUP($D10,Amazon_USA_Air_Shipment!$C:$C,Amazon_USA_Air_Shipment!V:V),0),IFERROR(_xlfn.XLOOKUP($D10,MENA!$C:$C,MENA!V:V),0),IFERROR(_xlfn.XLOOKUP($D10,UK!$C:$C,UK!V:V),0),IFERROR(_xlfn.XLOOKUP($D10,BMM_Order!$C:$C,BMM_Order!V:V),0),IFERROR(_xlfn.XLOOKUP($D10,'Adhoc-_Backlog'!$C:$C,'Adhoc-_Backlog'!X:X),0))</f>
        <v>65</v>
      </c>
      <c r="AF10" s="51">
        <f>SUM(IFERROR(_xlfn.XLOOKUP($D10,Domestic!$C:$C,Domestic!Y:Y),0),IFERROR(_xlfn.XLOOKUP($D10,'INT-_Manjiri'!$C:$C,'INT-_Manjiri'!X:X),0),IFERROR(_xlfn.XLOOKUP($D10,'USA-_Sea_shipment'!$C:$C,'USA-_Sea_shipment'!X:X),0),IFERROR(_xlfn.XLOOKUP($D10,Amazon_USA_Sea!$C:$C,Amazon_USA_Sea!X:X),0),IFERROR(_xlfn.XLOOKUP($D10,USA_Air_Shipment!$C:$C,USA_Air_Shipment!W:W),0),IFERROR(_xlfn.XLOOKUP($D10,Amazon_USA_Air_Shipment!$C:$C,Amazon_USA_Air_Shipment!W:W),0),IFERROR(_xlfn.XLOOKUP($D10,MENA!$C:$C,MENA!W:W),0),IFERROR(_xlfn.XLOOKUP($D10,UK!$C:$C,UK!W:W),0),IFERROR(_xlfn.XLOOKUP($D10,BMM_Order!$C:$C,BMM_Order!W:W),0),IFERROR(_xlfn.XLOOKUP($D10,'Adhoc-_Backlog'!$C:$C,'Adhoc-_Backlog'!Y:Y),0))</f>
        <v>51</v>
      </c>
      <c r="AG10" s="51">
        <f>SUM(IFERROR(_xlfn.XLOOKUP($D10,Domestic!$C:$C,Domestic!Z:Z),0),IFERROR(_xlfn.XLOOKUP($D10,'INT-_Manjiri'!$C:$C,'INT-_Manjiri'!Y:Y),0),IFERROR(_xlfn.XLOOKUP($D10,'USA-_Sea_shipment'!$C:$C,'USA-_Sea_shipment'!Y:Y),0),IFERROR(_xlfn.XLOOKUP($D10,Amazon_USA_Sea!$C:$C,Amazon_USA_Sea!Y:Y),0),IFERROR(_xlfn.XLOOKUP($D10,USA_Air_Shipment!$C:$C,USA_Air_Shipment!X:X),0),IFERROR(_xlfn.XLOOKUP($D10,Amazon_USA_Air_Shipment!$C:$C,Amazon_USA_Air_Shipment!X:X),0),IFERROR(_xlfn.XLOOKUP($D10,MENA!$C:$C,MENA!X:X),0),IFERROR(_xlfn.XLOOKUP($D10,UK!$C:$C,UK!X:X),0),IFERROR(_xlfn.XLOOKUP($D10,BMM_Order!$C:$C,BMM_Order!X:X),0),IFERROR(_xlfn.XLOOKUP($D10,'Adhoc-_Backlog'!$C:$C,'Adhoc-_Backlog'!Z:Z),0))</f>
        <v>0</v>
      </c>
      <c r="AH10" s="51">
        <f>SUM(IFERROR(_xlfn.XLOOKUP($D10,Domestic!$C:$C,Domestic!AA:AA),0),IFERROR(_xlfn.XLOOKUP($D10,'INT-_Manjiri'!$C:$C,'INT-_Manjiri'!Z:Z),0),IFERROR(_xlfn.XLOOKUP($D10,'USA-_Sea_shipment'!$C:$C,'USA-_Sea_shipment'!Z:Z),0),IFERROR(_xlfn.XLOOKUP($D10,Amazon_USA_Sea!$C:$C,Amazon_USA_Sea!Z:Z),0),IFERROR(_xlfn.XLOOKUP($D10,USA_Air_Shipment!$C:$C,USA_Air_Shipment!Y:Y),0),IFERROR(_xlfn.XLOOKUP($D10,Amazon_USA_Air_Shipment!$C:$C,Amazon_USA_Air_Shipment!Y:Y),0),IFERROR(_xlfn.XLOOKUP($D10,MENA!$C:$C,MENA!Y:Y),0),IFERROR(_xlfn.XLOOKUP($D10,UK!$C:$C,UK!Y:Y),0),IFERROR(_xlfn.XLOOKUP($D10,BMM_Order!$C:$C,BMM_Order!Y:Y),0),IFERROR(_xlfn.XLOOKUP($D10,'Adhoc-_Backlog'!$C:$C,'Adhoc-_Backlog'!AA:AA),0))</f>
        <v>0</v>
      </c>
      <c r="AI10" s="51">
        <f>SUM(IFERROR(_xlfn.XLOOKUP($D10,Domestic!$C:$C,Domestic!AB:AB),0),IFERROR(_xlfn.XLOOKUP($D10,'INT-_Manjiri'!$C:$C,'INT-_Manjiri'!AA:AA),0),IFERROR(_xlfn.XLOOKUP($D10,'USA-_Sea_shipment'!$C:$C,'USA-_Sea_shipment'!AA:AA),0),IFERROR(_xlfn.XLOOKUP($D10,Amazon_USA_Sea!$C:$C,Amazon_USA_Sea!AA:AA),0),IFERROR(_xlfn.XLOOKUP($D10,USA_Air_Shipment!$C:$C,USA_Air_Shipment!Z:Z),0),IFERROR(_xlfn.XLOOKUP($D10,Amazon_USA_Air_Shipment!$C:$C,Amazon_USA_Air_Shipment!Z:Z),0),IFERROR(_xlfn.XLOOKUP($D10,MENA!$C:$C,MENA!Z:Z),0),IFERROR(_xlfn.XLOOKUP($D10,UK!$C:$C,UK!Z:Z),0),IFERROR(_xlfn.XLOOKUP($D10,BMM_Order!$C:$C,BMM_Order!Z:Z),0),IFERROR(_xlfn.XLOOKUP($D10,'Adhoc-_Backlog'!$C:$C,'Adhoc-_Backlog'!AB:AB),0))</f>
        <v>0</v>
      </c>
      <c r="AJ10" s="51">
        <f>SUM(IFERROR(_xlfn.XLOOKUP($D10,Domestic!$C:$C,Domestic!AC:AC),0),IFERROR(_xlfn.XLOOKUP($D10,'INT-_Manjiri'!$C:$C,'INT-_Manjiri'!AB:AB),0),IFERROR(_xlfn.XLOOKUP($D10,'USA-_Sea_shipment'!$C:$C,'USA-_Sea_shipment'!AB:AB),0),IFERROR(_xlfn.XLOOKUP($D10,Amazon_USA_Sea!$C:$C,Amazon_USA_Sea!AB:AB),0),IFERROR(_xlfn.XLOOKUP($D10,USA_Air_Shipment!$C:$C,USA_Air_Shipment!AA:AA),0),IFERROR(_xlfn.XLOOKUP($D10,Amazon_USA_Air_Shipment!$C:$C,Amazon_USA_Air_Shipment!AA:AA),0),IFERROR(_xlfn.XLOOKUP($D10,MENA!$C:$C,MENA!AA:AA),0),IFERROR(_xlfn.XLOOKUP($D10,UK!$C:$C,UK!AA:AA),0),IFERROR(_xlfn.XLOOKUP($D10,BMM_Order!$C:$C,BMM_Order!AA:AA),0),IFERROR(_xlfn.XLOOKUP($D10,'Adhoc-_Backlog'!$C:$C,'Adhoc-_Backlog'!AC:AC),0))</f>
        <v>0</v>
      </c>
      <c r="AK10" s="51">
        <f>SUM(IFERROR(_xlfn.XLOOKUP($D10,Domestic!$C:$C,Domestic!AD:AD),0),IFERROR(_xlfn.XLOOKUP($D10,'INT-_Manjiri'!$C:$C,'INT-_Manjiri'!AC:AC),0),IFERROR(_xlfn.XLOOKUP($D10,'USA-_Sea_shipment'!$C:$C,'USA-_Sea_shipment'!AC:AC),0),IFERROR(_xlfn.XLOOKUP($D10,Amazon_USA_Sea!$C:$C,Amazon_USA_Sea!AC:AC),0),IFERROR(_xlfn.XLOOKUP($D10,USA_Air_Shipment!$C:$C,USA_Air_Shipment!AB:AB),0),IFERROR(_xlfn.XLOOKUP($D10,Amazon_USA_Air_Shipment!$C:$C,Amazon_USA_Air_Shipment!AB:AB),0),IFERROR(_xlfn.XLOOKUP($D10,MENA!$C:$C,MENA!AB:AB),0),IFERROR(_xlfn.XLOOKUP($D10,UK!$C:$C,UK!AB:AB),0),IFERROR(_xlfn.XLOOKUP($D10,BMM_Order!$C:$C,BMM_Order!AB:AB),0),IFERROR(_xlfn.XLOOKUP($D10,'Adhoc-_Backlog'!$C:$C,'Adhoc-_Backlog'!AD:AD),0))</f>
        <v>0</v>
      </c>
      <c r="AL10" s="51">
        <f>SUM(IFERROR(_xlfn.XLOOKUP($D10,Domestic!$C:$C,Domestic!AE:AE),0),IFERROR(_xlfn.XLOOKUP($D10,'INT-_Manjiri'!$C:$C,'INT-_Manjiri'!AD:AD),0),IFERROR(_xlfn.XLOOKUP($D10,'USA-_Sea_shipment'!$C:$C,'USA-_Sea_shipment'!AD:AD),0),IFERROR(_xlfn.XLOOKUP($D10,Amazon_USA_Sea!$C:$C,Amazon_USA_Sea!AD:AD),0),IFERROR(_xlfn.XLOOKUP($D10,USA_Air_Shipment!$C:$C,USA_Air_Shipment!AC:AC),0),IFERROR(_xlfn.XLOOKUP($D10,Amazon_USA_Air_Shipment!$C:$C,Amazon_USA_Air_Shipment!AC:AC),0),IFERROR(_xlfn.XLOOKUP($D10,MENA!$C:$C,MENA!AC:AC),0),IFERROR(_xlfn.XLOOKUP($D10,UK!$C:$C,UK!AC:AC),0),IFERROR(_xlfn.XLOOKUP($D10,BMM_Order!$C:$C,BMM_Order!AC:AC),0),IFERROR(_xlfn.XLOOKUP($D10,'Adhoc-_Backlog'!$C:$C,'Adhoc-_Backlog'!AE:AE),0))</f>
        <v>0</v>
      </c>
      <c r="AM10" s="51">
        <f>SUM(IFERROR(_xlfn.XLOOKUP($D10,Domestic!$C:$C,Domestic!AF:AF),0),IFERROR(_xlfn.XLOOKUP($D10,'INT-_Manjiri'!$C:$C,'INT-_Manjiri'!AE:AE),0),IFERROR(_xlfn.XLOOKUP($D10,'USA-_Sea_shipment'!$C:$C,'USA-_Sea_shipment'!AE:AE),0),IFERROR(_xlfn.XLOOKUP($D10,Amazon_USA_Sea!$C:$C,Amazon_USA_Sea!AE:AE),0),IFERROR(_xlfn.XLOOKUP($D10,USA_Air_Shipment!$C:$C,USA_Air_Shipment!AD:AD),0),IFERROR(_xlfn.XLOOKUP($D10,Amazon_USA_Air_Shipment!$C:$C,Amazon_USA_Air_Shipment!AD:AD),0),IFERROR(_xlfn.XLOOKUP($D10,MENA!$C:$C,MENA!AD:AD),0),IFERROR(_xlfn.XLOOKUP($D10,UK!$C:$C,UK!AD:AD),0),IFERROR(_xlfn.XLOOKUP($D10,BMM_Order!$C:$C,BMM_Order!AD:AD),0),IFERROR(_xlfn.XLOOKUP($D10,'Adhoc-_Backlog'!$C:$C,'Adhoc-_Backlog'!AF:AF),0))</f>
        <v>45</v>
      </c>
      <c r="AN10" s="51">
        <f>SUM(IFERROR(_xlfn.XLOOKUP($D10,Domestic!$C:$C,Domestic!AG:AG),0),IFERROR(_xlfn.XLOOKUP($D10,'INT-_Manjiri'!$C:$C,'INT-_Manjiri'!AF:AF),0),IFERROR(_xlfn.XLOOKUP($D10,'USA-_Sea_shipment'!$C:$C,'USA-_Sea_shipment'!AF:AF),0),IFERROR(_xlfn.XLOOKUP($D10,Amazon_USA_Sea!$C:$C,Amazon_USA_Sea!AF:AF),0),IFERROR(_xlfn.XLOOKUP($D10,USA_Air_Shipment!$C:$C,USA_Air_Shipment!AE:AE),0),IFERROR(_xlfn.XLOOKUP($D10,Amazon_USA_Air_Shipment!$C:$C,Amazon_USA_Air_Shipment!AE:AE),0),IFERROR(_xlfn.XLOOKUP($D10,MENA!$C:$C,MENA!AE:AE),0),IFERROR(_xlfn.XLOOKUP($D10,UK!$C:$C,UK!AE:AE),0),IFERROR(_xlfn.XLOOKUP($D10,BMM_Order!$C:$C,BMM_Order!AE:AE),0),IFERROR(_xlfn.XLOOKUP($D10,'Adhoc-_Backlog'!$C:$C,'Adhoc-_Backlog'!AG:AG),0))</f>
        <v>0</v>
      </c>
      <c r="AO10" s="51">
        <f>SUM(IFERROR(_xlfn.XLOOKUP($D10,Domestic!$C:$C,Domestic!AH:AH),0),IFERROR(_xlfn.XLOOKUP($D10,'INT-_Manjiri'!$C:$C,'INT-_Manjiri'!AG:AG),0),IFERROR(_xlfn.XLOOKUP($D10,'USA-_Sea_shipment'!$C:$C,'USA-_Sea_shipment'!AG:AG),0),IFERROR(_xlfn.XLOOKUP($D10,Amazon_USA_Sea!$C:$C,Amazon_USA_Sea!AG:AG),0),IFERROR(_xlfn.XLOOKUP($D10,USA_Air_Shipment!$C:$C,USA_Air_Shipment!AF:AF),0),IFERROR(_xlfn.XLOOKUP($D10,Amazon_USA_Air_Shipment!$C:$C,Amazon_USA_Air_Shipment!AF:AF),0),IFERROR(_xlfn.XLOOKUP($D10,MENA!$C:$C,MENA!AF:AF),0),IFERROR(_xlfn.XLOOKUP($D10,UK!$C:$C,UK!AF:AF),0),IFERROR(_xlfn.XLOOKUP($D10,BMM_Order!$C:$C,BMM_Order!AF:AF),0),IFERROR(_xlfn.XLOOKUP($D10,'Adhoc-_Backlog'!$C:$C,'Adhoc-_Backlog'!AH:AH),0))</f>
        <v>150</v>
      </c>
      <c r="AP10" s="51">
        <f>SUM(IFERROR(_xlfn.XLOOKUP($D10,Domestic!$C:$C,Domestic!AI:AI),0),IFERROR(_xlfn.XLOOKUP($D10,'INT-_Manjiri'!$C:$C,'INT-_Manjiri'!AH:AH),0),IFERROR(_xlfn.XLOOKUP($D10,'USA-_Sea_shipment'!$C:$C,'USA-_Sea_shipment'!AH:AH),0),IFERROR(_xlfn.XLOOKUP($D10,Amazon_USA_Sea!$C:$C,Amazon_USA_Sea!AH:AH),0),IFERROR(_xlfn.XLOOKUP($D10,USA_Air_Shipment!$C:$C,USA_Air_Shipment!AG:AG),0),IFERROR(_xlfn.XLOOKUP($D10,Amazon_USA_Air_Shipment!$C:$C,Amazon_USA_Air_Shipment!AG:AG),0),IFERROR(_xlfn.XLOOKUP($D10,MENA!$C:$C,MENA!AG:AG),0),IFERROR(_xlfn.XLOOKUP($D10,UK!$C:$C,UK!AG:AG),0),IFERROR(_xlfn.XLOOKUP($D10,BMM_Order!$C:$C,BMM_Order!AG:AG),0),IFERROR(_xlfn.XLOOKUP($D10,'Adhoc-_Backlog'!$C:$C,'Adhoc-_Backlog'!AI:AI),0))</f>
        <v>0</v>
      </c>
      <c r="AQ10" s="51">
        <f>SUM(IFERROR(_xlfn.XLOOKUP($D10,Domestic!$C:$C,Domestic!AJ:AJ),0),IFERROR(_xlfn.XLOOKUP($D10,'INT-_Manjiri'!$C:$C,'INT-_Manjiri'!AI:AI),0),IFERROR(_xlfn.XLOOKUP($D10,'USA-_Sea_shipment'!$C:$C,'USA-_Sea_shipment'!AI:AI),0),IFERROR(_xlfn.XLOOKUP($D10,Amazon_USA_Sea!$C:$C,Amazon_USA_Sea!AI:AI),0),IFERROR(_xlfn.XLOOKUP($D10,USA_Air_Shipment!$C:$C,USA_Air_Shipment!AH:AH),0),IFERROR(_xlfn.XLOOKUP($D10,Amazon_USA_Air_Shipment!$C:$C,Amazon_USA_Air_Shipment!AH:AH),0),IFERROR(_xlfn.XLOOKUP($D10,MENA!$C:$C,MENA!AH:AH),0),IFERROR(_xlfn.XLOOKUP($D10,UK!$C:$C,UK!AH:AH),0),IFERROR(_xlfn.XLOOKUP($D10,BMM_Order!$C:$C,BMM_Order!AH:AH),0),IFERROR(_xlfn.XLOOKUP($D10,'Adhoc-_Backlog'!$C:$C,'Adhoc-_Backlog'!AJ:AJ),0))</f>
        <v>0</v>
      </c>
      <c r="AR10" s="51">
        <f>SUM(IFERROR(_xlfn.XLOOKUP($D10,Domestic!$C:$C,Domestic!AK:AK),0),IFERROR(_xlfn.XLOOKUP($D10,'INT-_Manjiri'!$C:$C,'INT-_Manjiri'!AJ:AJ),0),IFERROR(_xlfn.XLOOKUP($D10,'USA-_Sea_shipment'!$C:$C,'USA-_Sea_shipment'!AJ:AJ),0),IFERROR(_xlfn.XLOOKUP($D10,Amazon_USA_Sea!$C:$C,Amazon_USA_Sea!AJ:AJ),0),IFERROR(_xlfn.XLOOKUP($D10,USA_Air_Shipment!$C:$C,USA_Air_Shipment!AI:AI),0),IFERROR(_xlfn.XLOOKUP($D10,Amazon_USA_Air_Shipment!$C:$C,Amazon_USA_Air_Shipment!AI:AI),0),IFERROR(_xlfn.XLOOKUP($D10,MENA!$C:$C,MENA!AI:AI),0),IFERROR(_xlfn.XLOOKUP($D10,UK!$C:$C,UK!AI:AI),0),IFERROR(_xlfn.XLOOKUP($D10,BMM_Order!$C:$C,BMM_Order!AI:AI),0),IFERROR(_xlfn.XLOOKUP($D10,'Adhoc-_Backlog'!$C:$C,'Adhoc-_Backlog'!AK:AK),0))</f>
        <v>124</v>
      </c>
      <c r="AS10" s="51">
        <f>SUM(IFERROR(_xlfn.XLOOKUP($D10,Domestic!$C:$C,Domestic!AL:AL),0),IFERROR(_xlfn.XLOOKUP($D10,'INT-_Manjiri'!$C:$C,'INT-_Manjiri'!AK:AK),0),IFERROR(_xlfn.XLOOKUP($D10,'USA-_Sea_shipment'!$C:$C,'USA-_Sea_shipment'!AK:AK),0),IFERROR(_xlfn.XLOOKUP($D10,Amazon_USA_Sea!$C:$C,Amazon_USA_Sea!AK:AK),0),IFERROR(_xlfn.XLOOKUP($D10,USA_Air_Shipment!$C:$C,USA_Air_Shipment!AJ:AJ),0),IFERROR(_xlfn.XLOOKUP($D10,Amazon_USA_Air_Shipment!$C:$C,Amazon_USA_Air_Shipment!AJ:AJ),0),IFERROR(_xlfn.XLOOKUP($D10,MENA!$C:$C,MENA!AJ:AJ),0),IFERROR(_xlfn.XLOOKUP($D10,UK!$C:$C,UK!AJ:AJ),0),IFERROR(_xlfn.XLOOKUP($D10,BMM_Order!$C:$C,BMM_Order!AJ:AJ),0),IFERROR(_xlfn.XLOOKUP($D10,'Adhoc-_Backlog'!$C:$C,'Adhoc-_Backlog'!AL:AL),0))</f>
        <v>0</v>
      </c>
      <c r="AT10" s="51">
        <f>SUM(IFERROR(_xlfn.XLOOKUP($D10,Domestic!$C:$C,Domestic!AM:AM),0),IFERROR(_xlfn.XLOOKUP($D10,'INT-_Manjiri'!$C:$C,'INT-_Manjiri'!AL:AL),0),IFERROR(_xlfn.XLOOKUP($D10,'USA-_Sea_shipment'!$C:$C,'USA-_Sea_shipment'!AL:AL),0),IFERROR(_xlfn.XLOOKUP($D10,Amazon_USA_Sea!$C:$C,Amazon_USA_Sea!AL:AL),0),IFERROR(_xlfn.XLOOKUP($D10,USA_Air_Shipment!$C:$C,USA_Air_Shipment!AK:AK),0),IFERROR(_xlfn.XLOOKUP($D10,Amazon_USA_Air_Shipment!$C:$C,Amazon_USA_Air_Shipment!AK:AK),0),IFERROR(_xlfn.XLOOKUP($D10,MENA!$C:$C,MENA!AK:AK),0),IFERROR(_xlfn.XLOOKUP($D10,UK!$C:$C,UK!AK:AK),0),IFERROR(_xlfn.XLOOKUP($D10,BMM_Order!$C:$C,BMM_Order!AK:AK),0),IFERROR(_xlfn.XLOOKUP($D10,'Adhoc-_Backlog'!$C:$C,'Adhoc-_Backlog'!AM:AM),0))</f>
        <v>0</v>
      </c>
      <c r="AU10" s="51">
        <f>SUM(IFERROR(_xlfn.XLOOKUP($D10,Domestic!$C:$C,Domestic!AN:AN),0),IFERROR(_xlfn.XLOOKUP($D10,'INT-_Manjiri'!$C:$C,'INT-_Manjiri'!AM:AM),0),IFERROR(_xlfn.XLOOKUP($D10,'USA-_Sea_shipment'!$C:$C,'USA-_Sea_shipment'!AM:AM),0),IFERROR(_xlfn.XLOOKUP($D10,Amazon_USA_Sea!$C:$C,Amazon_USA_Sea!AM:AM),0),IFERROR(_xlfn.XLOOKUP($D10,USA_Air_Shipment!$C:$C,USA_Air_Shipment!AL:AL),0),IFERROR(_xlfn.XLOOKUP($D10,Amazon_USA_Air_Shipment!$C:$C,Amazon_USA_Air_Shipment!AL:AL),0),IFERROR(_xlfn.XLOOKUP($D10,MENA!$C:$C,MENA!AL:AL),0),IFERROR(_xlfn.XLOOKUP($D10,UK!$C:$C,UK!AL:AL),0),IFERROR(_xlfn.XLOOKUP($D10,BMM_Order!$C:$C,BMM_Order!AL:AL),0),IFERROR(_xlfn.XLOOKUP($D10,'Adhoc-_Backlog'!$C:$C,'Adhoc-_Backlog'!AN:AN),0))</f>
        <v>0</v>
      </c>
      <c r="AV10" s="51">
        <f>SUM(IFERROR(_xlfn.XLOOKUP($D10,Domestic!$C:$C,Domestic!AO:AO),0),IFERROR(_xlfn.XLOOKUP($D10,'INT-_Manjiri'!$C:$C,'INT-_Manjiri'!AN:AN),0),IFERROR(_xlfn.XLOOKUP($D10,'USA-_Sea_shipment'!$C:$C,'USA-_Sea_shipment'!AN:AN),0),IFERROR(_xlfn.XLOOKUP($D10,Amazon_USA_Sea!$C:$C,Amazon_USA_Sea!AN:AN),0),IFERROR(_xlfn.XLOOKUP($D10,USA_Air_Shipment!$C:$C,USA_Air_Shipment!AM:AM),0),IFERROR(_xlfn.XLOOKUP($D10,Amazon_USA_Air_Shipment!$C:$C,Amazon_USA_Air_Shipment!AM:AM),0),IFERROR(_xlfn.XLOOKUP($D10,MENA!$C:$C,MENA!AM:AM),0),IFERROR(_xlfn.XLOOKUP($D10,UK!$C:$C,UK!AM:AM),0),IFERROR(_xlfn.XLOOKUP($D10,BMM_Order!$C:$C,BMM_Order!AM:AM),0),IFERROR(_xlfn.XLOOKUP($D10,'Adhoc-_Backlog'!$C:$C,'Adhoc-_Backlog'!AO:AO),0))</f>
        <v>0</v>
      </c>
      <c r="AW10" s="51">
        <f>SUM(IFERROR(_xlfn.XLOOKUP($D10,Domestic!$C:$C,Domestic!AP:AP),0),IFERROR(_xlfn.XLOOKUP($D10,'INT-_Manjiri'!$C:$C,'INT-_Manjiri'!AO:AO),0),IFERROR(_xlfn.XLOOKUP($D10,'USA-_Sea_shipment'!$C:$C,'USA-_Sea_shipment'!AO:AO),0),IFERROR(_xlfn.XLOOKUP($D10,Amazon_USA_Sea!$C:$C,Amazon_USA_Sea!AO:AO),0),IFERROR(_xlfn.XLOOKUP($D10,USA_Air_Shipment!$C:$C,USA_Air_Shipment!AN:AN),0),IFERROR(_xlfn.XLOOKUP($D10,Amazon_USA_Air_Shipment!$C:$C,Amazon_USA_Air_Shipment!AN:AN),0),IFERROR(_xlfn.XLOOKUP($D10,MENA!$C:$C,MENA!AN:AN),0),IFERROR(_xlfn.XLOOKUP($D10,UK!$C:$C,UK!AN:AN),0),IFERROR(_xlfn.XLOOKUP($D10,BMM_Order!$C:$C,BMM_Order!AN:AN),0),IFERROR(_xlfn.XLOOKUP($D10,'Adhoc-_Backlog'!$C:$C,'Adhoc-_Backlog'!AP:AP),0))</f>
        <v>0</v>
      </c>
      <c r="AX10" s="51">
        <f>SUM(IFERROR(_xlfn.XLOOKUP($D10,Domestic!$C:$C,Domestic!AQ:AQ),0),IFERROR(_xlfn.XLOOKUP($D10,'INT-_Manjiri'!$C:$C,'INT-_Manjiri'!AP:AP),0),IFERROR(_xlfn.XLOOKUP($D10,'USA-_Sea_shipment'!$C:$C,'USA-_Sea_shipment'!AP:AP),0),IFERROR(_xlfn.XLOOKUP($D10,Amazon_USA_Sea!$C:$C,Amazon_USA_Sea!AP:AP),0),IFERROR(_xlfn.XLOOKUP($D10,USA_Air_Shipment!$C:$C,USA_Air_Shipment!AO:AO),0),IFERROR(_xlfn.XLOOKUP($D10,Amazon_USA_Air_Shipment!$C:$C,Amazon_USA_Air_Shipment!AO:AO),0),IFERROR(_xlfn.XLOOKUP($D10,MENA!$C:$C,MENA!AO:AO),0),IFERROR(_xlfn.XLOOKUP($D10,UK!$C:$C,UK!AO:AO),0),IFERROR(_xlfn.XLOOKUP($D10,BMM_Order!$C:$C,BMM_Order!AO:AO),0),IFERROR(_xlfn.XLOOKUP($D10,'Adhoc-_Backlog'!$C:$C,'Adhoc-_Backlog'!AQ:AQ),0))</f>
        <v>100</v>
      </c>
      <c r="AY10" s="51">
        <f>SUM(IFERROR(_xlfn.XLOOKUP($D10,Domestic!$C:$C,Domestic!AR:AR),0),IFERROR(_xlfn.XLOOKUP($D10,'INT-_Manjiri'!$C:$C,'INT-_Manjiri'!AQ:AQ),0),IFERROR(_xlfn.XLOOKUP($D10,'USA-_Sea_shipment'!$C:$C,'USA-_Sea_shipment'!AQ:AQ),0),IFERROR(_xlfn.XLOOKUP($D10,Amazon_USA_Sea!$C:$C,Amazon_USA_Sea!AQ:AQ),0),IFERROR(_xlfn.XLOOKUP($D10,USA_Air_Shipment!$C:$C,USA_Air_Shipment!AP:AP),0),IFERROR(_xlfn.XLOOKUP($D10,Amazon_USA_Air_Shipment!$C:$C,Amazon_USA_Air_Shipment!AP:AP),0),IFERROR(_xlfn.XLOOKUP($D10,MENA!$C:$C,MENA!AP:AP),0),IFERROR(_xlfn.XLOOKUP($D10,UK!$C:$C,UK!AP:AP),0),IFERROR(_xlfn.XLOOKUP($D10,BMM_Order!$C:$C,BMM_Order!AP:AP),0),IFERROR(_xlfn.XLOOKUP($D10,'Adhoc-_Backlog'!$C:$C,'Adhoc-_Backlog'!AR:AR),0))</f>
        <v>0</v>
      </c>
      <c r="AZ10" s="51">
        <f>SUM(IFERROR(_xlfn.XLOOKUP($D10,Domestic!$C:$C,Domestic!AS:AS),0),IFERROR(_xlfn.XLOOKUP($D10,'INT-_Manjiri'!$C:$C,'INT-_Manjiri'!AR:AR),0),IFERROR(_xlfn.XLOOKUP($D10,'USA-_Sea_shipment'!$C:$C,'USA-_Sea_shipment'!AR:AR),0),IFERROR(_xlfn.XLOOKUP($D10,Amazon_USA_Sea!$C:$C,Amazon_USA_Sea!AR:AR),0),IFERROR(_xlfn.XLOOKUP($D10,USA_Air_Shipment!$C:$C,USA_Air_Shipment!AQ:AQ),0),IFERROR(_xlfn.XLOOKUP($D10,Amazon_USA_Air_Shipment!$C:$C,Amazon_USA_Air_Shipment!AQ:AQ),0),IFERROR(_xlfn.XLOOKUP($D10,MENA!$C:$C,MENA!AQ:AQ),0),IFERROR(_xlfn.XLOOKUP($D10,UK!$C:$C,UK!AQ:AQ),0),IFERROR(_xlfn.XLOOKUP($D10,BMM_Order!$C:$C,BMM_Order!AQ:AQ),0),IFERROR(_xlfn.XLOOKUP($D10,'Adhoc-_Backlog'!$C:$C,'Adhoc-_Backlog'!AS:AS),0))</f>
        <v>0</v>
      </c>
      <c r="BA10" s="51">
        <f>SUM(IFERROR(_xlfn.XLOOKUP($D10,Domestic!$C:$C,Domestic!AT:AT),0),IFERROR(_xlfn.XLOOKUP($D10,'INT-_Manjiri'!$C:$C,'INT-_Manjiri'!AS:AS),0),IFERROR(_xlfn.XLOOKUP($D10,'USA-_Sea_shipment'!$C:$C,'USA-_Sea_shipment'!AS:AS),0),IFERROR(_xlfn.XLOOKUP($D10,Amazon_USA_Sea!$C:$C,Amazon_USA_Sea!AS:AS),0),IFERROR(_xlfn.XLOOKUP($D10,USA_Air_Shipment!$C:$C,USA_Air_Shipment!AR:AR),0),IFERROR(_xlfn.XLOOKUP($D10,Amazon_USA_Air_Shipment!$C:$C,Amazon_USA_Air_Shipment!AR:AR),0),IFERROR(_xlfn.XLOOKUP($D10,MENA!$C:$C,MENA!AR:AR),0),IFERROR(_xlfn.XLOOKUP($D10,UK!$C:$C,UK!AR:AR),0),IFERROR(_xlfn.XLOOKUP($D10,BMM_Order!$C:$C,BMM_Order!AR:AR),0),IFERROR(_xlfn.XLOOKUP($D10,'Adhoc-_Backlog'!$C:$C,'Adhoc-_Backlog'!AT:AT),0))</f>
        <v>0</v>
      </c>
      <c r="BB10" s="52">
        <f t="shared" si="2"/>
        <v>913</v>
      </c>
      <c r="BC10" s="64">
        <f t="shared" si="3"/>
        <v>91.300000000000011</v>
      </c>
      <c r="BD10" s="65">
        <f t="shared" si="4"/>
        <v>799</v>
      </c>
      <c r="BE10" s="64">
        <f t="shared" si="5"/>
        <v>79.900000000000006</v>
      </c>
      <c r="BF10" s="66">
        <f t="shared" si="6"/>
        <v>0.53329439252336452</v>
      </c>
      <c r="BG10" s="67" t="str">
        <f>_xlfn.TEXTJOIN(" | ",TRUE,IFERROR(_xlfn.XLOOKUP($D10,Domestic!$C:$C,Domestic!$BG:$BG,""),""),IFERROR(_xlfn.XLOOKUP($D10,'INT-_Manjiri'!$C:$C,'INT-_Manjiri'!$AY:$AY,""),""),IFERROR(_xlfn.XLOOKUP($D10,'USA-_Sea_shipment'!$C:$C,'USA-_Sea_shipment'!#REF!,""),""),IFERROR(_xlfn.XLOOKUP($D10,Amazon_USA_Sea!$C:$C,Amazon_USA_Sea!$AY:$AY,""),""),IFERROR(_xlfn.XLOOKUP($D10,USA_Air_Shipment!$C:$C,USA_Air_Shipment!$AW:$AW,""),""),IFERROR(_xlfn.XLOOKUP($D10,Amazon_USA_Air_Shipment!$C:$C,Amazon_USA_Air_Shipment!$AW:$AW,""),""),IFERROR(_xlfn.XLOOKUP($D10,MENA!$C:$C,MENA!$AW:$AW,""),""),IFERROR(_xlfn.XLOOKUP($D10,UK!$C:$C,UK!$BA:$BA,""),""),IFERROR(_xlfn.XLOOKUP($D10,BMM_Order!$C:$C,BMM_Order!$BA:$BA,""),""),IFERROR(_xlfn.XLOOKUP($D10,'Adhoc-_Backlog'!$C:$C,'Adhoc-_Backlog'!$BD:$BD,""),""))</f>
        <v/>
      </c>
      <c r="BH10" s="67">
        <f>_xlfn.XLOOKUP(D10,Raw_Data!A:A,Raw_Data!B:B)</f>
        <v>116</v>
      </c>
      <c r="BI10" s="68">
        <f t="shared" si="7"/>
        <v>2.0327102803738315</v>
      </c>
      <c r="BJ10" s="67">
        <f t="shared" si="8"/>
        <v>10</v>
      </c>
      <c r="BK10" s="57" t="str">
        <f t="shared" si="9"/>
        <v>P1 – Critical</v>
      </c>
    </row>
    <row r="11" spans="1:64" ht="13">
      <c r="A11" s="58">
        <f>8</f>
        <v>8</v>
      </c>
      <c r="B11" s="45" t="s">
        <v>12</v>
      </c>
      <c r="C11" s="59"/>
      <c r="D11" s="60" t="str">
        <f>Projection_!A11</f>
        <v>FG00097</v>
      </c>
      <c r="E11" s="61" t="str">
        <f>Projection_!B11</f>
        <v>Full Moon Cultured Ghee - 500 ml</v>
      </c>
      <c r="F11" s="62">
        <v>0.5</v>
      </c>
      <c r="G11" s="63">
        <f>IFERROR(_xlfn.XLOOKUP($D11,Projection_!$A:$A,Projection_!$J:$J),0)</f>
        <v>2357.3000000000002</v>
      </c>
      <c r="H11" s="63">
        <f>IFERROR(_xlfn.XLOOKUP($D11,Projection_!$A:$A,Projection_!$K:$K),0)</f>
        <v>0</v>
      </c>
      <c r="I11" s="63">
        <f>IFERROR(_xlfn.XLOOKUP($D11,Projection_!$A:$A,Projection_!$L:$L),0)</f>
        <v>186</v>
      </c>
      <c r="J11" s="63">
        <f>IFERROR(_xlfn.XLOOKUP($D11,Projection_!$A:$A,Projection_!$M:$M),0)</f>
        <v>0</v>
      </c>
      <c r="K11" s="63">
        <f>IFERROR(_xlfn.XLOOKUP($D11,Projection_!$A:$A,Projection_!$Q:$Q),0)</f>
        <v>0</v>
      </c>
      <c r="L11" s="63">
        <f>IFERROR(_xlfn.XLOOKUP($D11,Projection_!$A:$A,Projection_!$R:$R),0)</f>
        <v>265</v>
      </c>
      <c r="M11" s="63">
        <f>IFERROR(_xlfn.XLOOKUP($D11,Projection_!$A:$A,Projection_!$O:$O),0)</f>
        <v>0</v>
      </c>
      <c r="N11" s="63">
        <f>IFERROR(_xlfn.XLOOKUP($D11,Projection_!$A:$A,Projection_!$P:$P),0)</f>
        <v>495</v>
      </c>
      <c r="O11" s="50">
        <f t="shared" si="1"/>
        <v>3303.3</v>
      </c>
      <c r="P11" s="51">
        <f>SUM(IFERROR(_xlfn.XLOOKUP($D11,Domestic!$C:$C,Domestic!I:I),0),IFERROR(_xlfn.XLOOKUP($D11,'INT-_Manjiri'!$C:$C,'INT-_Manjiri'!H:H),0),IFERROR(_xlfn.XLOOKUP($D11,'USA-_Sea_shipment'!$C:$C,'USA-_Sea_shipment'!H:H),0),IFERROR(_xlfn.XLOOKUP($D11,Amazon_USA_Sea!$C:$C,Amazon_USA_Sea!H:H),0),IFERROR(_xlfn.XLOOKUP($D11,USA_Air_Shipment!$C:$C,USA_Air_Shipment!G:G),0),IFERROR(_xlfn.XLOOKUP($D11,Amazon_USA_Air_Shipment!$C:$C,Amazon_USA_Air_Shipment!G:G),0),IFERROR(_xlfn.XLOOKUP($D11,MENA!$C:$C,MENA!G:G),0),IFERROR(_xlfn.XLOOKUP($D11,UK!$C:$C,UK!G:G),0),IFERROR(_xlfn.XLOOKUP($D11,BMM_Order!$C:$C,BMM_Order!G:G),0),IFERROR(_xlfn.XLOOKUP($D11,'Adhoc-_Backlog'!$C:$C,'Adhoc-_Backlog'!I:I),0))</f>
        <v>0</v>
      </c>
      <c r="Q11" s="51">
        <f>SUM(IFERROR(_xlfn.XLOOKUP($D11,Domestic!$C:$C,Domestic!J:J),0),IFERROR(_xlfn.XLOOKUP($D11,'INT-_Manjiri'!$C:$C,'INT-_Manjiri'!I:I),0),IFERROR(_xlfn.XLOOKUP($D11,'USA-_Sea_shipment'!$C:$C,'USA-_Sea_shipment'!I:I),0),IFERROR(_xlfn.XLOOKUP($D11,Amazon_USA_Sea!$C:$C,Amazon_USA_Sea!I:I),0),IFERROR(_xlfn.XLOOKUP($D11,USA_Air_Shipment!$C:$C,USA_Air_Shipment!H:H),0),IFERROR(_xlfn.XLOOKUP($D11,Amazon_USA_Air_Shipment!$C:$C,Amazon_USA_Air_Shipment!H:H),0),IFERROR(_xlfn.XLOOKUP($D11,MENA!$C:$C,MENA!H:H),0),IFERROR(_xlfn.XLOOKUP($D11,UK!$C:$C,UK!H:H),0),IFERROR(_xlfn.XLOOKUP($D11,BMM_Order!$C:$C,BMM_Order!H:H),0),IFERROR(_xlfn.XLOOKUP($D11,'Adhoc-_Backlog'!$C:$C,'Adhoc-_Backlog'!J:J),0))</f>
        <v>153</v>
      </c>
      <c r="R11" s="51">
        <f>SUM(IFERROR(_xlfn.XLOOKUP($D11,Domestic!$C:$C,Domestic!K:K),0),IFERROR(_xlfn.XLOOKUP($D11,'INT-_Manjiri'!$C:$C,'INT-_Manjiri'!J:J),0),IFERROR(_xlfn.XLOOKUP($D11,'USA-_Sea_shipment'!$C:$C,'USA-_Sea_shipment'!J:J),0),IFERROR(_xlfn.XLOOKUP($D11,Amazon_USA_Sea!$C:$C,Amazon_USA_Sea!J:J),0),IFERROR(_xlfn.XLOOKUP($D11,USA_Air_Shipment!$C:$C,USA_Air_Shipment!I:I),0),IFERROR(_xlfn.XLOOKUP($D11,Amazon_USA_Air_Shipment!$C:$C,Amazon_USA_Air_Shipment!I:I),0),IFERROR(_xlfn.XLOOKUP($D11,MENA!$C:$C,MENA!I:I),0),IFERROR(_xlfn.XLOOKUP($D11,UK!$C:$C,UK!I:I),0),IFERROR(_xlfn.XLOOKUP($D11,BMM_Order!$C:$C,BMM_Order!I:I),0),IFERROR(_xlfn.XLOOKUP($D11,'Adhoc-_Backlog'!$C:$C,'Adhoc-_Backlog'!K:K),0))</f>
        <v>0</v>
      </c>
      <c r="S11" s="51">
        <f>SUM(IFERROR(_xlfn.XLOOKUP($D11,Domestic!$C:$C,Domestic!L:L),0),IFERROR(_xlfn.XLOOKUP($D11,'INT-_Manjiri'!$C:$C,'INT-_Manjiri'!K:K),0),IFERROR(_xlfn.XLOOKUP($D11,'USA-_Sea_shipment'!$C:$C,'USA-_Sea_shipment'!K:K),0),IFERROR(_xlfn.XLOOKUP($D11,Amazon_USA_Sea!$C:$C,Amazon_USA_Sea!K:K),0),IFERROR(_xlfn.XLOOKUP($D11,USA_Air_Shipment!$C:$C,USA_Air_Shipment!J:J),0),IFERROR(_xlfn.XLOOKUP($D11,Amazon_USA_Air_Shipment!$C:$C,Amazon_USA_Air_Shipment!J:J),0),IFERROR(_xlfn.XLOOKUP($D11,MENA!$C:$C,MENA!J:J),0),IFERROR(_xlfn.XLOOKUP($D11,UK!$C:$C,UK!J:J),0),IFERROR(_xlfn.XLOOKUP($D11,BMM_Order!$C:$C,BMM_Order!J:J),0),IFERROR(_xlfn.XLOOKUP($D11,'Adhoc-_Backlog'!$C:$C,'Adhoc-_Backlog'!L:L),0))</f>
        <v>278</v>
      </c>
      <c r="T11" s="51">
        <f>SUM(IFERROR(_xlfn.XLOOKUP($D11,Domestic!$C:$C,Domestic!M:M),0),IFERROR(_xlfn.XLOOKUP($D11,'INT-_Manjiri'!$C:$C,'INT-_Manjiri'!L:L),0),IFERROR(_xlfn.XLOOKUP($D11,'USA-_Sea_shipment'!$C:$C,'USA-_Sea_shipment'!L:L),0),IFERROR(_xlfn.XLOOKUP($D11,Amazon_USA_Sea!$C:$C,Amazon_USA_Sea!L:L),0),IFERROR(_xlfn.XLOOKUP($D11,USA_Air_Shipment!$C:$C,USA_Air_Shipment!K:K),0),IFERROR(_xlfn.XLOOKUP($D11,Amazon_USA_Air_Shipment!$C:$C,Amazon_USA_Air_Shipment!K:K),0),IFERROR(_xlfn.XLOOKUP($D11,MENA!$C:$C,MENA!K:K),0),IFERROR(_xlfn.XLOOKUP($D11,UK!$C:$C,UK!K:K),0),IFERROR(_xlfn.XLOOKUP($D11,BMM_Order!$C:$C,BMM_Order!K:K),0),IFERROR(_xlfn.XLOOKUP($D11,'Adhoc-_Backlog'!$C:$C,'Adhoc-_Backlog'!M:M),0))</f>
        <v>0</v>
      </c>
      <c r="U11" s="51">
        <f>SUM(IFERROR(_xlfn.XLOOKUP($D11,Domestic!$C:$C,Domestic!N:N),0),IFERROR(_xlfn.XLOOKUP($D11,'INT-_Manjiri'!$C:$C,'INT-_Manjiri'!M:M),0),IFERROR(_xlfn.XLOOKUP($D11,'USA-_Sea_shipment'!$C:$C,'USA-_Sea_shipment'!M:M),0),IFERROR(_xlfn.XLOOKUP($D11,Amazon_USA_Sea!$C:$C,Amazon_USA_Sea!M:M),0),IFERROR(_xlfn.XLOOKUP($D11,USA_Air_Shipment!$C:$C,USA_Air_Shipment!L:L),0),IFERROR(_xlfn.XLOOKUP($D11,Amazon_USA_Air_Shipment!$C:$C,Amazon_USA_Air_Shipment!L:L),0),IFERROR(_xlfn.XLOOKUP($D11,MENA!$C:$C,MENA!L:L),0),IFERROR(_xlfn.XLOOKUP($D11,UK!$C:$C,UK!L:L),0),IFERROR(_xlfn.XLOOKUP($D11,BMM_Order!$C:$C,BMM_Order!L:L),0),IFERROR(_xlfn.XLOOKUP($D11,'Adhoc-_Backlog'!$C:$C,'Adhoc-_Backlog'!N:N),0))</f>
        <v>0</v>
      </c>
      <c r="V11" s="51">
        <f>SUM(IFERROR(_xlfn.XLOOKUP($D11,Domestic!$C:$C,Domestic!O:O),0),IFERROR(_xlfn.XLOOKUP($D11,'INT-_Manjiri'!$C:$C,'INT-_Manjiri'!N:N),0),IFERROR(_xlfn.XLOOKUP($D11,'USA-_Sea_shipment'!$C:$C,'USA-_Sea_shipment'!N:N),0),IFERROR(_xlfn.XLOOKUP($D11,Amazon_USA_Sea!$C:$C,Amazon_USA_Sea!N:N),0),IFERROR(_xlfn.XLOOKUP($D11,USA_Air_Shipment!$C:$C,USA_Air_Shipment!M:M),0),IFERROR(_xlfn.XLOOKUP($D11,Amazon_USA_Air_Shipment!$C:$C,Amazon_USA_Air_Shipment!M:M),0),IFERROR(_xlfn.XLOOKUP($D11,MENA!$C:$C,MENA!M:M),0),IFERROR(_xlfn.XLOOKUP($D11,UK!$C:$C,UK!M:M),0),IFERROR(_xlfn.XLOOKUP($D11,BMM_Order!$C:$C,BMM_Order!M:M),0),IFERROR(_xlfn.XLOOKUP($D11,'Adhoc-_Backlog'!$C:$C,'Adhoc-_Backlog'!O:O),0))</f>
        <v>0</v>
      </c>
      <c r="W11" s="51">
        <f>SUM(IFERROR(_xlfn.XLOOKUP($D11,Domestic!$C:$C,Domestic!P:P),0),IFERROR(_xlfn.XLOOKUP($D11,'INT-_Manjiri'!$C:$C,'INT-_Manjiri'!O:O),0),IFERROR(_xlfn.XLOOKUP($D11,'USA-_Sea_shipment'!$C:$C,'USA-_Sea_shipment'!O:O),0),IFERROR(_xlfn.XLOOKUP($D11,Amazon_USA_Sea!$C:$C,Amazon_USA_Sea!O:O),0),IFERROR(_xlfn.XLOOKUP($D11,USA_Air_Shipment!$C:$C,USA_Air_Shipment!N:N),0),IFERROR(_xlfn.XLOOKUP($D11,Amazon_USA_Air_Shipment!$C:$C,Amazon_USA_Air_Shipment!N:N),0),IFERROR(_xlfn.XLOOKUP($D11,MENA!$C:$C,MENA!N:N),0),IFERROR(_xlfn.XLOOKUP($D11,UK!$C:$C,UK!N:N),0),IFERROR(_xlfn.XLOOKUP($D11,BMM_Order!$C:$C,BMM_Order!N:N),0),IFERROR(_xlfn.XLOOKUP($D11,'Adhoc-_Backlog'!$C:$C,'Adhoc-_Backlog'!P:P),0))</f>
        <v>0</v>
      </c>
      <c r="X11" s="51">
        <f>SUM(IFERROR(_xlfn.XLOOKUP($D11,Domestic!$C:$C,Domestic!Q:Q),0),IFERROR(_xlfn.XLOOKUP($D11,'INT-_Manjiri'!$C:$C,'INT-_Manjiri'!P:P),0),IFERROR(_xlfn.XLOOKUP($D11,'USA-_Sea_shipment'!$C:$C,'USA-_Sea_shipment'!P:P),0),IFERROR(_xlfn.XLOOKUP($D11,Amazon_USA_Sea!$C:$C,Amazon_USA_Sea!P:P),0),IFERROR(_xlfn.XLOOKUP($D11,USA_Air_Shipment!$C:$C,USA_Air_Shipment!O:O),0),IFERROR(_xlfn.XLOOKUP($D11,Amazon_USA_Air_Shipment!$C:$C,Amazon_USA_Air_Shipment!O:O),0),IFERROR(_xlfn.XLOOKUP($D11,MENA!$C:$C,MENA!O:O),0),IFERROR(_xlfn.XLOOKUP($D11,UK!$C:$C,UK!O:O),0),IFERROR(_xlfn.XLOOKUP($D11,BMM_Order!$C:$C,BMM_Order!O:O),0),IFERROR(_xlfn.XLOOKUP($D11,'Adhoc-_Backlog'!$C:$C,'Adhoc-_Backlog'!Q:Q),0))</f>
        <v>0</v>
      </c>
      <c r="Y11" s="51">
        <f>SUM(IFERROR(_xlfn.XLOOKUP($D11,Domestic!$C:$C,Domestic!R:R),0),IFERROR(_xlfn.XLOOKUP($D11,'INT-_Manjiri'!$C:$C,'INT-_Manjiri'!Q:Q),0),IFERROR(_xlfn.XLOOKUP($D11,'USA-_Sea_shipment'!$C:$C,'USA-_Sea_shipment'!Q:Q),0),IFERROR(_xlfn.XLOOKUP($D11,Amazon_USA_Sea!$C:$C,Amazon_USA_Sea!Q:Q),0),IFERROR(_xlfn.XLOOKUP($D11,USA_Air_Shipment!$C:$C,USA_Air_Shipment!P:P),0),IFERROR(_xlfn.XLOOKUP($D11,Amazon_USA_Air_Shipment!$C:$C,Amazon_USA_Air_Shipment!P:P),0),IFERROR(_xlfn.XLOOKUP($D11,MENA!$C:$C,MENA!P:P),0),IFERROR(_xlfn.XLOOKUP($D11,UK!$C:$C,UK!P:P),0),IFERROR(_xlfn.XLOOKUP($D11,BMM_Order!$C:$C,BMM_Order!P:P),0),IFERROR(_xlfn.XLOOKUP($D11,'Adhoc-_Backlog'!$C:$C,'Adhoc-_Backlog'!R:R),0))</f>
        <v>0</v>
      </c>
      <c r="Z11" s="51">
        <f>SUM(IFERROR(_xlfn.XLOOKUP($D11,Domestic!$C:$C,Domestic!S:S),0),IFERROR(_xlfn.XLOOKUP($D11,'INT-_Manjiri'!$C:$C,'INT-_Manjiri'!R:R),0),IFERROR(_xlfn.XLOOKUP($D11,'USA-_Sea_shipment'!$C:$C,'USA-_Sea_shipment'!R:R),0),IFERROR(_xlfn.XLOOKUP($D11,Amazon_USA_Sea!$C:$C,Amazon_USA_Sea!R:R),0),IFERROR(_xlfn.XLOOKUP($D11,USA_Air_Shipment!$C:$C,USA_Air_Shipment!Q:Q),0),IFERROR(_xlfn.XLOOKUP($D11,Amazon_USA_Air_Shipment!$C:$C,Amazon_USA_Air_Shipment!Q:Q),0),IFERROR(_xlfn.XLOOKUP($D11,MENA!$C:$C,MENA!Q:Q),0),IFERROR(_xlfn.XLOOKUP($D11,UK!$C:$C,UK!Q:Q),0),IFERROR(_xlfn.XLOOKUP($D11,BMM_Order!$C:$C,BMM_Order!Q:Q),0),IFERROR(_xlfn.XLOOKUP($D11,'Adhoc-_Backlog'!$C:$C,'Adhoc-_Backlog'!S:S),0))</f>
        <v>0</v>
      </c>
      <c r="AA11" s="51">
        <f>SUM(IFERROR(_xlfn.XLOOKUP($D11,Domestic!$C:$C,Domestic!T:T),0),IFERROR(_xlfn.XLOOKUP($D11,'INT-_Manjiri'!$C:$C,'INT-_Manjiri'!S:S),0),IFERROR(_xlfn.XLOOKUP($D11,'USA-_Sea_shipment'!$C:$C,'USA-_Sea_shipment'!S:S),0),IFERROR(_xlfn.XLOOKUP($D11,Amazon_USA_Sea!$C:$C,Amazon_USA_Sea!S:S),0),IFERROR(_xlfn.XLOOKUP($D11,USA_Air_Shipment!$C:$C,USA_Air_Shipment!R:R),0),IFERROR(_xlfn.XLOOKUP($D11,Amazon_USA_Air_Shipment!$C:$C,Amazon_USA_Air_Shipment!R:R),0),IFERROR(_xlfn.XLOOKUP($D11,MENA!$C:$C,MENA!R:R),0),IFERROR(_xlfn.XLOOKUP($D11,UK!$C:$C,UK!R:R),0),IFERROR(_xlfn.XLOOKUP($D11,BMM_Order!$C:$C,BMM_Order!R:R),0),IFERROR(_xlfn.XLOOKUP($D11,'Adhoc-_Backlog'!$C:$C,'Adhoc-_Backlog'!T:T),0))</f>
        <v>0</v>
      </c>
      <c r="AB11" s="51">
        <f>SUM(IFERROR(_xlfn.XLOOKUP($D11,Domestic!$C:$C,Domestic!U:U),0),IFERROR(_xlfn.XLOOKUP($D11,'INT-_Manjiri'!$C:$C,'INT-_Manjiri'!T:T),0),IFERROR(_xlfn.XLOOKUP($D11,'USA-_Sea_shipment'!$C:$C,'USA-_Sea_shipment'!T:T),0),IFERROR(_xlfn.XLOOKUP($D11,Amazon_USA_Sea!$C:$C,Amazon_USA_Sea!T:T),0),IFERROR(_xlfn.XLOOKUP($D11,USA_Air_Shipment!$C:$C,USA_Air_Shipment!S:S),0),IFERROR(_xlfn.XLOOKUP($D11,Amazon_USA_Air_Shipment!$C:$C,Amazon_USA_Air_Shipment!S:S),0),IFERROR(_xlfn.XLOOKUP($D11,MENA!$C:$C,MENA!S:S),0),IFERROR(_xlfn.XLOOKUP($D11,UK!$C:$C,UK!S:S),0),IFERROR(_xlfn.XLOOKUP($D11,BMM_Order!$C:$C,BMM_Order!S:S),0),IFERROR(_xlfn.XLOOKUP($D11,'Adhoc-_Backlog'!$C:$C,'Adhoc-_Backlog'!U:U),0))</f>
        <v>80</v>
      </c>
      <c r="AC11" s="51">
        <f>SUM(IFERROR(_xlfn.XLOOKUP($D11,Domestic!$C:$C,Domestic!V:V),0),IFERROR(_xlfn.XLOOKUP($D11,'INT-_Manjiri'!$C:$C,'INT-_Manjiri'!U:U),0),IFERROR(_xlfn.XLOOKUP($D11,'USA-_Sea_shipment'!$C:$C,'USA-_Sea_shipment'!U:U),0),IFERROR(_xlfn.XLOOKUP($D11,Amazon_USA_Sea!$C:$C,Amazon_USA_Sea!U:U),0),IFERROR(_xlfn.XLOOKUP($D11,USA_Air_Shipment!$C:$C,USA_Air_Shipment!T:T),0),IFERROR(_xlfn.XLOOKUP($D11,Amazon_USA_Air_Shipment!$C:$C,Amazon_USA_Air_Shipment!T:T),0),IFERROR(_xlfn.XLOOKUP($D11,MENA!$C:$C,MENA!T:T),0),IFERROR(_xlfn.XLOOKUP($D11,UK!$C:$C,UK!T:T),0),IFERROR(_xlfn.XLOOKUP($D11,BMM_Order!$C:$C,BMM_Order!T:T),0),IFERROR(_xlfn.XLOOKUP($D11,'Adhoc-_Backlog'!$C:$C,'Adhoc-_Backlog'!V:V),0))</f>
        <v>0</v>
      </c>
      <c r="AD11" s="51">
        <f>SUM(IFERROR(_xlfn.XLOOKUP($D11,Domestic!$C:$C,Domestic!W:W),0),IFERROR(_xlfn.XLOOKUP($D11,'INT-_Manjiri'!$C:$C,'INT-_Manjiri'!V:V),0),IFERROR(_xlfn.XLOOKUP($D11,'USA-_Sea_shipment'!$C:$C,'USA-_Sea_shipment'!V:V),0),IFERROR(_xlfn.XLOOKUP($D11,Amazon_USA_Sea!$C:$C,Amazon_USA_Sea!V:V),0),IFERROR(_xlfn.XLOOKUP($D11,USA_Air_Shipment!$C:$C,USA_Air_Shipment!U:U),0),IFERROR(_xlfn.XLOOKUP($D11,Amazon_USA_Air_Shipment!$C:$C,Amazon_USA_Air_Shipment!U:U),0),IFERROR(_xlfn.XLOOKUP($D11,MENA!$C:$C,MENA!U:U),0),IFERROR(_xlfn.XLOOKUP($D11,UK!$C:$C,UK!U:U),0),IFERROR(_xlfn.XLOOKUP($D11,BMM_Order!$C:$C,BMM_Order!U:U),0),IFERROR(_xlfn.XLOOKUP($D11,'Adhoc-_Backlog'!$C:$C,'Adhoc-_Backlog'!W:W),0))</f>
        <v>0</v>
      </c>
      <c r="AE11" s="51">
        <f>SUM(IFERROR(_xlfn.XLOOKUP($D11,Domestic!$C:$C,Domestic!X:X),0),IFERROR(_xlfn.XLOOKUP($D11,'INT-_Manjiri'!$C:$C,'INT-_Manjiri'!W:W),0),IFERROR(_xlfn.XLOOKUP($D11,'USA-_Sea_shipment'!$C:$C,'USA-_Sea_shipment'!W:W),0),IFERROR(_xlfn.XLOOKUP($D11,Amazon_USA_Sea!$C:$C,Amazon_USA_Sea!W:W),0),IFERROR(_xlfn.XLOOKUP($D11,USA_Air_Shipment!$C:$C,USA_Air_Shipment!V:V),0),IFERROR(_xlfn.XLOOKUP($D11,Amazon_USA_Air_Shipment!$C:$C,Amazon_USA_Air_Shipment!V:V),0),IFERROR(_xlfn.XLOOKUP($D11,MENA!$C:$C,MENA!V:V),0),IFERROR(_xlfn.XLOOKUP($D11,UK!$C:$C,UK!V:V),0),IFERROR(_xlfn.XLOOKUP($D11,BMM_Order!$C:$C,BMM_Order!V:V),0),IFERROR(_xlfn.XLOOKUP($D11,'Adhoc-_Backlog'!$C:$C,'Adhoc-_Backlog'!X:X),0))</f>
        <v>0</v>
      </c>
      <c r="AF11" s="51">
        <f>SUM(IFERROR(_xlfn.XLOOKUP($D11,Domestic!$C:$C,Domestic!Y:Y),0),IFERROR(_xlfn.XLOOKUP($D11,'INT-_Manjiri'!$C:$C,'INT-_Manjiri'!X:X),0),IFERROR(_xlfn.XLOOKUP($D11,'USA-_Sea_shipment'!$C:$C,'USA-_Sea_shipment'!X:X),0),IFERROR(_xlfn.XLOOKUP($D11,Amazon_USA_Sea!$C:$C,Amazon_USA_Sea!X:X),0),IFERROR(_xlfn.XLOOKUP($D11,USA_Air_Shipment!$C:$C,USA_Air_Shipment!W:W),0),IFERROR(_xlfn.XLOOKUP($D11,Amazon_USA_Air_Shipment!$C:$C,Amazon_USA_Air_Shipment!W:W),0),IFERROR(_xlfn.XLOOKUP($D11,MENA!$C:$C,MENA!W:W),0),IFERROR(_xlfn.XLOOKUP($D11,UK!$C:$C,UK!W:W),0),IFERROR(_xlfn.XLOOKUP($D11,BMM_Order!$C:$C,BMM_Order!W:W),0),IFERROR(_xlfn.XLOOKUP($D11,'Adhoc-_Backlog'!$C:$C,'Adhoc-_Backlog'!Y:Y),0))</f>
        <v>20</v>
      </c>
      <c r="AG11" s="51">
        <f>SUM(IFERROR(_xlfn.XLOOKUP($D11,Domestic!$C:$C,Domestic!Z:Z),0),IFERROR(_xlfn.XLOOKUP($D11,'INT-_Manjiri'!$C:$C,'INT-_Manjiri'!Y:Y),0),IFERROR(_xlfn.XLOOKUP($D11,'USA-_Sea_shipment'!$C:$C,'USA-_Sea_shipment'!Y:Y),0),IFERROR(_xlfn.XLOOKUP($D11,Amazon_USA_Sea!$C:$C,Amazon_USA_Sea!Y:Y),0),IFERROR(_xlfn.XLOOKUP($D11,USA_Air_Shipment!$C:$C,USA_Air_Shipment!X:X),0),IFERROR(_xlfn.XLOOKUP($D11,Amazon_USA_Air_Shipment!$C:$C,Amazon_USA_Air_Shipment!X:X),0),IFERROR(_xlfn.XLOOKUP($D11,MENA!$C:$C,MENA!X:X),0),IFERROR(_xlfn.XLOOKUP($D11,UK!$C:$C,UK!X:X),0),IFERROR(_xlfn.XLOOKUP($D11,BMM_Order!$C:$C,BMM_Order!X:X),0),IFERROR(_xlfn.XLOOKUP($D11,'Adhoc-_Backlog'!$C:$C,'Adhoc-_Backlog'!Z:Z),0))</f>
        <v>0</v>
      </c>
      <c r="AH11" s="51">
        <f>SUM(IFERROR(_xlfn.XLOOKUP($D11,Domestic!$C:$C,Domestic!AA:AA),0),IFERROR(_xlfn.XLOOKUP($D11,'INT-_Manjiri'!$C:$C,'INT-_Manjiri'!Z:Z),0),IFERROR(_xlfn.XLOOKUP($D11,'USA-_Sea_shipment'!$C:$C,'USA-_Sea_shipment'!Z:Z),0),IFERROR(_xlfn.XLOOKUP($D11,Amazon_USA_Sea!$C:$C,Amazon_USA_Sea!Z:Z),0),IFERROR(_xlfn.XLOOKUP($D11,USA_Air_Shipment!$C:$C,USA_Air_Shipment!Y:Y),0),IFERROR(_xlfn.XLOOKUP($D11,Amazon_USA_Air_Shipment!$C:$C,Amazon_USA_Air_Shipment!Y:Y),0),IFERROR(_xlfn.XLOOKUP($D11,MENA!$C:$C,MENA!Y:Y),0),IFERROR(_xlfn.XLOOKUP($D11,UK!$C:$C,UK!Y:Y),0),IFERROR(_xlfn.XLOOKUP($D11,BMM_Order!$C:$C,BMM_Order!Y:Y),0),IFERROR(_xlfn.XLOOKUP($D11,'Adhoc-_Backlog'!$C:$C,'Adhoc-_Backlog'!AA:AA),0))</f>
        <v>210</v>
      </c>
      <c r="AI11" s="51">
        <f>SUM(IFERROR(_xlfn.XLOOKUP($D11,Domestic!$C:$C,Domestic!AB:AB),0),IFERROR(_xlfn.XLOOKUP($D11,'INT-_Manjiri'!$C:$C,'INT-_Manjiri'!AA:AA),0),IFERROR(_xlfn.XLOOKUP($D11,'USA-_Sea_shipment'!$C:$C,'USA-_Sea_shipment'!AA:AA),0),IFERROR(_xlfn.XLOOKUP($D11,Amazon_USA_Sea!$C:$C,Amazon_USA_Sea!AA:AA),0),IFERROR(_xlfn.XLOOKUP($D11,USA_Air_Shipment!$C:$C,USA_Air_Shipment!Z:Z),0),IFERROR(_xlfn.XLOOKUP($D11,Amazon_USA_Air_Shipment!$C:$C,Amazon_USA_Air_Shipment!Z:Z),0),IFERROR(_xlfn.XLOOKUP($D11,MENA!$C:$C,MENA!Z:Z),0),IFERROR(_xlfn.XLOOKUP($D11,UK!$C:$C,UK!Z:Z),0),IFERROR(_xlfn.XLOOKUP($D11,BMM_Order!$C:$C,BMM_Order!Z:Z),0),IFERROR(_xlfn.XLOOKUP($D11,'Adhoc-_Backlog'!$C:$C,'Adhoc-_Backlog'!AB:AB),0))</f>
        <v>0</v>
      </c>
      <c r="AJ11" s="51">
        <f>SUM(IFERROR(_xlfn.XLOOKUP($D11,Domestic!$C:$C,Domestic!AC:AC),0),IFERROR(_xlfn.XLOOKUP($D11,'INT-_Manjiri'!$C:$C,'INT-_Manjiri'!AB:AB),0),IFERROR(_xlfn.XLOOKUP($D11,'USA-_Sea_shipment'!$C:$C,'USA-_Sea_shipment'!AB:AB),0),IFERROR(_xlfn.XLOOKUP($D11,Amazon_USA_Sea!$C:$C,Amazon_USA_Sea!AB:AB),0),IFERROR(_xlfn.XLOOKUP($D11,USA_Air_Shipment!$C:$C,USA_Air_Shipment!AA:AA),0),IFERROR(_xlfn.XLOOKUP($D11,Amazon_USA_Air_Shipment!$C:$C,Amazon_USA_Air_Shipment!AA:AA),0),IFERROR(_xlfn.XLOOKUP($D11,MENA!$C:$C,MENA!AA:AA),0),IFERROR(_xlfn.XLOOKUP($D11,UK!$C:$C,UK!AA:AA),0),IFERROR(_xlfn.XLOOKUP($D11,BMM_Order!$C:$C,BMM_Order!AA:AA),0),IFERROR(_xlfn.XLOOKUP($D11,'Adhoc-_Backlog'!$C:$C,'Adhoc-_Backlog'!AC:AC),0))</f>
        <v>0</v>
      </c>
      <c r="AK11" s="51">
        <f>SUM(IFERROR(_xlfn.XLOOKUP($D11,Domestic!$C:$C,Domestic!AD:AD),0),IFERROR(_xlfn.XLOOKUP($D11,'INT-_Manjiri'!$C:$C,'INT-_Manjiri'!AC:AC),0),IFERROR(_xlfn.XLOOKUP($D11,'USA-_Sea_shipment'!$C:$C,'USA-_Sea_shipment'!AC:AC),0),IFERROR(_xlfn.XLOOKUP($D11,Amazon_USA_Sea!$C:$C,Amazon_USA_Sea!AC:AC),0),IFERROR(_xlfn.XLOOKUP($D11,USA_Air_Shipment!$C:$C,USA_Air_Shipment!AB:AB),0),IFERROR(_xlfn.XLOOKUP($D11,Amazon_USA_Air_Shipment!$C:$C,Amazon_USA_Air_Shipment!AB:AB),0),IFERROR(_xlfn.XLOOKUP($D11,MENA!$C:$C,MENA!AB:AB),0),IFERROR(_xlfn.XLOOKUP($D11,UK!$C:$C,UK!AB:AB),0),IFERROR(_xlfn.XLOOKUP($D11,BMM_Order!$C:$C,BMM_Order!AB:AB),0),IFERROR(_xlfn.XLOOKUP($D11,'Adhoc-_Backlog'!$C:$C,'Adhoc-_Backlog'!AD:AD),0))</f>
        <v>0</v>
      </c>
      <c r="AL11" s="51">
        <f>SUM(IFERROR(_xlfn.XLOOKUP($D11,Domestic!$C:$C,Domestic!AE:AE),0),IFERROR(_xlfn.XLOOKUP($D11,'INT-_Manjiri'!$C:$C,'INT-_Manjiri'!AD:AD),0),IFERROR(_xlfn.XLOOKUP($D11,'USA-_Sea_shipment'!$C:$C,'USA-_Sea_shipment'!AD:AD),0),IFERROR(_xlfn.XLOOKUP($D11,Amazon_USA_Sea!$C:$C,Amazon_USA_Sea!AD:AD),0),IFERROR(_xlfn.XLOOKUP($D11,USA_Air_Shipment!$C:$C,USA_Air_Shipment!AC:AC),0),IFERROR(_xlfn.XLOOKUP($D11,Amazon_USA_Air_Shipment!$C:$C,Amazon_USA_Air_Shipment!AC:AC),0),IFERROR(_xlfn.XLOOKUP($D11,MENA!$C:$C,MENA!AC:AC),0),IFERROR(_xlfn.XLOOKUP($D11,UK!$C:$C,UK!AC:AC),0),IFERROR(_xlfn.XLOOKUP($D11,BMM_Order!$C:$C,BMM_Order!AC:AC),0),IFERROR(_xlfn.XLOOKUP($D11,'Adhoc-_Backlog'!$C:$C,'Adhoc-_Backlog'!AE:AE),0))</f>
        <v>0</v>
      </c>
      <c r="AM11" s="51">
        <f>SUM(IFERROR(_xlfn.XLOOKUP($D11,Domestic!$C:$C,Domestic!AF:AF),0),IFERROR(_xlfn.XLOOKUP($D11,'INT-_Manjiri'!$C:$C,'INT-_Manjiri'!AE:AE),0),IFERROR(_xlfn.XLOOKUP($D11,'USA-_Sea_shipment'!$C:$C,'USA-_Sea_shipment'!AE:AE),0),IFERROR(_xlfn.XLOOKUP($D11,Amazon_USA_Sea!$C:$C,Amazon_USA_Sea!AE:AE),0),IFERROR(_xlfn.XLOOKUP($D11,USA_Air_Shipment!$C:$C,USA_Air_Shipment!AD:AD),0),IFERROR(_xlfn.XLOOKUP($D11,Amazon_USA_Air_Shipment!$C:$C,Amazon_USA_Air_Shipment!AD:AD),0),IFERROR(_xlfn.XLOOKUP($D11,MENA!$C:$C,MENA!AD:AD),0),IFERROR(_xlfn.XLOOKUP($D11,UK!$C:$C,UK!AD:AD),0),IFERROR(_xlfn.XLOOKUP($D11,BMM_Order!$C:$C,BMM_Order!AD:AD),0),IFERROR(_xlfn.XLOOKUP($D11,'Adhoc-_Backlog'!$C:$C,'Adhoc-_Backlog'!AF:AF),0))</f>
        <v>0</v>
      </c>
      <c r="AN11" s="51">
        <f>SUM(IFERROR(_xlfn.XLOOKUP($D11,Domestic!$C:$C,Domestic!AG:AG),0),IFERROR(_xlfn.XLOOKUP($D11,'INT-_Manjiri'!$C:$C,'INT-_Manjiri'!AF:AF),0),IFERROR(_xlfn.XLOOKUP($D11,'USA-_Sea_shipment'!$C:$C,'USA-_Sea_shipment'!AF:AF),0),IFERROR(_xlfn.XLOOKUP($D11,Amazon_USA_Sea!$C:$C,Amazon_USA_Sea!AF:AF),0),IFERROR(_xlfn.XLOOKUP($D11,USA_Air_Shipment!$C:$C,USA_Air_Shipment!AE:AE),0),IFERROR(_xlfn.XLOOKUP($D11,Amazon_USA_Air_Shipment!$C:$C,Amazon_USA_Air_Shipment!AE:AE),0),IFERROR(_xlfn.XLOOKUP($D11,MENA!$C:$C,MENA!AE:AE),0),IFERROR(_xlfn.XLOOKUP($D11,UK!$C:$C,UK!AE:AE),0),IFERROR(_xlfn.XLOOKUP($D11,BMM_Order!$C:$C,BMM_Order!AE:AE),0),IFERROR(_xlfn.XLOOKUP($D11,'Adhoc-_Backlog'!$C:$C,'Adhoc-_Backlog'!AG:AG),0))</f>
        <v>729</v>
      </c>
      <c r="AO11" s="51">
        <f>SUM(IFERROR(_xlfn.XLOOKUP($D11,Domestic!$C:$C,Domestic!AH:AH),0),IFERROR(_xlfn.XLOOKUP($D11,'INT-_Manjiri'!$C:$C,'INT-_Manjiri'!AG:AG),0),IFERROR(_xlfn.XLOOKUP($D11,'USA-_Sea_shipment'!$C:$C,'USA-_Sea_shipment'!AG:AG),0),IFERROR(_xlfn.XLOOKUP($D11,Amazon_USA_Sea!$C:$C,Amazon_USA_Sea!AG:AG),0),IFERROR(_xlfn.XLOOKUP($D11,USA_Air_Shipment!$C:$C,USA_Air_Shipment!AF:AF),0),IFERROR(_xlfn.XLOOKUP($D11,Amazon_USA_Air_Shipment!$C:$C,Amazon_USA_Air_Shipment!AF:AF),0),IFERROR(_xlfn.XLOOKUP($D11,MENA!$C:$C,MENA!AF:AF),0),IFERROR(_xlfn.XLOOKUP($D11,UK!$C:$C,UK!AF:AF),0),IFERROR(_xlfn.XLOOKUP($D11,BMM_Order!$C:$C,BMM_Order!AF:AF),0),IFERROR(_xlfn.XLOOKUP($D11,'Adhoc-_Backlog'!$C:$C,'Adhoc-_Backlog'!AH:AH),0))</f>
        <v>132</v>
      </c>
      <c r="AP11" s="51">
        <f>SUM(IFERROR(_xlfn.XLOOKUP($D11,Domestic!$C:$C,Domestic!AI:AI),0),IFERROR(_xlfn.XLOOKUP($D11,'INT-_Manjiri'!$C:$C,'INT-_Manjiri'!AH:AH),0),IFERROR(_xlfn.XLOOKUP($D11,'USA-_Sea_shipment'!$C:$C,'USA-_Sea_shipment'!AH:AH),0),IFERROR(_xlfn.XLOOKUP($D11,Amazon_USA_Sea!$C:$C,Amazon_USA_Sea!AH:AH),0),IFERROR(_xlfn.XLOOKUP($D11,USA_Air_Shipment!$C:$C,USA_Air_Shipment!AG:AG),0),IFERROR(_xlfn.XLOOKUP($D11,Amazon_USA_Air_Shipment!$C:$C,Amazon_USA_Air_Shipment!AG:AG),0),IFERROR(_xlfn.XLOOKUP($D11,MENA!$C:$C,MENA!AG:AG),0),IFERROR(_xlfn.XLOOKUP($D11,UK!$C:$C,UK!AG:AG),0),IFERROR(_xlfn.XLOOKUP($D11,BMM_Order!$C:$C,BMM_Order!AG:AG),0),IFERROR(_xlfn.XLOOKUP($D11,'Adhoc-_Backlog'!$C:$C,'Adhoc-_Backlog'!AI:AI),0))</f>
        <v>0</v>
      </c>
      <c r="AQ11" s="51">
        <f>SUM(IFERROR(_xlfn.XLOOKUP($D11,Domestic!$C:$C,Domestic!AJ:AJ),0),IFERROR(_xlfn.XLOOKUP($D11,'INT-_Manjiri'!$C:$C,'INT-_Manjiri'!AI:AI),0),IFERROR(_xlfn.XLOOKUP($D11,'USA-_Sea_shipment'!$C:$C,'USA-_Sea_shipment'!AI:AI),0),IFERROR(_xlfn.XLOOKUP($D11,Amazon_USA_Sea!$C:$C,Amazon_USA_Sea!AI:AI),0),IFERROR(_xlfn.XLOOKUP($D11,USA_Air_Shipment!$C:$C,USA_Air_Shipment!AH:AH),0),IFERROR(_xlfn.XLOOKUP($D11,Amazon_USA_Air_Shipment!$C:$C,Amazon_USA_Air_Shipment!AH:AH),0),IFERROR(_xlfn.XLOOKUP($D11,MENA!$C:$C,MENA!AH:AH),0),IFERROR(_xlfn.XLOOKUP($D11,UK!$C:$C,UK!AH:AH),0),IFERROR(_xlfn.XLOOKUP($D11,BMM_Order!$C:$C,BMM_Order!AH:AH),0),IFERROR(_xlfn.XLOOKUP($D11,'Adhoc-_Backlog'!$C:$C,'Adhoc-_Backlog'!AJ:AJ),0))</f>
        <v>0</v>
      </c>
      <c r="AR11" s="51">
        <f>SUM(IFERROR(_xlfn.XLOOKUP($D11,Domestic!$C:$C,Domestic!AK:AK),0),IFERROR(_xlfn.XLOOKUP($D11,'INT-_Manjiri'!$C:$C,'INT-_Manjiri'!AJ:AJ),0),IFERROR(_xlfn.XLOOKUP($D11,'USA-_Sea_shipment'!$C:$C,'USA-_Sea_shipment'!AJ:AJ),0),IFERROR(_xlfn.XLOOKUP($D11,Amazon_USA_Sea!$C:$C,Amazon_USA_Sea!AJ:AJ),0),IFERROR(_xlfn.XLOOKUP($D11,USA_Air_Shipment!$C:$C,USA_Air_Shipment!AI:AI),0),IFERROR(_xlfn.XLOOKUP($D11,Amazon_USA_Air_Shipment!$C:$C,Amazon_USA_Air_Shipment!AI:AI),0),IFERROR(_xlfn.XLOOKUP($D11,MENA!$C:$C,MENA!AI:AI),0),IFERROR(_xlfn.XLOOKUP($D11,UK!$C:$C,UK!AI:AI),0),IFERROR(_xlfn.XLOOKUP($D11,BMM_Order!$C:$C,BMM_Order!AI:AI),0),IFERROR(_xlfn.XLOOKUP($D11,'Adhoc-_Backlog'!$C:$C,'Adhoc-_Backlog'!AK:AK),0))</f>
        <v>0</v>
      </c>
      <c r="AS11" s="51">
        <f>SUM(IFERROR(_xlfn.XLOOKUP($D11,Domestic!$C:$C,Domestic!AL:AL),0),IFERROR(_xlfn.XLOOKUP($D11,'INT-_Manjiri'!$C:$C,'INT-_Manjiri'!AK:AK),0),IFERROR(_xlfn.XLOOKUP($D11,'USA-_Sea_shipment'!$C:$C,'USA-_Sea_shipment'!AK:AK),0),IFERROR(_xlfn.XLOOKUP($D11,Amazon_USA_Sea!$C:$C,Amazon_USA_Sea!AK:AK),0),IFERROR(_xlfn.XLOOKUP($D11,USA_Air_Shipment!$C:$C,USA_Air_Shipment!AJ:AJ),0),IFERROR(_xlfn.XLOOKUP($D11,Amazon_USA_Air_Shipment!$C:$C,Amazon_USA_Air_Shipment!AJ:AJ),0),IFERROR(_xlfn.XLOOKUP($D11,MENA!$C:$C,MENA!AJ:AJ),0),IFERROR(_xlfn.XLOOKUP($D11,UK!$C:$C,UK!AJ:AJ),0),IFERROR(_xlfn.XLOOKUP($D11,BMM_Order!$C:$C,BMM_Order!AJ:AJ),0),IFERROR(_xlfn.XLOOKUP($D11,'Adhoc-_Backlog'!$C:$C,'Adhoc-_Backlog'!AL:AL),0))</f>
        <v>0</v>
      </c>
      <c r="AT11" s="51">
        <f>SUM(IFERROR(_xlfn.XLOOKUP($D11,Domestic!$C:$C,Domestic!AM:AM),0),IFERROR(_xlfn.XLOOKUP($D11,'INT-_Manjiri'!$C:$C,'INT-_Manjiri'!AL:AL),0),IFERROR(_xlfn.XLOOKUP($D11,'USA-_Sea_shipment'!$C:$C,'USA-_Sea_shipment'!AL:AL),0),IFERROR(_xlfn.XLOOKUP($D11,Amazon_USA_Sea!$C:$C,Amazon_USA_Sea!AL:AL),0),IFERROR(_xlfn.XLOOKUP($D11,USA_Air_Shipment!$C:$C,USA_Air_Shipment!AK:AK),0),IFERROR(_xlfn.XLOOKUP($D11,Amazon_USA_Air_Shipment!$C:$C,Amazon_USA_Air_Shipment!AK:AK),0),IFERROR(_xlfn.XLOOKUP($D11,MENA!$C:$C,MENA!AK:AK),0),IFERROR(_xlfn.XLOOKUP($D11,UK!$C:$C,UK!AK:AK),0),IFERROR(_xlfn.XLOOKUP($D11,BMM_Order!$C:$C,BMM_Order!AK:AK),0),IFERROR(_xlfn.XLOOKUP($D11,'Adhoc-_Backlog'!$C:$C,'Adhoc-_Backlog'!AM:AM),0))</f>
        <v>0</v>
      </c>
      <c r="AU11" s="51">
        <f>SUM(IFERROR(_xlfn.XLOOKUP($D11,Domestic!$C:$C,Domestic!AN:AN),0),IFERROR(_xlfn.XLOOKUP($D11,'INT-_Manjiri'!$C:$C,'INT-_Manjiri'!AM:AM),0),IFERROR(_xlfn.XLOOKUP($D11,'USA-_Sea_shipment'!$C:$C,'USA-_Sea_shipment'!AM:AM),0),IFERROR(_xlfn.XLOOKUP($D11,Amazon_USA_Sea!$C:$C,Amazon_USA_Sea!AM:AM),0),IFERROR(_xlfn.XLOOKUP($D11,USA_Air_Shipment!$C:$C,USA_Air_Shipment!AL:AL),0),IFERROR(_xlfn.XLOOKUP($D11,Amazon_USA_Air_Shipment!$C:$C,Amazon_USA_Air_Shipment!AL:AL),0),IFERROR(_xlfn.XLOOKUP($D11,MENA!$C:$C,MENA!AL:AL),0),IFERROR(_xlfn.XLOOKUP($D11,UK!$C:$C,UK!AL:AL),0),IFERROR(_xlfn.XLOOKUP($D11,BMM_Order!$C:$C,BMM_Order!AL:AL),0),IFERROR(_xlfn.XLOOKUP($D11,'Adhoc-_Backlog'!$C:$C,'Adhoc-_Backlog'!AN:AN),0))</f>
        <v>0</v>
      </c>
      <c r="AV11" s="51">
        <f>SUM(IFERROR(_xlfn.XLOOKUP($D11,Domestic!$C:$C,Domestic!AO:AO),0),IFERROR(_xlfn.XLOOKUP($D11,'INT-_Manjiri'!$C:$C,'INT-_Manjiri'!AN:AN),0),IFERROR(_xlfn.XLOOKUP($D11,'USA-_Sea_shipment'!$C:$C,'USA-_Sea_shipment'!AN:AN),0),IFERROR(_xlfn.XLOOKUP($D11,Amazon_USA_Sea!$C:$C,Amazon_USA_Sea!AN:AN),0),IFERROR(_xlfn.XLOOKUP($D11,USA_Air_Shipment!$C:$C,USA_Air_Shipment!AM:AM),0),IFERROR(_xlfn.XLOOKUP($D11,Amazon_USA_Air_Shipment!$C:$C,Amazon_USA_Air_Shipment!AM:AM),0),IFERROR(_xlfn.XLOOKUP($D11,MENA!$C:$C,MENA!AM:AM),0),IFERROR(_xlfn.XLOOKUP($D11,UK!$C:$C,UK!AM:AM),0),IFERROR(_xlfn.XLOOKUP($D11,BMM_Order!$C:$C,BMM_Order!AM:AM),0),IFERROR(_xlfn.XLOOKUP($D11,'Adhoc-_Backlog'!$C:$C,'Adhoc-_Backlog'!AO:AO),0))</f>
        <v>0</v>
      </c>
      <c r="AW11" s="51">
        <f>SUM(IFERROR(_xlfn.XLOOKUP($D11,Domestic!$C:$C,Domestic!AP:AP),0),IFERROR(_xlfn.XLOOKUP($D11,'INT-_Manjiri'!$C:$C,'INT-_Manjiri'!AO:AO),0),IFERROR(_xlfn.XLOOKUP($D11,'USA-_Sea_shipment'!$C:$C,'USA-_Sea_shipment'!AO:AO),0),IFERROR(_xlfn.XLOOKUP($D11,Amazon_USA_Sea!$C:$C,Amazon_USA_Sea!AO:AO),0),IFERROR(_xlfn.XLOOKUP($D11,USA_Air_Shipment!$C:$C,USA_Air_Shipment!AN:AN),0),IFERROR(_xlfn.XLOOKUP($D11,Amazon_USA_Air_Shipment!$C:$C,Amazon_USA_Air_Shipment!AN:AN),0),IFERROR(_xlfn.XLOOKUP($D11,MENA!$C:$C,MENA!AN:AN),0),IFERROR(_xlfn.XLOOKUP($D11,UK!$C:$C,UK!AN:AN),0),IFERROR(_xlfn.XLOOKUP($D11,BMM_Order!$C:$C,BMM_Order!AN:AN),0),IFERROR(_xlfn.XLOOKUP($D11,'Adhoc-_Backlog'!$C:$C,'Adhoc-_Backlog'!AP:AP),0))</f>
        <v>0</v>
      </c>
      <c r="AX11" s="51">
        <f>SUM(IFERROR(_xlfn.XLOOKUP($D11,Domestic!$C:$C,Domestic!AQ:AQ),0),IFERROR(_xlfn.XLOOKUP($D11,'INT-_Manjiri'!$C:$C,'INT-_Manjiri'!AP:AP),0),IFERROR(_xlfn.XLOOKUP($D11,'USA-_Sea_shipment'!$C:$C,'USA-_Sea_shipment'!AP:AP),0),IFERROR(_xlfn.XLOOKUP($D11,Amazon_USA_Sea!$C:$C,Amazon_USA_Sea!AP:AP),0),IFERROR(_xlfn.XLOOKUP($D11,USA_Air_Shipment!$C:$C,USA_Air_Shipment!AO:AO),0),IFERROR(_xlfn.XLOOKUP($D11,Amazon_USA_Air_Shipment!$C:$C,Amazon_USA_Air_Shipment!AO:AO),0),IFERROR(_xlfn.XLOOKUP($D11,MENA!$C:$C,MENA!AO:AO),0),IFERROR(_xlfn.XLOOKUP($D11,UK!$C:$C,UK!AO:AO),0),IFERROR(_xlfn.XLOOKUP($D11,BMM_Order!$C:$C,BMM_Order!AO:AO),0),IFERROR(_xlfn.XLOOKUP($D11,'Adhoc-_Backlog'!$C:$C,'Adhoc-_Backlog'!AQ:AQ),0))</f>
        <v>0</v>
      </c>
      <c r="AY11" s="51">
        <f>SUM(IFERROR(_xlfn.XLOOKUP($D11,Domestic!$C:$C,Domestic!AR:AR),0),IFERROR(_xlfn.XLOOKUP($D11,'INT-_Manjiri'!$C:$C,'INT-_Manjiri'!AQ:AQ),0),IFERROR(_xlfn.XLOOKUP($D11,'USA-_Sea_shipment'!$C:$C,'USA-_Sea_shipment'!AQ:AQ),0),IFERROR(_xlfn.XLOOKUP($D11,Amazon_USA_Sea!$C:$C,Amazon_USA_Sea!AQ:AQ),0),IFERROR(_xlfn.XLOOKUP($D11,USA_Air_Shipment!$C:$C,USA_Air_Shipment!AP:AP),0),IFERROR(_xlfn.XLOOKUP($D11,Amazon_USA_Air_Shipment!$C:$C,Amazon_USA_Air_Shipment!AP:AP),0),IFERROR(_xlfn.XLOOKUP($D11,MENA!$C:$C,MENA!AP:AP),0),IFERROR(_xlfn.XLOOKUP($D11,UK!$C:$C,UK!AP:AP),0),IFERROR(_xlfn.XLOOKUP($D11,BMM_Order!$C:$C,BMM_Order!AP:AP),0),IFERROR(_xlfn.XLOOKUP($D11,'Adhoc-_Backlog'!$C:$C,'Adhoc-_Backlog'!AR:AR),0))</f>
        <v>0</v>
      </c>
      <c r="AZ11" s="51">
        <f>SUM(IFERROR(_xlfn.XLOOKUP($D11,Domestic!$C:$C,Domestic!AS:AS),0),IFERROR(_xlfn.XLOOKUP($D11,'INT-_Manjiri'!$C:$C,'INT-_Manjiri'!AR:AR),0),IFERROR(_xlfn.XLOOKUP($D11,'USA-_Sea_shipment'!$C:$C,'USA-_Sea_shipment'!AR:AR),0),IFERROR(_xlfn.XLOOKUP($D11,Amazon_USA_Sea!$C:$C,Amazon_USA_Sea!AR:AR),0),IFERROR(_xlfn.XLOOKUP($D11,USA_Air_Shipment!$C:$C,USA_Air_Shipment!AQ:AQ),0),IFERROR(_xlfn.XLOOKUP($D11,Amazon_USA_Air_Shipment!$C:$C,Amazon_USA_Air_Shipment!AQ:AQ),0),IFERROR(_xlfn.XLOOKUP($D11,MENA!$C:$C,MENA!AQ:AQ),0),IFERROR(_xlfn.XLOOKUP($D11,UK!$C:$C,UK!AQ:AQ),0),IFERROR(_xlfn.XLOOKUP($D11,BMM_Order!$C:$C,BMM_Order!AQ:AQ),0),IFERROR(_xlfn.XLOOKUP($D11,'Adhoc-_Backlog'!$C:$C,'Adhoc-_Backlog'!AS:AS),0))</f>
        <v>0</v>
      </c>
      <c r="BA11" s="51">
        <f>SUM(IFERROR(_xlfn.XLOOKUP($D11,Domestic!$C:$C,Domestic!AT:AT),0),IFERROR(_xlfn.XLOOKUP($D11,'INT-_Manjiri'!$C:$C,'INT-_Manjiri'!AS:AS),0),IFERROR(_xlfn.XLOOKUP($D11,'USA-_Sea_shipment'!$C:$C,'USA-_Sea_shipment'!AS:AS),0),IFERROR(_xlfn.XLOOKUP($D11,Amazon_USA_Sea!$C:$C,Amazon_USA_Sea!AS:AS),0),IFERROR(_xlfn.XLOOKUP($D11,USA_Air_Shipment!$C:$C,USA_Air_Shipment!AR:AR),0),IFERROR(_xlfn.XLOOKUP($D11,Amazon_USA_Air_Shipment!$C:$C,Amazon_USA_Air_Shipment!AR:AR),0),IFERROR(_xlfn.XLOOKUP($D11,MENA!$C:$C,MENA!AR:AR),0),IFERROR(_xlfn.XLOOKUP($D11,UK!$C:$C,UK!AR:AR),0),IFERROR(_xlfn.XLOOKUP($D11,BMM_Order!$C:$C,BMM_Order!AR:AR),0),IFERROR(_xlfn.XLOOKUP($D11,'Adhoc-_Backlog'!$C:$C,'Adhoc-_Backlog'!AT:AT),0))</f>
        <v>0</v>
      </c>
      <c r="BB11" s="52">
        <f t="shared" si="2"/>
        <v>1602</v>
      </c>
      <c r="BC11" s="64">
        <f t="shared" si="3"/>
        <v>801</v>
      </c>
      <c r="BD11" s="65">
        <f t="shared" si="4"/>
        <v>1701.3000000000002</v>
      </c>
      <c r="BE11" s="64">
        <f t="shared" si="5"/>
        <v>850.65000000000009</v>
      </c>
      <c r="BF11" s="66">
        <f t="shared" si="6"/>
        <v>0.48496957587866674</v>
      </c>
      <c r="BG11" s="67" t="str">
        <f>_xlfn.TEXTJOIN(" | ",TRUE,IFERROR(_xlfn.XLOOKUP($D11,Domestic!$C:$C,Domestic!$BG:$BG,""),""),IFERROR(_xlfn.XLOOKUP($D11,'INT-_Manjiri'!$C:$C,'INT-_Manjiri'!$AY:$AY,""),""),IFERROR(_xlfn.XLOOKUP($D11,'USA-_Sea_shipment'!$C:$C,'USA-_Sea_shipment'!#REF!,""),""),IFERROR(_xlfn.XLOOKUP($D11,Amazon_USA_Sea!$C:$C,Amazon_USA_Sea!$AY:$AY,""),""),IFERROR(_xlfn.XLOOKUP($D11,USA_Air_Shipment!$C:$C,USA_Air_Shipment!$AW:$AW,""),""),IFERROR(_xlfn.XLOOKUP($D11,Amazon_USA_Air_Shipment!$C:$C,Amazon_USA_Air_Shipment!$AW:$AW,""),""),IFERROR(_xlfn.XLOOKUP($D11,MENA!$C:$C,MENA!$AW:$AW,""),""),IFERROR(_xlfn.XLOOKUP($D11,UK!$C:$C,UK!$BA:$BA,""),""),IFERROR(_xlfn.XLOOKUP($D11,BMM_Order!$C:$C,BMM_Order!$BA:$BA,""),""),IFERROR(_xlfn.XLOOKUP($D11,'Adhoc-_Backlog'!$C:$C,'Adhoc-_Backlog'!$BD:$BD,""),""))</f>
        <v>WIP</v>
      </c>
      <c r="BH11" s="67">
        <f>_xlfn.XLOOKUP(D11,Raw_Data!A:A,Raw_Data!B:B)</f>
        <v>889</v>
      </c>
      <c r="BI11" s="68">
        <f t="shared" si="7"/>
        <v>8.0737444373808014</v>
      </c>
      <c r="BJ11" s="67">
        <f t="shared" si="8"/>
        <v>7</v>
      </c>
      <c r="BK11" s="57" t="str">
        <f t="shared" si="9"/>
        <v>P2 – High</v>
      </c>
    </row>
    <row r="12" spans="1:64" ht="13">
      <c r="A12" s="44">
        <f>5</f>
        <v>5</v>
      </c>
      <c r="B12" s="45" t="s">
        <v>12</v>
      </c>
      <c r="C12" s="45"/>
      <c r="D12" s="46" t="str">
        <f>Projection_!A8</f>
        <v>FG01068</v>
      </c>
      <c r="E12" s="47" t="str">
        <f>Projection_!B8</f>
        <v>Non cultured ghee 1l</v>
      </c>
      <c r="F12" s="48">
        <v>1</v>
      </c>
      <c r="G12" s="49">
        <f>IFERROR(_xlfn.XLOOKUP($D12,Projection_!$A:$A,Projection_!$J:$J),0)</f>
        <v>6049</v>
      </c>
      <c r="H12" s="49">
        <f>IFERROR(_xlfn.XLOOKUP($D12,Projection_!$A:$A,Projection_!$K:$K),0)</f>
        <v>0</v>
      </c>
      <c r="I12" s="49">
        <f>IFERROR(_xlfn.XLOOKUP($D12,Projection_!$A:$A,Projection_!$L:$L),0)</f>
        <v>0</v>
      </c>
      <c r="J12" s="49">
        <f>IFERROR(_xlfn.XLOOKUP($D12,Projection_!$A:$A,Projection_!$M:$M),0)</f>
        <v>0</v>
      </c>
      <c r="K12" s="49">
        <f>IFERROR(_xlfn.XLOOKUP($D12,Projection_!$A:$A,Projection_!$Q:$Q),0)</f>
        <v>0</v>
      </c>
      <c r="L12" s="49">
        <f>IFERROR(_xlfn.XLOOKUP($D12,Projection_!$A:$A,Projection_!$R:$R),0)</f>
        <v>0</v>
      </c>
      <c r="M12" s="49">
        <f>IFERROR(_xlfn.XLOOKUP($D12,Projection_!$A:$A,Projection_!$O:$O),0)</f>
        <v>0</v>
      </c>
      <c r="N12" s="49">
        <f>IFERROR(_xlfn.XLOOKUP($D12,Projection_!$A:$A,Projection_!$P:$P),0)</f>
        <v>0</v>
      </c>
      <c r="O12" s="50">
        <f t="shared" si="1"/>
        <v>6049</v>
      </c>
      <c r="P12" s="51">
        <f>SUM(IFERROR(_xlfn.XLOOKUP($D12,Domestic!$C:$C,Domestic!I:I),0),IFERROR(_xlfn.XLOOKUP($D12,'INT-_Manjiri'!$C:$C,'INT-_Manjiri'!H:H),0),IFERROR(_xlfn.XLOOKUP($D12,'USA-_Sea_shipment'!$C:$C,'USA-_Sea_shipment'!H:H),0),IFERROR(_xlfn.XLOOKUP($D12,Amazon_USA_Sea!$C:$C,Amazon_USA_Sea!H:H),0),IFERROR(_xlfn.XLOOKUP($D12,USA_Air_Shipment!$C:$C,USA_Air_Shipment!G:G),0),IFERROR(_xlfn.XLOOKUP($D12,Amazon_USA_Air_Shipment!$C:$C,Amazon_USA_Air_Shipment!G:G),0),IFERROR(_xlfn.XLOOKUP($D12,MENA!$C:$C,MENA!G:G),0),IFERROR(_xlfn.XLOOKUP($D12,UK!$C:$C,UK!G:G),0),IFERROR(_xlfn.XLOOKUP($D12,BMM_Order!$C:$C,BMM_Order!G:G),0),IFERROR(_xlfn.XLOOKUP($D12,'Adhoc-_Backlog'!$C:$C,'Adhoc-_Backlog'!I:I),0))</f>
        <v>0</v>
      </c>
      <c r="Q12" s="51">
        <f>SUM(IFERROR(_xlfn.XLOOKUP($D12,Domestic!$C:$C,Domestic!J:J),0),IFERROR(_xlfn.XLOOKUP($D12,'INT-_Manjiri'!$C:$C,'INT-_Manjiri'!I:I),0),IFERROR(_xlfn.XLOOKUP($D12,'USA-_Sea_shipment'!$C:$C,'USA-_Sea_shipment'!I:I),0),IFERROR(_xlfn.XLOOKUP($D12,Amazon_USA_Sea!$C:$C,Amazon_USA_Sea!I:I),0),IFERROR(_xlfn.XLOOKUP($D12,USA_Air_Shipment!$C:$C,USA_Air_Shipment!H:H),0),IFERROR(_xlfn.XLOOKUP($D12,Amazon_USA_Air_Shipment!$C:$C,Amazon_USA_Air_Shipment!H:H),0),IFERROR(_xlfn.XLOOKUP($D12,MENA!$C:$C,MENA!H:H),0),IFERROR(_xlfn.XLOOKUP($D12,UK!$C:$C,UK!H:H),0),IFERROR(_xlfn.XLOOKUP($D12,BMM_Order!$C:$C,BMM_Order!H:H),0),IFERROR(_xlfn.XLOOKUP($D12,'Adhoc-_Backlog'!$C:$C,'Adhoc-_Backlog'!J:J),0))</f>
        <v>0</v>
      </c>
      <c r="R12" s="51">
        <f>SUM(IFERROR(_xlfn.XLOOKUP($D12,Domestic!$C:$C,Domestic!K:K),0),IFERROR(_xlfn.XLOOKUP($D12,'INT-_Manjiri'!$C:$C,'INT-_Manjiri'!J:J),0),IFERROR(_xlfn.XLOOKUP($D12,'USA-_Sea_shipment'!$C:$C,'USA-_Sea_shipment'!J:J),0),IFERROR(_xlfn.XLOOKUP($D12,Amazon_USA_Sea!$C:$C,Amazon_USA_Sea!J:J),0),IFERROR(_xlfn.XLOOKUP($D12,USA_Air_Shipment!$C:$C,USA_Air_Shipment!I:I),0),IFERROR(_xlfn.XLOOKUP($D12,Amazon_USA_Air_Shipment!$C:$C,Amazon_USA_Air_Shipment!I:I),0),IFERROR(_xlfn.XLOOKUP($D12,MENA!$C:$C,MENA!I:I),0),IFERROR(_xlfn.XLOOKUP($D12,UK!$C:$C,UK!I:I),0),IFERROR(_xlfn.XLOOKUP($D12,BMM_Order!$C:$C,BMM_Order!I:I),0),IFERROR(_xlfn.XLOOKUP($D12,'Adhoc-_Backlog'!$C:$C,'Adhoc-_Backlog'!K:K),0))</f>
        <v>0</v>
      </c>
      <c r="S12" s="51">
        <f>SUM(IFERROR(_xlfn.XLOOKUP($D12,Domestic!$C:$C,Domestic!L:L),0),IFERROR(_xlfn.XLOOKUP($D12,'INT-_Manjiri'!$C:$C,'INT-_Manjiri'!K:K),0),IFERROR(_xlfn.XLOOKUP($D12,'USA-_Sea_shipment'!$C:$C,'USA-_Sea_shipment'!K:K),0),IFERROR(_xlfn.XLOOKUP($D12,Amazon_USA_Sea!$C:$C,Amazon_USA_Sea!K:K),0),IFERROR(_xlfn.XLOOKUP($D12,USA_Air_Shipment!$C:$C,USA_Air_Shipment!J:J),0),IFERROR(_xlfn.XLOOKUP($D12,Amazon_USA_Air_Shipment!$C:$C,Amazon_USA_Air_Shipment!J:J),0),IFERROR(_xlfn.XLOOKUP($D12,MENA!$C:$C,MENA!J:J),0),IFERROR(_xlfn.XLOOKUP($D12,UK!$C:$C,UK!J:J),0),IFERROR(_xlfn.XLOOKUP($D12,BMM_Order!$C:$C,BMM_Order!J:J),0),IFERROR(_xlfn.XLOOKUP($D12,'Adhoc-_Backlog'!$C:$C,'Adhoc-_Backlog'!L:L),0))</f>
        <v>0</v>
      </c>
      <c r="T12" s="51">
        <f>SUM(IFERROR(_xlfn.XLOOKUP($D12,Domestic!$C:$C,Domestic!M:M),0),IFERROR(_xlfn.XLOOKUP($D12,'INT-_Manjiri'!$C:$C,'INT-_Manjiri'!L:L),0),IFERROR(_xlfn.XLOOKUP($D12,'USA-_Sea_shipment'!$C:$C,'USA-_Sea_shipment'!L:L),0),IFERROR(_xlfn.XLOOKUP($D12,Amazon_USA_Sea!$C:$C,Amazon_USA_Sea!L:L),0),IFERROR(_xlfn.XLOOKUP($D12,USA_Air_Shipment!$C:$C,USA_Air_Shipment!K:K),0),IFERROR(_xlfn.XLOOKUP($D12,Amazon_USA_Air_Shipment!$C:$C,Amazon_USA_Air_Shipment!K:K),0),IFERROR(_xlfn.XLOOKUP($D12,MENA!$C:$C,MENA!K:K),0),IFERROR(_xlfn.XLOOKUP($D12,UK!$C:$C,UK!K:K),0),IFERROR(_xlfn.XLOOKUP($D12,BMM_Order!$C:$C,BMM_Order!K:K),0),IFERROR(_xlfn.XLOOKUP($D12,'Adhoc-_Backlog'!$C:$C,'Adhoc-_Backlog'!M:M),0))</f>
        <v>0</v>
      </c>
      <c r="U12" s="51">
        <f>SUM(IFERROR(_xlfn.XLOOKUP($D12,Domestic!$C:$C,Domestic!N:N),0),IFERROR(_xlfn.XLOOKUP($D12,'INT-_Manjiri'!$C:$C,'INT-_Manjiri'!M:M),0),IFERROR(_xlfn.XLOOKUP($D12,'USA-_Sea_shipment'!$C:$C,'USA-_Sea_shipment'!M:M),0),IFERROR(_xlfn.XLOOKUP($D12,Amazon_USA_Sea!$C:$C,Amazon_USA_Sea!M:M),0),IFERROR(_xlfn.XLOOKUP($D12,USA_Air_Shipment!$C:$C,USA_Air_Shipment!L:L),0),IFERROR(_xlfn.XLOOKUP($D12,Amazon_USA_Air_Shipment!$C:$C,Amazon_USA_Air_Shipment!L:L),0),IFERROR(_xlfn.XLOOKUP($D12,MENA!$C:$C,MENA!L:L),0),IFERROR(_xlfn.XLOOKUP($D12,UK!$C:$C,UK!L:L),0),IFERROR(_xlfn.XLOOKUP($D12,BMM_Order!$C:$C,BMM_Order!L:L),0),IFERROR(_xlfn.XLOOKUP($D12,'Adhoc-_Backlog'!$C:$C,'Adhoc-_Backlog'!N:N),0))</f>
        <v>0</v>
      </c>
      <c r="V12" s="51">
        <f>SUM(IFERROR(_xlfn.XLOOKUP($D12,Domestic!$C:$C,Domestic!O:O),0),IFERROR(_xlfn.XLOOKUP($D12,'INT-_Manjiri'!$C:$C,'INT-_Manjiri'!N:N),0),IFERROR(_xlfn.XLOOKUP($D12,'USA-_Sea_shipment'!$C:$C,'USA-_Sea_shipment'!N:N),0),IFERROR(_xlfn.XLOOKUP($D12,Amazon_USA_Sea!$C:$C,Amazon_USA_Sea!N:N),0),IFERROR(_xlfn.XLOOKUP($D12,USA_Air_Shipment!$C:$C,USA_Air_Shipment!M:M),0),IFERROR(_xlfn.XLOOKUP($D12,Amazon_USA_Air_Shipment!$C:$C,Amazon_USA_Air_Shipment!M:M),0),IFERROR(_xlfn.XLOOKUP($D12,MENA!$C:$C,MENA!M:M),0),IFERROR(_xlfn.XLOOKUP($D12,UK!$C:$C,UK!M:M),0),IFERROR(_xlfn.XLOOKUP($D12,BMM_Order!$C:$C,BMM_Order!M:M),0),IFERROR(_xlfn.XLOOKUP($D12,'Adhoc-_Backlog'!$C:$C,'Adhoc-_Backlog'!O:O),0))</f>
        <v>0</v>
      </c>
      <c r="W12" s="51">
        <f>SUM(IFERROR(_xlfn.XLOOKUP($D12,Domestic!$C:$C,Domestic!P:P),0),IFERROR(_xlfn.XLOOKUP($D12,'INT-_Manjiri'!$C:$C,'INT-_Manjiri'!O:O),0),IFERROR(_xlfn.XLOOKUP($D12,'USA-_Sea_shipment'!$C:$C,'USA-_Sea_shipment'!O:O),0),IFERROR(_xlfn.XLOOKUP($D12,Amazon_USA_Sea!$C:$C,Amazon_USA_Sea!O:O),0),IFERROR(_xlfn.XLOOKUP($D12,USA_Air_Shipment!$C:$C,USA_Air_Shipment!N:N),0),IFERROR(_xlfn.XLOOKUP($D12,Amazon_USA_Air_Shipment!$C:$C,Amazon_USA_Air_Shipment!N:N),0),IFERROR(_xlfn.XLOOKUP($D12,MENA!$C:$C,MENA!N:N),0),IFERROR(_xlfn.XLOOKUP($D12,UK!$C:$C,UK!N:N),0),IFERROR(_xlfn.XLOOKUP($D12,BMM_Order!$C:$C,BMM_Order!N:N),0),IFERROR(_xlfn.XLOOKUP($D12,'Adhoc-_Backlog'!$C:$C,'Adhoc-_Backlog'!P:P),0))</f>
        <v>0</v>
      </c>
      <c r="X12" s="51">
        <f>SUM(IFERROR(_xlfn.XLOOKUP($D12,Domestic!$C:$C,Domestic!Q:Q),0),IFERROR(_xlfn.XLOOKUP($D12,'INT-_Manjiri'!$C:$C,'INT-_Manjiri'!P:P),0),IFERROR(_xlfn.XLOOKUP($D12,'USA-_Sea_shipment'!$C:$C,'USA-_Sea_shipment'!P:P),0),IFERROR(_xlfn.XLOOKUP($D12,Amazon_USA_Sea!$C:$C,Amazon_USA_Sea!P:P),0),IFERROR(_xlfn.XLOOKUP($D12,USA_Air_Shipment!$C:$C,USA_Air_Shipment!O:O),0),IFERROR(_xlfn.XLOOKUP($D12,Amazon_USA_Air_Shipment!$C:$C,Amazon_USA_Air_Shipment!O:O),0),IFERROR(_xlfn.XLOOKUP($D12,MENA!$C:$C,MENA!O:O),0),IFERROR(_xlfn.XLOOKUP($D12,UK!$C:$C,UK!O:O),0),IFERROR(_xlfn.XLOOKUP($D12,BMM_Order!$C:$C,BMM_Order!O:O),0),IFERROR(_xlfn.XLOOKUP($D12,'Adhoc-_Backlog'!$C:$C,'Adhoc-_Backlog'!Q:Q),0))</f>
        <v>192</v>
      </c>
      <c r="Y12" s="51">
        <f>SUM(IFERROR(_xlfn.XLOOKUP($D12,Domestic!$C:$C,Domestic!R:R),0),IFERROR(_xlfn.XLOOKUP($D12,'INT-_Manjiri'!$C:$C,'INT-_Manjiri'!Q:Q),0),IFERROR(_xlfn.XLOOKUP($D12,'USA-_Sea_shipment'!$C:$C,'USA-_Sea_shipment'!Q:Q),0),IFERROR(_xlfn.XLOOKUP($D12,Amazon_USA_Sea!$C:$C,Amazon_USA_Sea!Q:Q),0),IFERROR(_xlfn.XLOOKUP($D12,USA_Air_Shipment!$C:$C,USA_Air_Shipment!P:P),0),IFERROR(_xlfn.XLOOKUP($D12,Amazon_USA_Air_Shipment!$C:$C,Amazon_USA_Air_Shipment!P:P),0),IFERROR(_xlfn.XLOOKUP($D12,MENA!$C:$C,MENA!P:P),0),IFERROR(_xlfn.XLOOKUP($D12,UK!$C:$C,UK!P:P),0),IFERROR(_xlfn.XLOOKUP($D12,BMM_Order!$C:$C,BMM_Order!P:P),0),IFERROR(_xlfn.XLOOKUP($D12,'Adhoc-_Backlog'!$C:$C,'Adhoc-_Backlog'!R:R),0))</f>
        <v>0</v>
      </c>
      <c r="Z12" s="51">
        <f>SUM(IFERROR(_xlfn.XLOOKUP($D12,Domestic!$C:$C,Domestic!S:S),0),IFERROR(_xlfn.XLOOKUP($D12,'INT-_Manjiri'!$C:$C,'INT-_Manjiri'!R:R),0),IFERROR(_xlfn.XLOOKUP($D12,'USA-_Sea_shipment'!$C:$C,'USA-_Sea_shipment'!R:R),0),IFERROR(_xlfn.XLOOKUP($D12,Amazon_USA_Sea!$C:$C,Amazon_USA_Sea!R:R),0),IFERROR(_xlfn.XLOOKUP($D12,USA_Air_Shipment!$C:$C,USA_Air_Shipment!Q:Q),0),IFERROR(_xlfn.XLOOKUP($D12,Amazon_USA_Air_Shipment!$C:$C,Amazon_USA_Air_Shipment!Q:Q),0),IFERROR(_xlfn.XLOOKUP($D12,MENA!$C:$C,MENA!Q:Q),0),IFERROR(_xlfn.XLOOKUP($D12,UK!$C:$C,UK!Q:Q),0),IFERROR(_xlfn.XLOOKUP($D12,BMM_Order!$C:$C,BMM_Order!Q:Q),0),IFERROR(_xlfn.XLOOKUP($D12,'Adhoc-_Backlog'!$C:$C,'Adhoc-_Backlog'!S:S),0))</f>
        <v>0</v>
      </c>
      <c r="AA12" s="51">
        <f>SUM(IFERROR(_xlfn.XLOOKUP($D12,Domestic!$C:$C,Domestic!T:T),0),IFERROR(_xlfn.XLOOKUP($D12,'INT-_Manjiri'!$C:$C,'INT-_Manjiri'!S:S),0),IFERROR(_xlfn.XLOOKUP($D12,'USA-_Sea_shipment'!$C:$C,'USA-_Sea_shipment'!S:S),0),IFERROR(_xlfn.XLOOKUP($D12,Amazon_USA_Sea!$C:$C,Amazon_USA_Sea!S:S),0),IFERROR(_xlfn.XLOOKUP($D12,USA_Air_Shipment!$C:$C,USA_Air_Shipment!R:R),0),IFERROR(_xlfn.XLOOKUP($D12,Amazon_USA_Air_Shipment!$C:$C,Amazon_USA_Air_Shipment!R:R),0),IFERROR(_xlfn.XLOOKUP($D12,MENA!$C:$C,MENA!R:R),0),IFERROR(_xlfn.XLOOKUP($D12,UK!$C:$C,UK!R:R),0),IFERROR(_xlfn.XLOOKUP($D12,BMM_Order!$C:$C,BMM_Order!R:R),0),IFERROR(_xlfn.XLOOKUP($D12,'Adhoc-_Backlog'!$C:$C,'Adhoc-_Backlog'!T:T),0))</f>
        <v>0</v>
      </c>
      <c r="AB12" s="51">
        <f>SUM(IFERROR(_xlfn.XLOOKUP($D12,Domestic!$C:$C,Domestic!U:U),0),IFERROR(_xlfn.XLOOKUP($D12,'INT-_Manjiri'!$C:$C,'INT-_Manjiri'!T:T),0),IFERROR(_xlfn.XLOOKUP($D12,'USA-_Sea_shipment'!$C:$C,'USA-_Sea_shipment'!T:T),0),IFERROR(_xlfn.XLOOKUP($D12,Amazon_USA_Sea!$C:$C,Amazon_USA_Sea!T:T),0),IFERROR(_xlfn.XLOOKUP($D12,USA_Air_Shipment!$C:$C,USA_Air_Shipment!S:S),0),IFERROR(_xlfn.XLOOKUP($D12,Amazon_USA_Air_Shipment!$C:$C,Amazon_USA_Air_Shipment!S:S),0),IFERROR(_xlfn.XLOOKUP($D12,MENA!$C:$C,MENA!S:S),0),IFERROR(_xlfn.XLOOKUP($D12,UK!$C:$C,UK!S:S),0),IFERROR(_xlfn.XLOOKUP($D12,BMM_Order!$C:$C,BMM_Order!S:S),0),IFERROR(_xlfn.XLOOKUP($D12,'Adhoc-_Backlog'!$C:$C,'Adhoc-_Backlog'!U:U),0))</f>
        <v>576</v>
      </c>
      <c r="AC12" s="51">
        <f>SUM(IFERROR(_xlfn.XLOOKUP($D12,Domestic!$C:$C,Domestic!V:V),0),IFERROR(_xlfn.XLOOKUP($D12,'INT-_Manjiri'!$C:$C,'INT-_Manjiri'!U:U),0),IFERROR(_xlfn.XLOOKUP($D12,'USA-_Sea_shipment'!$C:$C,'USA-_Sea_shipment'!U:U),0),IFERROR(_xlfn.XLOOKUP($D12,Amazon_USA_Sea!$C:$C,Amazon_USA_Sea!U:U),0),IFERROR(_xlfn.XLOOKUP($D12,USA_Air_Shipment!$C:$C,USA_Air_Shipment!T:T),0),IFERROR(_xlfn.XLOOKUP($D12,Amazon_USA_Air_Shipment!$C:$C,Amazon_USA_Air_Shipment!T:T),0),IFERROR(_xlfn.XLOOKUP($D12,MENA!$C:$C,MENA!T:T),0),IFERROR(_xlfn.XLOOKUP($D12,UK!$C:$C,UK!T:T),0),IFERROR(_xlfn.XLOOKUP($D12,BMM_Order!$C:$C,BMM_Order!T:T),0),IFERROR(_xlfn.XLOOKUP($D12,'Adhoc-_Backlog'!$C:$C,'Adhoc-_Backlog'!V:V),0))</f>
        <v>0</v>
      </c>
      <c r="AD12" s="51">
        <f>SUM(IFERROR(_xlfn.XLOOKUP($D12,Domestic!$C:$C,Domestic!W:W),0),IFERROR(_xlfn.XLOOKUP($D12,'INT-_Manjiri'!$C:$C,'INT-_Manjiri'!V:V),0),IFERROR(_xlfn.XLOOKUP($D12,'USA-_Sea_shipment'!$C:$C,'USA-_Sea_shipment'!V:V),0),IFERROR(_xlfn.XLOOKUP($D12,Amazon_USA_Sea!$C:$C,Amazon_USA_Sea!V:V),0),IFERROR(_xlfn.XLOOKUP($D12,USA_Air_Shipment!$C:$C,USA_Air_Shipment!U:U),0),IFERROR(_xlfn.XLOOKUP($D12,Amazon_USA_Air_Shipment!$C:$C,Amazon_USA_Air_Shipment!U:U),0),IFERROR(_xlfn.XLOOKUP($D12,MENA!$C:$C,MENA!U:U),0),IFERROR(_xlfn.XLOOKUP($D12,UK!$C:$C,UK!U:U),0),IFERROR(_xlfn.XLOOKUP($D12,BMM_Order!$C:$C,BMM_Order!U:U),0),IFERROR(_xlfn.XLOOKUP($D12,'Adhoc-_Backlog'!$C:$C,'Adhoc-_Backlog'!W:W),0))</f>
        <v>69</v>
      </c>
      <c r="AE12" s="51">
        <f>SUM(IFERROR(_xlfn.XLOOKUP($D12,Domestic!$C:$C,Domestic!X:X),0),IFERROR(_xlfn.XLOOKUP($D12,'INT-_Manjiri'!$C:$C,'INT-_Manjiri'!W:W),0),IFERROR(_xlfn.XLOOKUP($D12,'USA-_Sea_shipment'!$C:$C,'USA-_Sea_shipment'!W:W),0),IFERROR(_xlfn.XLOOKUP($D12,Amazon_USA_Sea!$C:$C,Amazon_USA_Sea!W:W),0),IFERROR(_xlfn.XLOOKUP($D12,USA_Air_Shipment!$C:$C,USA_Air_Shipment!V:V),0),IFERROR(_xlfn.XLOOKUP($D12,Amazon_USA_Air_Shipment!$C:$C,Amazon_USA_Air_Shipment!V:V),0),IFERROR(_xlfn.XLOOKUP($D12,MENA!$C:$C,MENA!V:V),0),IFERROR(_xlfn.XLOOKUP($D12,UK!$C:$C,UK!V:V),0),IFERROR(_xlfn.XLOOKUP($D12,BMM_Order!$C:$C,BMM_Order!V:V),0),IFERROR(_xlfn.XLOOKUP($D12,'Adhoc-_Backlog'!$C:$C,'Adhoc-_Backlog'!X:X),0))</f>
        <v>0</v>
      </c>
      <c r="AF12" s="51">
        <f>SUM(IFERROR(_xlfn.XLOOKUP($D12,Domestic!$C:$C,Domestic!Y:Y),0),IFERROR(_xlfn.XLOOKUP($D12,'INT-_Manjiri'!$C:$C,'INT-_Manjiri'!X:X),0),IFERROR(_xlfn.XLOOKUP($D12,'USA-_Sea_shipment'!$C:$C,'USA-_Sea_shipment'!X:X),0),IFERROR(_xlfn.XLOOKUP($D12,Amazon_USA_Sea!$C:$C,Amazon_USA_Sea!X:X),0),IFERROR(_xlfn.XLOOKUP($D12,USA_Air_Shipment!$C:$C,USA_Air_Shipment!W:W),0),IFERROR(_xlfn.XLOOKUP($D12,Amazon_USA_Air_Shipment!$C:$C,Amazon_USA_Air_Shipment!W:W),0),IFERROR(_xlfn.XLOOKUP($D12,MENA!$C:$C,MENA!W:W),0),IFERROR(_xlfn.XLOOKUP($D12,UK!$C:$C,UK!W:W),0),IFERROR(_xlfn.XLOOKUP($D12,BMM_Order!$C:$C,BMM_Order!W:W),0),IFERROR(_xlfn.XLOOKUP($D12,'Adhoc-_Backlog'!$C:$C,'Adhoc-_Backlog'!Y:Y),0))</f>
        <v>0</v>
      </c>
      <c r="AG12" s="51">
        <f>SUM(IFERROR(_xlfn.XLOOKUP($D12,Domestic!$C:$C,Domestic!Z:Z),0),IFERROR(_xlfn.XLOOKUP($D12,'INT-_Manjiri'!$C:$C,'INT-_Manjiri'!Y:Y),0),IFERROR(_xlfn.XLOOKUP($D12,'USA-_Sea_shipment'!$C:$C,'USA-_Sea_shipment'!Y:Y),0),IFERROR(_xlfn.XLOOKUP($D12,Amazon_USA_Sea!$C:$C,Amazon_USA_Sea!Y:Y),0),IFERROR(_xlfn.XLOOKUP($D12,USA_Air_Shipment!$C:$C,USA_Air_Shipment!X:X),0),IFERROR(_xlfn.XLOOKUP($D12,Amazon_USA_Air_Shipment!$C:$C,Amazon_USA_Air_Shipment!X:X),0),IFERROR(_xlfn.XLOOKUP($D12,MENA!$C:$C,MENA!X:X),0),IFERROR(_xlfn.XLOOKUP($D12,UK!$C:$C,UK!X:X),0),IFERROR(_xlfn.XLOOKUP($D12,BMM_Order!$C:$C,BMM_Order!X:X),0),IFERROR(_xlfn.XLOOKUP($D12,'Adhoc-_Backlog'!$C:$C,'Adhoc-_Backlog'!Z:Z),0))</f>
        <v>282</v>
      </c>
      <c r="AH12" s="51">
        <f>SUM(IFERROR(_xlfn.XLOOKUP($D12,Domestic!$C:$C,Domestic!AA:AA),0),IFERROR(_xlfn.XLOOKUP($D12,'INT-_Manjiri'!$C:$C,'INT-_Manjiri'!Z:Z),0),IFERROR(_xlfn.XLOOKUP($D12,'USA-_Sea_shipment'!$C:$C,'USA-_Sea_shipment'!Z:Z),0),IFERROR(_xlfn.XLOOKUP($D12,Amazon_USA_Sea!$C:$C,Amazon_USA_Sea!Z:Z),0),IFERROR(_xlfn.XLOOKUP($D12,USA_Air_Shipment!$C:$C,USA_Air_Shipment!Y:Y),0),IFERROR(_xlfn.XLOOKUP($D12,Amazon_USA_Air_Shipment!$C:$C,Amazon_USA_Air_Shipment!Y:Y),0),IFERROR(_xlfn.XLOOKUP($D12,MENA!$C:$C,MENA!Y:Y),0),IFERROR(_xlfn.XLOOKUP($D12,UK!$C:$C,UK!Y:Y),0),IFERROR(_xlfn.XLOOKUP($D12,BMM_Order!$C:$C,BMM_Order!Y:Y),0),IFERROR(_xlfn.XLOOKUP($D12,'Adhoc-_Backlog'!$C:$C,'Adhoc-_Backlog'!AA:AA),0))</f>
        <v>0</v>
      </c>
      <c r="AI12" s="51">
        <f>SUM(IFERROR(_xlfn.XLOOKUP($D12,Domestic!$C:$C,Domestic!AB:AB),0),IFERROR(_xlfn.XLOOKUP($D12,'INT-_Manjiri'!$C:$C,'INT-_Manjiri'!AA:AA),0),IFERROR(_xlfn.XLOOKUP($D12,'USA-_Sea_shipment'!$C:$C,'USA-_Sea_shipment'!AA:AA),0),IFERROR(_xlfn.XLOOKUP($D12,Amazon_USA_Sea!$C:$C,Amazon_USA_Sea!AA:AA),0),IFERROR(_xlfn.XLOOKUP($D12,USA_Air_Shipment!$C:$C,USA_Air_Shipment!Z:Z),0),IFERROR(_xlfn.XLOOKUP($D12,Amazon_USA_Air_Shipment!$C:$C,Amazon_USA_Air_Shipment!Z:Z),0),IFERROR(_xlfn.XLOOKUP($D12,MENA!$C:$C,MENA!Z:Z),0),IFERROR(_xlfn.XLOOKUP($D12,UK!$C:$C,UK!Z:Z),0),IFERROR(_xlfn.XLOOKUP($D12,BMM_Order!$C:$C,BMM_Order!Z:Z),0),IFERROR(_xlfn.XLOOKUP($D12,'Adhoc-_Backlog'!$C:$C,'Adhoc-_Backlog'!AB:AB),0))</f>
        <v>280</v>
      </c>
      <c r="AJ12" s="51">
        <f>SUM(IFERROR(_xlfn.XLOOKUP($D12,Domestic!$C:$C,Domestic!AC:AC),0),IFERROR(_xlfn.XLOOKUP($D12,'INT-_Manjiri'!$C:$C,'INT-_Manjiri'!AB:AB),0),IFERROR(_xlfn.XLOOKUP($D12,'USA-_Sea_shipment'!$C:$C,'USA-_Sea_shipment'!AB:AB),0),IFERROR(_xlfn.XLOOKUP($D12,Amazon_USA_Sea!$C:$C,Amazon_USA_Sea!AB:AB),0),IFERROR(_xlfn.XLOOKUP($D12,USA_Air_Shipment!$C:$C,USA_Air_Shipment!AA:AA),0),IFERROR(_xlfn.XLOOKUP($D12,Amazon_USA_Air_Shipment!$C:$C,Amazon_USA_Air_Shipment!AA:AA),0),IFERROR(_xlfn.XLOOKUP($D12,MENA!$C:$C,MENA!AA:AA),0),IFERROR(_xlfn.XLOOKUP($D12,UK!$C:$C,UK!AA:AA),0),IFERROR(_xlfn.XLOOKUP($D12,BMM_Order!$C:$C,BMM_Order!AA:AA),0),IFERROR(_xlfn.XLOOKUP($D12,'Adhoc-_Backlog'!$C:$C,'Adhoc-_Backlog'!AC:AC),0))</f>
        <v>424</v>
      </c>
      <c r="AK12" s="51">
        <f>SUM(IFERROR(_xlfn.XLOOKUP($D12,Domestic!$C:$C,Domestic!AD:AD),0),IFERROR(_xlfn.XLOOKUP($D12,'INT-_Manjiri'!$C:$C,'INT-_Manjiri'!AC:AC),0),IFERROR(_xlfn.XLOOKUP($D12,'USA-_Sea_shipment'!$C:$C,'USA-_Sea_shipment'!AC:AC),0),IFERROR(_xlfn.XLOOKUP($D12,Amazon_USA_Sea!$C:$C,Amazon_USA_Sea!AC:AC),0),IFERROR(_xlfn.XLOOKUP($D12,USA_Air_Shipment!$C:$C,USA_Air_Shipment!AB:AB),0),IFERROR(_xlfn.XLOOKUP($D12,Amazon_USA_Air_Shipment!$C:$C,Amazon_USA_Air_Shipment!AB:AB),0),IFERROR(_xlfn.XLOOKUP($D12,MENA!$C:$C,MENA!AB:AB),0),IFERROR(_xlfn.XLOOKUP($D12,UK!$C:$C,UK!AB:AB),0),IFERROR(_xlfn.XLOOKUP($D12,BMM_Order!$C:$C,BMM_Order!AB:AB),0),IFERROR(_xlfn.XLOOKUP($D12,'Adhoc-_Backlog'!$C:$C,'Adhoc-_Backlog'!AD:AD),0))</f>
        <v>0</v>
      </c>
      <c r="AL12" s="51">
        <f>SUM(IFERROR(_xlfn.XLOOKUP($D12,Domestic!$C:$C,Domestic!AE:AE),0),IFERROR(_xlfn.XLOOKUP($D12,'INT-_Manjiri'!$C:$C,'INT-_Manjiri'!AD:AD),0),IFERROR(_xlfn.XLOOKUP($D12,'USA-_Sea_shipment'!$C:$C,'USA-_Sea_shipment'!AD:AD),0),IFERROR(_xlfn.XLOOKUP($D12,Amazon_USA_Sea!$C:$C,Amazon_USA_Sea!AD:AD),0),IFERROR(_xlfn.XLOOKUP($D12,USA_Air_Shipment!$C:$C,USA_Air_Shipment!AC:AC),0),IFERROR(_xlfn.XLOOKUP($D12,Amazon_USA_Air_Shipment!$C:$C,Amazon_USA_Air_Shipment!AC:AC),0),IFERROR(_xlfn.XLOOKUP($D12,MENA!$C:$C,MENA!AC:AC),0),IFERROR(_xlfn.XLOOKUP($D12,UK!$C:$C,UK!AC:AC),0),IFERROR(_xlfn.XLOOKUP($D12,BMM_Order!$C:$C,BMM_Order!AC:AC),0),IFERROR(_xlfn.XLOOKUP($D12,'Adhoc-_Backlog'!$C:$C,'Adhoc-_Backlog'!AE:AE),0))</f>
        <v>280</v>
      </c>
      <c r="AM12" s="51">
        <f>SUM(IFERROR(_xlfn.XLOOKUP($D12,Domestic!$C:$C,Domestic!AF:AF),0),IFERROR(_xlfn.XLOOKUP($D12,'INT-_Manjiri'!$C:$C,'INT-_Manjiri'!AE:AE),0),IFERROR(_xlfn.XLOOKUP($D12,'USA-_Sea_shipment'!$C:$C,'USA-_Sea_shipment'!AE:AE),0),IFERROR(_xlfn.XLOOKUP($D12,Amazon_USA_Sea!$C:$C,Amazon_USA_Sea!AE:AE),0),IFERROR(_xlfn.XLOOKUP($D12,USA_Air_Shipment!$C:$C,USA_Air_Shipment!AD:AD),0),IFERROR(_xlfn.XLOOKUP($D12,Amazon_USA_Air_Shipment!$C:$C,Amazon_USA_Air_Shipment!AD:AD),0),IFERROR(_xlfn.XLOOKUP($D12,MENA!$C:$C,MENA!AD:AD),0),IFERROR(_xlfn.XLOOKUP($D12,UK!$C:$C,UK!AD:AD),0),IFERROR(_xlfn.XLOOKUP($D12,BMM_Order!$C:$C,BMM_Order!AD:AD),0),IFERROR(_xlfn.XLOOKUP($D12,'Adhoc-_Backlog'!$C:$C,'Adhoc-_Backlog'!AF:AF),0))</f>
        <v>0</v>
      </c>
      <c r="AN12" s="51">
        <f>SUM(IFERROR(_xlfn.XLOOKUP($D12,Domestic!$C:$C,Domestic!AG:AG),0),IFERROR(_xlfn.XLOOKUP($D12,'INT-_Manjiri'!$C:$C,'INT-_Manjiri'!AF:AF),0),IFERROR(_xlfn.XLOOKUP($D12,'USA-_Sea_shipment'!$C:$C,'USA-_Sea_shipment'!AF:AF),0),IFERROR(_xlfn.XLOOKUP($D12,Amazon_USA_Sea!$C:$C,Amazon_USA_Sea!AF:AF),0),IFERROR(_xlfn.XLOOKUP($D12,USA_Air_Shipment!$C:$C,USA_Air_Shipment!AE:AE),0),IFERROR(_xlfn.XLOOKUP($D12,Amazon_USA_Air_Shipment!$C:$C,Amazon_USA_Air_Shipment!AE:AE),0),IFERROR(_xlfn.XLOOKUP($D12,MENA!$C:$C,MENA!AE:AE),0),IFERROR(_xlfn.XLOOKUP($D12,UK!$C:$C,UK!AE:AE),0),IFERROR(_xlfn.XLOOKUP($D12,BMM_Order!$C:$C,BMM_Order!AE:AE),0),IFERROR(_xlfn.XLOOKUP($D12,'Adhoc-_Backlog'!$C:$C,'Adhoc-_Backlog'!AG:AG),0))</f>
        <v>0</v>
      </c>
      <c r="AO12" s="51">
        <f>SUM(IFERROR(_xlfn.XLOOKUP($D12,Domestic!$C:$C,Domestic!AH:AH),0),IFERROR(_xlfn.XLOOKUP($D12,'INT-_Manjiri'!$C:$C,'INT-_Manjiri'!AG:AG),0),IFERROR(_xlfn.XLOOKUP($D12,'USA-_Sea_shipment'!$C:$C,'USA-_Sea_shipment'!AG:AG),0),IFERROR(_xlfn.XLOOKUP($D12,Amazon_USA_Sea!$C:$C,Amazon_USA_Sea!AG:AG),0),IFERROR(_xlfn.XLOOKUP($D12,USA_Air_Shipment!$C:$C,USA_Air_Shipment!AF:AF),0),IFERROR(_xlfn.XLOOKUP($D12,Amazon_USA_Air_Shipment!$C:$C,Amazon_USA_Air_Shipment!AF:AF),0),IFERROR(_xlfn.XLOOKUP($D12,MENA!$C:$C,MENA!AF:AF),0),IFERROR(_xlfn.XLOOKUP($D12,UK!$C:$C,UK!AF:AF),0),IFERROR(_xlfn.XLOOKUP($D12,BMM_Order!$C:$C,BMM_Order!AF:AF),0),IFERROR(_xlfn.XLOOKUP($D12,'Adhoc-_Backlog'!$C:$C,'Adhoc-_Backlog'!AH:AH),0))</f>
        <v>62</v>
      </c>
      <c r="AP12" s="51">
        <f>SUM(IFERROR(_xlfn.XLOOKUP($D12,Domestic!$C:$C,Domestic!AI:AI),0),IFERROR(_xlfn.XLOOKUP($D12,'INT-_Manjiri'!$C:$C,'INT-_Manjiri'!AH:AH),0),IFERROR(_xlfn.XLOOKUP($D12,'USA-_Sea_shipment'!$C:$C,'USA-_Sea_shipment'!AH:AH),0),IFERROR(_xlfn.XLOOKUP($D12,Amazon_USA_Sea!$C:$C,Amazon_USA_Sea!AH:AH),0),IFERROR(_xlfn.XLOOKUP($D12,USA_Air_Shipment!$C:$C,USA_Air_Shipment!AG:AG),0),IFERROR(_xlfn.XLOOKUP($D12,Amazon_USA_Air_Shipment!$C:$C,Amazon_USA_Air_Shipment!AG:AG),0),IFERROR(_xlfn.XLOOKUP($D12,MENA!$C:$C,MENA!AG:AG),0),IFERROR(_xlfn.XLOOKUP($D12,UK!$C:$C,UK!AG:AG),0),IFERROR(_xlfn.XLOOKUP($D12,BMM_Order!$C:$C,BMM_Order!AG:AG),0),IFERROR(_xlfn.XLOOKUP($D12,'Adhoc-_Backlog'!$C:$C,'Adhoc-_Backlog'!AI:AI),0))</f>
        <v>61</v>
      </c>
      <c r="AQ12" s="51">
        <f>SUM(IFERROR(_xlfn.XLOOKUP($D12,Domestic!$C:$C,Domestic!AJ:AJ),0),IFERROR(_xlfn.XLOOKUP($D12,'INT-_Manjiri'!$C:$C,'INT-_Manjiri'!AI:AI),0),IFERROR(_xlfn.XLOOKUP($D12,'USA-_Sea_shipment'!$C:$C,'USA-_Sea_shipment'!AI:AI),0),IFERROR(_xlfn.XLOOKUP($D12,Amazon_USA_Sea!$C:$C,Amazon_USA_Sea!AI:AI),0),IFERROR(_xlfn.XLOOKUP($D12,USA_Air_Shipment!$C:$C,USA_Air_Shipment!AH:AH),0),IFERROR(_xlfn.XLOOKUP($D12,Amazon_USA_Air_Shipment!$C:$C,Amazon_USA_Air_Shipment!AH:AH),0),IFERROR(_xlfn.XLOOKUP($D12,MENA!$C:$C,MENA!AH:AH),0),IFERROR(_xlfn.XLOOKUP($D12,UK!$C:$C,UK!AH:AH),0),IFERROR(_xlfn.XLOOKUP($D12,BMM_Order!$C:$C,BMM_Order!AH:AH),0),IFERROR(_xlfn.XLOOKUP($D12,'Adhoc-_Backlog'!$C:$C,'Adhoc-_Backlog'!AJ:AJ),0))</f>
        <v>0</v>
      </c>
      <c r="AR12" s="51">
        <f>SUM(IFERROR(_xlfn.XLOOKUP($D12,Domestic!$C:$C,Domestic!AK:AK),0),IFERROR(_xlfn.XLOOKUP($D12,'INT-_Manjiri'!$C:$C,'INT-_Manjiri'!AJ:AJ),0),IFERROR(_xlfn.XLOOKUP($D12,'USA-_Sea_shipment'!$C:$C,'USA-_Sea_shipment'!AJ:AJ),0),IFERROR(_xlfn.XLOOKUP($D12,Amazon_USA_Sea!$C:$C,Amazon_USA_Sea!AJ:AJ),0),IFERROR(_xlfn.XLOOKUP($D12,USA_Air_Shipment!$C:$C,USA_Air_Shipment!AI:AI),0),IFERROR(_xlfn.XLOOKUP($D12,Amazon_USA_Air_Shipment!$C:$C,Amazon_USA_Air_Shipment!AI:AI),0),IFERROR(_xlfn.XLOOKUP($D12,MENA!$C:$C,MENA!AI:AI),0),IFERROR(_xlfn.XLOOKUP($D12,UK!$C:$C,UK!AI:AI),0),IFERROR(_xlfn.XLOOKUP($D12,BMM_Order!$C:$C,BMM_Order!AI:AI),0),IFERROR(_xlfn.XLOOKUP($D12,'Adhoc-_Backlog'!$C:$C,'Adhoc-_Backlog'!AK:AK),0))</f>
        <v>0</v>
      </c>
      <c r="AS12" s="51">
        <f>SUM(IFERROR(_xlfn.XLOOKUP($D12,Domestic!$C:$C,Domestic!AL:AL),0),IFERROR(_xlfn.XLOOKUP($D12,'INT-_Manjiri'!$C:$C,'INT-_Manjiri'!AK:AK),0),IFERROR(_xlfn.XLOOKUP($D12,'USA-_Sea_shipment'!$C:$C,'USA-_Sea_shipment'!AK:AK),0),IFERROR(_xlfn.XLOOKUP($D12,Amazon_USA_Sea!$C:$C,Amazon_USA_Sea!AK:AK),0),IFERROR(_xlfn.XLOOKUP($D12,USA_Air_Shipment!$C:$C,USA_Air_Shipment!AJ:AJ),0),IFERROR(_xlfn.XLOOKUP($D12,Amazon_USA_Air_Shipment!$C:$C,Amazon_USA_Air_Shipment!AJ:AJ),0),IFERROR(_xlfn.XLOOKUP($D12,MENA!$C:$C,MENA!AJ:AJ),0),IFERROR(_xlfn.XLOOKUP($D12,UK!$C:$C,UK!AJ:AJ),0),IFERROR(_xlfn.XLOOKUP($D12,BMM_Order!$C:$C,BMM_Order!AJ:AJ),0),IFERROR(_xlfn.XLOOKUP($D12,'Adhoc-_Backlog'!$C:$C,'Adhoc-_Backlog'!AL:AL),0))</f>
        <v>0</v>
      </c>
      <c r="AT12" s="51">
        <f>SUM(IFERROR(_xlfn.XLOOKUP($D12,Domestic!$C:$C,Domestic!AM:AM),0),IFERROR(_xlfn.XLOOKUP($D12,'INT-_Manjiri'!$C:$C,'INT-_Manjiri'!AL:AL),0),IFERROR(_xlfn.XLOOKUP($D12,'USA-_Sea_shipment'!$C:$C,'USA-_Sea_shipment'!AL:AL),0),IFERROR(_xlfn.XLOOKUP($D12,Amazon_USA_Sea!$C:$C,Amazon_USA_Sea!AL:AL),0),IFERROR(_xlfn.XLOOKUP($D12,USA_Air_Shipment!$C:$C,USA_Air_Shipment!AK:AK),0),IFERROR(_xlfn.XLOOKUP($D12,Amazon_USA_Air_Shipment!$C:$C,Amazon_USA_Air_Shipment!AK:AK),0),IFERROR(_xlfn.XLOOKUP($D12,MENA!$C:$C,MENA!AK:AK),0),IFERROR(_xlfn.XLOOKUP($D12,UK!$C:$C,UK!AK:AK),0),IFERROR(_xlfn.XLOOKUP($D12,BMM_Order!$C:$C,BMM_Order!AK:AK),0),IFERROR(_xlfn.XLOOKUP($D12,'Adhoc-_Backlog'!$C:$C,'Adhoc-_Backlog'!AM:AM),0))</f>
        <v>0</v>
      </c>
      <c r="AU12" s="51">
        <f>SUM(IFERROR(_xlfn.XLOOKUP($D12,Domestic!$C:$C,Domestic!AN:AN),0),IFERROR(_xlfn.XLOOKUP($D12,'INT-_Manjiri'!$C:$C,'INT-_Manjiri'!AM:AM),0),IFERROR(_xlfn.XLOOKUP($D12,'USA-_Sea_shipment'!$C:$C,'USA-_Sea_shipment'!AM:AM),0),IFERROR(_xlfn.XLOOKUP($D12,Amazon_USA_Sea!$C:$C,Amazon_USA_Sea!AM:AM),0),IFERROR(_xlfn.XLOOKUP($D12,USA_Air_Shipment!$C:$C,USA_Air_Shipment!AL:AL),0),IFERROR(_xlfn.XLOOKUP($D12,Amazon_USA_Air_Shipment!$C:$C,Amazon_USA_Air_Shipment!AL:AL),0),IFERROR(_xlfn.XLOOKUP($D12,MENA!$C:$C,MENA!AL:AL),0),IFERROR(_xlfn.XLOOKUP($D12,UK!$C:$C,UK!AL:AL),0),IFERROR(_xlfn.XLOOKUP($D12,BMM_Order!$C:$C,BMM_Order!AL:AL),0),IFERROR(_xlfn.XLOOKUP($D12,'Adhoc-_Backlog'!$C:$C,'Adhoc-_Backlog'!AN:AN),0))</f>
        <v>0</v>
      </c>
      <c r="AV12" s="51">
        <f>SUM(IFERROR(_xlfn.XLOOKUP($D12,Domestic!$C:$C,Domestic!AO:AO),0),IFERROR(_xlfn.XLOOKUP($D12,'INT-_Manjiri'!$C:$C,'INT-_Manjiri'!AN:AN),0),IFERROR(_xlfn.XLOOKUP($D12,'USA-_Sea_shipment'!$C:$C,'USA-_Sea_shipment'!AN:AN),0),IFERROR(_xlfn.XLOOKUP($D12,Amazon_USA_Sea!$C:$C,Amazon_USA_Sea!AN:AN),0),IFERROR(_xlfn.XLOOKUP($D12,USA_Air_Shipment!$C:$C,USA_Air_Shipment!AM:AM),0),IFERROR(_xlfn.XLOOKUP($D12,Amazon_USA_Air_Shipment!$C:$C,Amazon_USA_Air_Shipment!AM:AM),0),IFERROR(_xlfn.XLOOKUP($D12,MENA!$C:$C,MENA!AM:AM),0),IFERROR(_xlfn.XLOOKUP($D12,UK!$C:$C,UK!AM:AM),0),IFERROR(_xlfn.XLOOKUP($D12,BMM_Order!$C:$C,BMM_Order!AM:AM),0),IFERROR(_xlfn.XLOOKUP($D12,'Adhoc-_Backlog'!$C:$C,'Adhoc-_Backlog'!AO:AO),0))</f>
        <v>105</v>
      </c>
      <c r="AW12" s="51">
        <f>SUM(IFERROR(_xlfn.XLOOKUP($D12,Domestic!$C:$C,Domestic!AP:AP),0),IFERROR(_xlfn.XLOOKUP($D12,'INT-_Manjiri'!$C:$C,'INT-_Manjiri'!AO:AO),0),IFERROR(_xlfn.XLOOKUP($D12,'USA-_Sea_shipment'!$C:$C,'USA-_Sea_shipment'!AO:AO),0),IFERROR(_xlfn.XLOOKUP($D12,Amazon_USA_Sea!$C:$C,Amazon_USA_Sea!AO:AO),0),IFERROR(_xlfn.XLOOKUP($D12,USA_Air_Shipment!$C:$C,USA_Air_Shipment!AN:AN),0),IFERROR(_xlfn.XLOOKUP($D12,Amazon_USA_Air_Shipment!$C:$C,Amazon_USA_Air_Shipment!AN:AN),0),IFERROR(_xlfn.XLOOKUP($D12,MENA!$C:$C,MENA!AN:AN),0),IFERROR(_xlfn.XLOOKUP($D12,UK!$C:$C,UK!AN:AN),0),IFERROR(_xlfn.XLOOKUP($D12,BMM_Order!$C:$C,BMM_Order!AN:AN),0),IFERROR(_xlfn.XLOOKUP($D12,'Adhoc-_Backlog'!$C:$C,'Adhoc-_Backlog'!AP:AP),0))</f>
        <v>0</v>
      </c>
      <c r="AX12" s="51">
        <f>SUM(IFERROR(_xlfn.XLOOKUP($D12,Domestic!$C:$C,Domestic!AQ:AQ),0),IFERROR(_xlfn.XLOOKUP($D12,'INT-_Manjiri'!$C:$C,'INT-_Manjiri'!AP:AP),0),IFERROR(_xlfn.XLOOKUP($D12,'USA-_Sea_shipment'!$C:$C,'USA-_Sea_shipment'!AP:AP),0),IFERROR(_xlfn.XLOOKUP($D12,Amazon_USA_Sea!$C:$C,Amazon_USA_Sea!AP:AP),0),IFERROR(_xlfn.XLOOKUP($D12,USA_Air_Shipment!$C:$C,USA_Air_Shipment!AO:AO),0),IFERROR(_xlfn.XLOOKUP($D12,Amazon_USA_Air_Shipment!$C:$C,Amazon_USA_Air_Shipment!AO:AO),0),IFERROR(_xlfn.XLOOKUP($D12,MENA!$C:$C,MENA!AO:AO),0),IFERROR(_xlfn.XLOOKUP($D12,UK!$C:$C,UK!AO:AO),0),IFERROR(_xlfn.XLOOKUP($D12,BMM_Order!$C:$C,BMM_Order!AO:AO),0),IFERROR(_xlfn.XLOOKUP($D12,'Adhoc-_Backlog'!$C:$C,'Adhoc-_Backlog'!AQ:AQ),0))</f>
        <v>0</v>
      </c>
      <c r="AY12" s="51">
        <f>SUM(IFERROR(_xlfn.XLOOKUP($D12,Domestic!$C:$C,Domestic!AR:AR),0),IFERROR(_xlfn.XLOOKUP($D12,'INT-_Manjiri'!$C:$C,'INT-_Manjiri'!AQ:AQ),0),IFERROR(_xlfn.XLOOKUP($D12,'USA-_Sea_shipment'!$C:$C,'USA-_Sea_shipment'!AQ:AQ),0),IFERROR(_xlfn.XLOOKUP($D12,Amazon_USA_Sea!$C:$C,Amazon_USA_Sea!AQ:AQ),0),IFERROR(_xlfn.XLOOKUP($D12,USA_Air_Shipment!$C:$C,USA_Air_Shipment!AP:AP),0),IFERROR(_xlfn.XLOOKUP($D12,Amazon_USA_Air_Shipment!$C:$C,Amazon_USA_Air_Shipment!AP:AP),0),IFERROR(_xlfn.XLOOKUP($D12,MENA!$C:$C,MENA!AP:AP),0),IFERROR(_xlfn.XLOOKUP($D12,UK!$C:$C,UK!AP:AP),0),IFERROR(_xlfn.XLOOKUP($D12,BMM_Order!$C:$C,BMM_Order!AP:AP),0),IFERROR(_xlfn.XLOOKUP($D12,'Adhoc-_Backlog'!$C:$C,'Adhoc-_Backlog'!AR:AR),0))</f>
        <v>0</v>
      </c>
      <c r="AZ12" s="51">
        <f>SUM(IFERROR(_xlfn.XLOOKUP($D12,Domestic!$C:$C,Domestic!AS:AS),0),IFERROR(_xlfn.XLOOKUP($D12,'INT-_Manjiri'!$C:$C,'INT-_Manjiri'!AR:AR),0),IFERROR(_xlfn.XLOOKUP($D12,'USA-_Sea_shipment'!$C:$C,'USA-_Sea_shipment'!AR:AR),0),IFERROR(_xlfn.XLOOKUP($D12,Amazon_USA_Sea!$C:$C,Amazon_USA_Sea!AR:AR),0),IFERROR(_xlfn.XLOOKUP($D12,USA_Air_Shipment!$C:$C,USA_Air_Shipment!AQ:AQ),0),IFERROR(_xlfn.XLOOKUP($D12,Amazon_USA_Air_Shipment!$C:$C,Amazon_USA_Air_Shipment!AQ:AQ),0),IFERROR(_xlfn.XLOOKUP($D12,MENA!$C:$C,MENA!AQ:AQ),0),IFERROR(_xlfn.XLOOKUP($D12,UK!$C:$C,UK!AQ:AQ),0),IFERROR(_xlfn.XLOOKUP($D12,BMM_Order!$C:$C,BMM_Order!AQ:AQ),0),IFERROR(_xlfn.XLOOKUP($D12,'Adhoc-_Backlog'!$C:$C,'Adhoc-_Backlog'!AS:AS),0))</f>
        <v>0</v>
      </c>
      <c r="BA12" s="51">
        <f>SUM(IFERROR(_xlfn.XLOOKUP($D12,Domestic!$C:$C,Domestic!AT:AT),0),IFERROR(_xlfn.XLOOKUP($D12,'INT-_Manjiri'!$C:$C,'INT-_Manjiri'!AS:AS),0),IFERROR(_xlfn.XLOOKUP($D12,'USA-_Sea_shipment'!$C:$C,'USA-_Sea_shipment'!AS:AS),0),IFERROR(_xlfn.XLOOKUP($D12,Amazon_USA_Sea!$C:$C,Amazon_USA_Sea!AS:AS),0),IFERROR(_xlfn.XLOOKUP($D12,USA_Air_Shipment!$C:$C,USA_Air_Shipment!AR:AR),0),IFERROR(_xlfn.XLOOKUP($D12,Amazon_USA_Air_Shipment!$C:$C,Amazon_USA_Air_Shipment!AR:AR),0),IFERROR(_xlfn.XLOOKUP($D12,MENA!$C:$C,MENA!AR:AR),0),IFERROR(_xlfn.XLOOKUP($D12,UK!$C:$C,UK!AR:AR),0),IFERROR(_xlfn.XLOOKUP($D12,BMM_Order!$C:$C,BMM_Order!AR:AR),0),IFERROR(_xlfn.XLOOKUP($D12,'Adhoc-_Backlog'!$C:$C,'Adhoc-_Backlog'!AT:AT),0))</f>
        <v>0</v>
      </c>
      <c r="BB12" s="52">
        <f t="shared" si="2"/>
        <v>2331</v>
      </c>
      <c r="BC12" s="53">
        <f t="shared" si="3"/>
        <v>2331</v>
      </c>
      <c r="BD12" s="51">
        <f t="shared" si="4"/>
        <v>3718</v>
      </c>
      <c r="BE12" s="53">
        <f t="shared" si="5"/>
        <v>3718</v>
      </c>
      <c r="BF12" s="54">
        <f t="shared" si="6"/>
        <v>0.38535295090097538</v>
      </c>
      <c r="BG12" s="55" t="str">
        <f>_xlfn.TEXTJOIN(" | ",TRUE,IFERROR(_xlfn.XLOOKUP($D12,Domestic!$C:$C,Domestic!$BG:$BG,""),""),IFERROR(_xlfn.XLOOKUP($D12,'INT-_Manjiri'!$C:$C,'INT-_Manjiri'!$AY:$AY,""),""),IFERROR(_xlfn.XLOOKUP($D12,'USA-_Sea_shipment'!$C:$C,'USA-_Sea_shipment'!#REF!,""),""),IFERROR(_xlfn.XLOOKUP($D12,Amazon_USA_Sea!$C:$C,Amazon_USA_Sea!$AY:$AY,""),""),IFERROR(_xlfn.XLOOKUP($D12,USA_Air_Shipment!$C:$C,USA_Air_Shipment!$AW:$AW,""),""),IFERROR(_xlfn.XLOOKUP($D12,Amazon_USA_Air_Shipment!$C:$C,Amazon_USA_Air_Shipment!$AW:$AW,""),""),IFERROR(_xlfn.XLOOKUP($D12,MENA!$C:$C,MENA!$AW:$AW,""),""),IFERROR(_xlfn.XLOOKUP($D12,UK!$C:$C,UK!$BA:$BA,""),""),IFERROR(_xlfn.XLOOKUP($D12,BMM_Order!$C:$C,BMM_Order!$BA:$BA,""),""),IFERROR(_xlfn.XLOOKUP($D12,'Adhoc-_Backlog'!$C:$C,'Adhoc-_Backlog'!$BD:$BD,""),""))</f>
        <v/>
      </c>
      <c r="BH12" s="55">
        <f>_xlfn.XLOOKUP(D12,Raw_Data!A:A,Raw_Data!B:B)</f>
        <v>941</v>
      </c>
      <c r="BI12" s="56">
        <f t="shared" si="7"/>
        <v>4.6668870887750042</v>
      </c>
      <c r="BJ12" s="55">
        <f t="shared" si="8"/>
        <v>10</v>
      </c>
      <c r="BK12" s="57" t="str">
        <f t="shared" si="9"/>
        <v>P1 – Critical</v>
      </c>
    </row>
    <row r="13" spans="1:64" ht="13">
      <c r="A13" s="58">
        <f>12</f>
        <v>12</v>
      </c>
      <c r="B13" s="45" t="s">
        <v>12</v>
      </c>
      <c r="C13" s="59"/>
      <c r="D13" s="60" t="str">
        <f>Projection_!A15</f>
        <v>FG00024</v>
      </c>
      <c r="E13" s="61" t="str">
        <f>Projection_!B15</f>
        <v>Ashwagandha Ghee - 250 gm</v>
      </c>
      <c r="F13" s="62">
        <v>0.25</v>
      </c>
      <c r="G13" s="63">
        <f>IFERROR(_xlfn.XLOOKUP($D13,Projection_!$A:$A,Projection_!$J:$J),0)</f>
        <v>274</v>
      </c>
      <c r="H13" s="63">
        <f>IFERROR(_xlfn.XLOOKUP($D13,Projection_!$A:$A,Projection_!$K:$K),0)</f>
        <v>0</v>
      </c>
      <c r="I13" s="63">
        <f>IFERROR(_xlfn.XLOOKUP($D13,Projection_!$A:$A,Projection_!$L:$L),0)</f>
        <v>35</v>
      </c>
      <c r="J13" s="63">
        <f>IFERROR(_xlfn.XLOOKUP($D13,Projection_!$A:$A,Projection_!$M:$M),0)</f>
        <v>0</v>
      </c>
      <c r="K13" s="63">
        <f>IFERROR(_xlfn.XLOOKUP($D13,Projection_!$A:$A,Projection_!$Q:$Q),0)</f>
        <v>0</v>
      </c>
      <c r="L13" s="63">
        <f>IFERROR(_xlfn.XLOOKUP($D13,Projection_!$A:$A,Projection_!$R:$R),0)</f>
        <v>0</v>
      </c>
      <c r="M13" s="63">
        <f>IFERROR(_xlfn.XLOOKUP($D13,Projection_!$A:$A,Projection_!$O:$O),0)</f>
        <v>0</v>
      </c>
      <c r="N13" s="63">
        <f>IFERROR(_xlfn.XLOOKUP($D13,Projection_!$A:$A,Projection_!$P:$P),0)</f>
        <v>0</v>
      </c>
      <c r="O13" s="50">
        <f t="shared" si="1"/>
        <v>309</v>
      </c>
      <c r="P13" s="51">
        <f>SUM(IFERROR(_xlfn.XLOOKUP($D13,Domestic!$C:$C,Domestic!I:I),0),IFERROR(_xlfn.XLOOKUP($D13,'INT-_Manjiri'!$C:$C,'INT-_Manjiri'!H:H),0),IFERROR(_xlfn.XLOOKUP($D13,'USA-_Sea_shipment'!$C:$C,'USA-_Sea_shipment'!H:H),0),IFERROR(_xlfn.XLOOKUP($D13,Amazon_USA_Sea!$C:$C,Amazon_USA_Sea!H:H),0),IFERROR(_xlfn.XLOOKUP($D13,USA_Air_Shipment!$C:$C,USA_Air_Shipment!G:G),0),IFERROR(_xlfn.XLOOKUP($D13,Amazon_USA_Air_Shipment!$C:$C,Amazon_USA_Air_Shipment!G:G),0),IFERROR(_xlfn.XLOOKUP($D13,MENA!$C:$C,MENA!G:G),0),IFERROR(_xlfn.XLOOKUP($D13,UK!$C:$C,UK!G:G),0),IFERROR(_xlfn.XLOOKUP($D13,BMM_Order!$C:$C,BMM_Order!G:G),0),IFERROR(_xlfn.XLOOKUP($D13,'Adhoc-_Backlog'!$C:$C,'Adhoc-_Backlog'!I:I),0))</f>
        <v>0</v>
      </c>
      <c r="Q13" s="51">
        <f>SUM(IFERROR(_xlfn.XLOOKUP($D13,Domestic!$C:$C,Domestic!J:J),0),IFERROR(_xlfn.XLOOKUP($D13,'INT-_Manjiri'!$C:$C,'INT-_Manjiri'!I:I),0),IFERROR(_xlfn.XLOOKUP($D13,'USA-_Sea_shipment'!$C:$C,'USA-_Sea_shipment'!I:I),0),IFERROR(_xlfn.XLOOKUP($D13,Amazon_USA_Sea!$C:$C,Amazon_USA_Sea!I:I),0),IFERROR(_xlfn.XLOOKUP($D13,USA_Air_Shipment!$C:$C,USA_Air_Shipment!H:H),0),IFERROR(_xlfn.XLOOKUP($D13,Amazon_USA_Air_Shipment!$C:$C,Amazon_USA_Air_Shipment!H:H),0),IFERROR(_xlfn.XLOOKUP($D13,MENA!$C:$C,MENA!H:H),0),IFERROR(_xlfn.XLOOKUP($D13,UK!$C:$C,UK!H:H),0),IFERROR(_xlfn.XLOOKUP($D13,BMM_Order!$C:$C,BMM_Order!H:H),0),IFERROR(_xlfn.XLOOKUP($D13,'Adhoc-_Backlog'!$C:$C,'Adhoc-_Backlog'!J:J),0))</f>
        <v>0</v>
      </c>
      <c r="R13" s="51">
        <f>SUM(IFERROR(_xlfn.XLOOKUP($D13,Domestic!$C:$C,Domestic!K:K),0),IFERROR(_xlfn.XLOOKUP($D13,'INT-_Manjiri'!$C:$C,'INT-_Manjiri'!J:J),0),IFERROR(_xlfn.XLOOKUP($D13,'USA-_Sea_shipment'!$C:$C,'USA-_Sea_shipment'!J:J),0),IFERROR(_xlfn.XLOOKUP($D13,Amazon_USA_Sea!$C:$C,Amazon_USA_Sea!J:J),0),IFERROR(_xlfn.XLOOKUP($D13,USA_Air_Shipment!$C:$C,USA_Air_Shipment!I:I),0),IFERROR(_xlfn.XLOOKUP($D13,Amazon_USA_Air_Shipment!$C:$C,Amazon_USA_Air_Shipment!I:I),0),IFERROR(_xlfn.XLOOKUP($D13,MENA!$C:$C,MENA!I:I),0),IFERROR(_xlfn.XLOOKUP($D13,UK!$C:$C,UK!I:I),0),IFERROR(_xlfn.XLOOKUP($D13,BMM_Order!$C:$C,BMM_Order!I:I),0),IFERROR(_xlfn.XLOOKUP($D13,'Adhoc-_Backlog'!$C:$C,'Adhoc-_Backlog'!K:K),0))</f>
        <v>0</v>
      </c>
      <c r="S13" s="51">
        <f>SUM(IFERROR(_xlfn.XLOOKUP($D13,Domestic!$C:$C,Domestic!L:L),0),IFERROR(_xlfn.XLOOKUP($D13,'INT-_Manjiri'!$C:$C,'INT-_Manjiri'!K:K),0),IFERROR(_xlfn.XLOOKUP($D13,'USA-_Sea_shipment'!$C:$C,'USA-_Sea_shipment'!K:K),0),IFERROR(_xlfn.XLOOKUP($D13,Amazon_USA_Sea!$C:$C,Amazon_USA_Sea!K:K),0),IFERROR(_xlfn.XLOOKUP($D13,USA_Air_Shipment!$C:$C,USA_Air_Shipment!J:J),0),IFERROR(_xlfn.XLOOKUP($D13,Amazon_USA_Air_Shipment!$C:$C,Amazon_USA_Air_Shipment!J:J),0),IFERROR(_xlfn.XLOOKUP($D13,MENA!$C:$C,MENA!J:J),0),IFERROR(_xlfn.XLOOKUP($D13,UK!$C:$C,UK!J:J),0),IFERROR(_xlfn.XLOOKUP($D13,BMM_Order!$C:$C,BMM_Order!J:J),0),IFERROR(_xlfn.XLOOKUP($D13,'Adhoc-_Backlog'!$C:$C,'Adhoc-_Backlog'!L:L),0))</f>
        <v>0</v>
      </c>
      <c r="T13" s="51">
        <f>SUM(IFERROR(_xlfn.XLOOKUP($D13,Domestic!$C:$C,Domestic!M:M),0),IFERROR(_xlfn.XLOOKUP($D13,'INT-_Manjiri'!$C:$C,'INT-_Manjiri'!L:L),0),IFERROR(_xlfn.XLOOKUP($D13,'USA-_Sea_shipment'!$C:$C,'USA-_Sea_shipment'!L:L),0),IFERROR(_xlfn.XLOOKUP($D13,Amazon_USA_Sea!$C:$C,Amazon_USA_Sea!L:L),0),IFERROR(_xlfn.XLOOKUP($D13,USA_Air_Shipment!$C:$C,USA_Air_Shipment!K:K),0),IFERROR(_xlfn.XLOOKUP($D13,Amazon_USA_Air_Shipment!$C:$C,Amazon_USA_Air_Shipment!K:K),0),IFERROR(_xlfn.XLOOKUP($D13,MENA!$C:$C,MENA!K:K),0),IFERROR(_xlfn.XLOOKUP($D13,UK!$C:$C,UK!K:K),0),IFERROR(_xlfn.XLOOKUP($D13,BMM_Order!$C:$C,BMM_Order!K:K),0),IFERROR(_xlfn.XLOOKUP($D13,'Adhoc-_Backlog'!$C:$C,'Adhoc-_Backlog'!M:M),0))</f>
        <v>0</v>
      </c>
      <c r="U13" s="51">
        <f>SUM(IFERROR(_xlfn.XLOOKUP($D13,Domestic!$C:$C,Domestic!N:N),0),IFERROR(_xlfn.XLOOKUP($D13,'INT-_Manjiri'!$C:$C,'INT-_Manjiri'!M:M),0),IFERROR(_xlfn.XLOOKUP($D13,'USA-_Sea_shipment'!$C:$C,'USA-_Sea_shipment'!M:M),0),IFERROR(_xlfn.XLOOKUP($D13,Amazon_USA_Sea!$C:$C,Amazon_USA_Sea!M:M),0),IFERROR(_xlfn.XLOOKUP($D13,USA_Air_Shipment!$C:$C,USA_Air_Shipment!L:L),0),IFERROR(_xlfn.XLOOKUP($D13,Amazon_USA_Air_Shipment!$C:$C,Amazon_USA_Air_Shipment!L:L),0),IFERROR(_xlfn.XLOOKUP($D13,MENA!$C:$C,MENA!L:L),0),IFERROR(_xlfn.XLOOKUP($D13,UK!$C:$C,UK!L:L),0),IFERROR(_xlfn.XLOOKUP($D13,BMM_Order!$C:$C,BMM_Order!L:L),0),IFERROR(_xlfn.XLOOKUP($D13,'Adhoc-_Backlog'!$C:$C,'Adhoc-_Backlog'!N:N),0))</f>
        <v>0</v>
      </c>
      <c r="V13" s="51">
        <f>SUM(IFERROR(_xlfn.XLOOKUP($D13,Domestic!$C:$C,Domestic!O:O),0),IFERROR(_xlfn.XLOOKUP($D13,'INT-_Manjiri'!$C:$C,'INT-_Manjiri'!N:N),0),IFERROR(_xlfn.XLOOKUP($D13,'USA-_Sea_shipment'!$C:$C,'USA-_Sea_shipment'!N:N),0),IFERROR(_xlfn.XLOOKUP($D13,Amazon_USA_Sea!$C:$C,Amazon_USA_Sea!N:N),0),IFERROR(_xlfn.XLOOKUP($D13,USA_Air_Shipment!$C:$C,USA_Air_Shipment!M:M),0),IFERROR(_xlfn.XLOOKUP($D13,Amazon_USA_Air_Shipment!$C:$C,Amazon_USA_Air_Shipment!M:M),0),IFERROR(_xlfn.XLOOKUP($D13,MENA!$C:$C,MENA!M:M),0),IFERROR(_xlfn.XLOOKUP($D13,UK!$C:$C,UK!M:M),0),IFERROR(_xlfn.XLOOKUP($D13,BMM_Order!$C:$C,BMM_Order!M:M),0),IFERROR(_xlfn.XLOOKUP($D13,'Adhoc-_Backlog'!$C:$C,'Adhoc-_Backlog'!O:O),0))</f>
        <v>0</v>
      </c>
      <c r="W13" s="51">
        <f>SUM(IFERROR(_xlfn.XLOOKUP($D13,Domestic!$C:$C,Domestic!P:P),0),IFERROR(_xlfn.XLOOKUP($D13,'INT-_Manjiri'!$C:$C,'INT-_Manjiri'!O:O),0),IFERROR(_xlfn.XLOOKUP($D13,'USA-_Sea_shipment'!$C:$C,'USA-_Sea_shipment'!O:O),0),IFERROR(_xlfn.XLOOKUP($D13,Amazon_USA_Sea!$C:$C,Amazon_USA_Sea!O:O),0),IFERROR(_xlfn.XLOOKUP($D13,USA_Air_Shipment!$C:$C,USA_Air_Shipment!N:N),0),IFERROR(_xlfn.XLOOKUP($D13,Amazon_USA_Air_Shipment!$C:$C,Amazon_USA_Air_Shipment!N:N),0),IFERROR(_xlfn.XLOOKUP($D13,MENA!$C:$C,MENA!N:N),0),IFERROR(_xlfn.XLOOKUP($D13,UK!$C:$C,UK!N:N),0),IFERROR(_xlfn.XLOOKUP($D13,BMM_Order!$C:$C,BMM_Order!N:N),0),IFERROR(_xlfn.XLOOKUP($D13,'Adhoc-_Backlog'!$C:$C,'Adhoc-_Backlog'!P:P),0))</f>
        <v>0</v>
      </c>
      <c r="X13" s="51">
        <f>SUM(IFERROR(_xlfn.XLOOKUP($D13,Domestic!$C:$C,Domestic!Q:Q),0),IFERROR(_xlfn.XLOOKUP($D13,'INT-_Manjiri'!$C:$C,'INT-_Manjiri'!P:P),0),IFERROR(_xlfn.XLOOKUP($D13,'USA-_Sea_shipment'!$C:$C,'USA-_Sea_shipment'!P:P),0),IFERROR(_xlfn.XLOOKUP($D13,Amazon_USA_Sea!$C:$C,Amazon_USA_Sea!P:P),0),IFERROR(_xlfn.XLOOKUP($D13,USA_Air_Shipment!$C:$C,USA_Air_Shipment!O:O),0),IFERROR(_xlfn.XLOOKUP($D13,Amazon_USA_Air_Shipment!$C:$C,Amazon_USA_Air_Shipment!O:O),0),IFERROR(_xlfn.XLOOKUP($D13,MENA!$C:$C,MENA!O:O),0),IFERROR(_xlfn.XLOOKUP($D13,UK!$C:$C,UK!O:O),0),IFERROR(_xlfn.XLOOKUP($D13,BMM_Order!$C:$C,BMM_Order!O:O),0),IFERROR(_xlfn.XLOOKUP($D13,'Adhoc-_Backlog'!$C:$C,'Adhoc-_Backlog'!Q:Q),0))</f>
        <v>0</v>
      </c>
      <c r="Y13" s="51">
        <f>SUM(IFERROR(_xlfn.XLOOKUP($D13,Domestic!$C:$C,Domestic!R:R),0),IFERROR(_xlfn.XLOOKUP($D13,'INT-_Manjiri'!$C:$C,'INT-_Manjiri'!Q:Q),0),IFERROR(_xlfn.XLOOKUP($D13,'USA-_Sea_shipment'!$C:$C,'USA-_Sea_shipment'!Q:Q),0),IFERROR(_xlfn.XLOOKUP($D13,Amazon_USA_Sea!$C:$C,Amazon_USA_Sea!Q:Q),0),IFERROR(_xlfn.XLOOKUP($D13,USA_Air_Shipment!$C:$C,USA_Air_Shipment!P:P),0),IFERROR(_xlfn.XLOOKUP($D13,Amazon_USA_Air_Shipment!$C:$C,Amazon_USA_Air_Shipment!P:P),0),IFERROR(_xlfn.XLOOKUP($D13,MENA!$C:$C,MENA!P:P),0),IFERROR(_xlfn.XLOOKUP($D13,UK!$C:$C,UK!P:P),0),IFERROR(_xlfn.XLOOKUP($D13,BMM_Order!$C:$C,BMM_Order!P:P),0),IFERROR(_xlfn.XLOOKUP($D13,'Adhoc-_Backlog'!$C:$C,'Adhoc-_Backlog'!R:R),0))</f>
        <v>0</v>
      </c>
      <c r="Z13" s="51">
        <f>SUM(IFERROR(_xlfn.XLOOKUP($D13,Domestic!$C:$C,Domestic!S:S),0),IFERROR(_xlfn.XLOOKUP($D13,'INT-_Manjiri'!$C:$C,'INT-_Manjiri'!R:R),0),IFERROR(_xlfn.XLOOKUP($D13,'USA-_Sea_shipment'!$C:$C,'USA-_Sea_shipment'!R:R),0),IFERROR(_xlfn.XLOOKUP($D13,Amazon_USA_Sea!$C:$C,Amazon_USA_Sea!R:R),0),IFERROR(_xlfn.XLOOKUP($D13,USA_Air_Shipment!$C:$C,USA_Air_Shipment!Q:Q),0),IFERROR(_xlfn.XLOOKUP($D13,Amazon_USA_Air_Shipment!$C:$C,Amazon_USA_Air_Shipment!Q:Q),0),IFERROR(_xlfn.XLOOKUP($D13,MENA!$C:$C,MENA!Q:Q),0),IFERROR(_xlfn.XLOOKUP($D13,UK!$C:$C,UK!Q:Q),0),IFERROR(_xlfn.XLOOKUP($D13,BMM_Order!$C:$C,BMM_Order!Q:Q),0),IFERROR(_xlfn.XLOOKUP($D13,'Adhoc-_Backlog'!$C:$C,'Adhoc-_Backlog'!S:S),0))</f>
        <v>0</v>
      </c>
      <c r="AA13" s="51">
        <f>SUM(IFERROR(_xlfn.XLOOKUP($D13,Domestic!$C:$C,Domestic!T:T),0),IFERROR(_xlfn.XLOOKUP($D13,'INT-_Manjiri'!$C:$C,'INT-_Manjiri'!S:S),0),IFERROR(_xlfn.XLOOKUP($D13,'USA-_Sea_shipment'!$C:$C,'USA-_Sea_shipment'!S:S),0),IFERROR(_xlfn.XLOOKUP($D13,Amazon_USA_Sea!$C:$C,Amazon_USA_Sea!S:S),0),IFERROR(_xlfn.XLOOKUP($D13,USA_Air_Shipment!$C:$C,USA_Air_Shipment!R:R),0),IFERROR(_xlfn.XLOOKUP($D13,Amazon_USA_Air_Shipment!$C:$C,Amazon_USA_Air_Shipment!R:R),0),IFERROR(_xlfn.XLOOKUP($D13,MENA!$C:$C,MENA!R:R),0),IFERROR(_xlfn.XLOOKUP($D13,UK!$C:$C,UK!R:R),0),IFERROR(_xlfn.XLOOKUP($D13,BMM_Order!$C:$C,BMM_Order!R:R),0),IFERROR(_xlfn.XLOOKUP($D13,'Adhoc-_Backlog'!$C:$C,'Adhoc-_Backlog'!T:T),0))</f>
        <v>60</v>
      </c>
      <c r="AB13" s="51">
        <f>SUM(IFERROR(_xlfn.XLOOKUP($D13,Domestic!$C:$C,Domestic!U:U),0),IFERROR(_xlfn.XLOOKUP($D13,'INT-_Manjiri'!$C:$C,'INT-_Manjiri'!T:T),0),IFERROR(_xlfn.XLOOKUP($D13,'USA-_Sea_shipment'!$C:$C,'USA-_Sea_shipment'!T:T),0),IFERROR(_xlfn.XLOOKUP($D13,Amazon_USA_Sea!$C:$C,Amazon_USA_Sea!T:T),0),IFERROR(_xlfn.XLOOKUP($D13,USA_Air_Shipment!$C:$C,USA_Air_Shipment!S:S),0),IFERROR(_xlfn.XLOOKUP($D13,Amazon_USA_Air_Shipment!$C:$C,Amazon_USA_Air_Shipment!S:S),0),IFERROR(_xlfn.XLOOKUP($D13,MENA!$C:$C,MENA!S:S),0),IFERROR(_xlfn.XLOOKUP($D13,UK!$C:$C,UK!S:S),0),IFERROR(_xlfn.XLOOKUP($D13,BMM_Order!$C:$C,BMM_Order!S:S),0),IFERROR(_xlfn.XLOOKUP($D13,'Adhoc-_Backlog'!$C:$C,'Adhoc-_Backlog'!U:U),0))</f>
        <v>0</v>
      </c>
      <c r="AC13" s="51">
        <f>SUM(IFERROR(_xlfn.XLOOKUP($D13,Domestic!$C:$C,Domestic!V:V),0),IFERROR(_xlfn.XLOOKUP($D13,'INT-_Manjiri'!$C:$C,'INT-_Manjiri'!U:U),0),IFERROR(_xlfn.XLOOKUP($D13,'USA-_Sea_shipment'!$C:$C,'USA-_Sea_shipment'!U:U),0),IFERROR(_xlfn.XLOOKUP($D13,Amazon_USA_Sea!$C:$C,Amazon_USA_Sea!U:U),0),IFERROR(_xlfn.XLOOKUP($D13,USA_Air_Shipment!$C:$C,USA_Air_Shipment!T:T),0),IFERROR(_xlfn.XLOOKUP($D13,Amazon_USA_Air_Shipment!$C:$C,Amazon_USA_Air_Shipment!T:T),0),IFERROR(_xlfn.XLOOKUP($D13,MENA!$C:$C,MENA!T:T),0),IFERROR(_xlfn.XLOOKUP($D13,UK!$C:$C,UK!T:T),0),IFERROR(_xlfn.XLOOKUP($D13,BMM_Order!$C:$C,BMM_Order!T:T),0),IFERROR(_xlfn.XLOOKUP($D13,'Adhoc-_Backlog'!$C:$C,'Adhoc-_Backlog'!V:V),0))</f>
        <v>0</v>
      </c>
      <c r="AD13" s="51">
        <f>SUM(IFERROR(_xlfn.XLOOKUP($D13,Domestic!$C:$C,Domestic!W:W),0),IFERROR(_xlfn.XLOOKUP($D13,'INT-_Manjiri'!$C:$C,'INT-_Manjiri'!V:V),0),IFERROR(_xlfn.XLOOKUP($D13,'USA-_Sea_shipment'!$C:$C,'USA-_Sea_shipment'!V:V),0),IFERROR(_xlfn.XLOOKUP($D13,Amazon_USA_Sea!$C:$C,Amazon_USA_Sea!V:V),0),IFERROR(_xlfn.XLOOKUP($D13,USA_Air_Shipment!$C:$C,USA_Air_Shipment!U:U),0),IFERROR(_xlfn.XLOOKUP($D13,Amazon_USA_Air_Shipment!$C:$C,Amazon_USA_Air_Shipment!U:U),0),IFERROR(_xlfn.XLOOKUP($D13,MENA!$C:$C,MENA!U:U),0),IFERROR(_xlfn.XLOOKUP($D13,UK!$C:$C,UK!U:U),0),IFERROR(_xlfn.XLOOKUP($D13,BMM_Order!$C:$C,BMM_Order!U:U),0),IFERROR(_xlfn.XLOOKUP($D13,'Adhoc-_Backlog'!$C:$C,'Adhoc-_Backlog'!W:W),0))</f>
        <v>0</v>
      </c>
      <c r="AE13" s="51">
        <f>SUM(IFERROR(_xlfn.XLOOKUP($D13,Domestic!$C:$C,Domestic!X:X),0),IFERROR(_xlfn.XLOOKUP($D13,'INT-_Manjiri'!$C:$C,'INT-_Manjiri'!W:W),0),IFERROR(_xlfn.XLOOKUP($D13,'USA-_Sea_shipment'!$C:$C,'USA-_Sea_shipment'!W:W),0),IFERROR(_xlfn.XLOOKUP($D13,Amazon_USA_Sea!$C:$C,Amazon_USA_Sea!W:W),0),IFERROR(_xlfn.XLOOKUP($D13,USA_Air_Shipment!$C:$C,USA_Air_Shipment!V:V),0),IFERROR(_xlfn.XLOOKUP($D13,Amazon_USA_Air_Shipment!$C:$C,Amazon_USA_Air_Shipment!V:V),0),IFERROR(_xlfn.XLOOKUP($D13,MENA!$C:$C,MENA!V:V),0),IFERROR(_xlfn.XLOOKUP($D13,UK!$C:$C,UK!V:V),0),IFERROR(_xlfn.XLOOKUP($D13,BMM_Order!$C:$C,BMM_Order!V:V),0),IFERROR(_xlfn.XLOOKUP($D13,'Adhoc-_Backlog'!$C:$C,'Adhoc-_Backlog'!X:X),0))</f>
        <v>0</v>
      </c>
      <c r="AF13" s="51">
        <f>SUM(IFERROR(_xlfn.XLOOKUP($D13,Domestic!$C:$C,Domestic!Y:Y),0),IFERROR(_xlfn.XLOOKUP($D13,'INT-_Manjiri'!$C:$C,'INT-_Manjiri'!X:X),0),IFERROR(_xlfn.XLOOKUP($D13,'USA-_Sea_shipment'!$C:$C,'USA-_Sea_shipment'!X:X),0),IFERROR(_xlfn.XLOOKUP($D13,Amazon_USA_Sea!$C:$C,Amazon_USA_Sea!X:X),0),IFERROR(_xlfn.XLOOKUP($D13,USA_Air_Shipment!$C:$C,USA_Air_Shipment!W:W),0),IFERROR(_xlfn.XLOOKUP($D13,Amazon_USA_Air_Shipment!$C:$C,Amazon_USA_Air_Shipment!W:W),0),IFERROR(_xlfn.XLOOKUP($D13,MENA!$C:$C,MENA!W:W),0),IFERROR(_xlfn.XLOOKUP($D13,UK!$C:$C,UK!W:W),0),IFERROR(_xlfn.XLOOKUP($D13,BMM_Order!$C:$C,BMM_Order!W:W),0),IFERROR(_xlfn.XLOOKUP($D13,'Adhoc-_Backlog'!$C:$C,'Adhoc-_Backlog'!Y:Y),0))</f>
        <v>43</v>
      </c>
      <c r="AG13" s="51">
        <f>SUM(IFERROR(_xlfn.XLOOKUP($D13,Domestic!$C:$C,Domestic!Z:Z),0),IFERROR(_xlfn.XLOOKUP($D13,'INT-_Manjiri'!$C:$C,'INT-_Manjiri'!Y:Y),0),IFERROR(_xlfn.XLOOKUP($D13,'USA-_Sea_shipment'!$C:$C,'USA-_Sea_shipment'!Y:Y),0),IFERROR(_xlfn.XLOOKUP($D13,Amazon_USA_Sea!$C:$C,Amazon_USA_Sea!Y:Y),0),IFERROR(_xlfn.XLOOKUP($D13,USA_Air_Shipment!$C:$C,USA_Air_Shipment!X:X),0),IFERROR(_xlfn.XLOOKUP($D13,Amazon_USA_Air_Shipment!$C:$C,Amazon_USA_Air_Shipment!X:X),0),IFERROR(_xlfn.XLOOKUP($D13,MENA!$C:$C,MENA!X:X),0),IFERROR(_xlfn.XLOOKUP($D13,UK!$C:$C,UK!X:X),0),IFERROR(_xlfn.XLOOKUP($D13,BMM_Order!$C:$C,BMM_Order!X:X),0),IFERROR(_xlfn.XLOOKUP($D13,'Adhoc-_Backlog'!$C:$C,'Adhoc-_Backlog'!Z:Z),0))</f>
        <v>0</v>
      </c>
      <c r="AH13" s="51">
        <f>SUM(IFERROR(_xlfn.XLOOKUP($D13,Domestic!$C:$C,Domestic!AA:AA),0),IFERROR(_xlfn.XLOOKUP($D13,'INT-_Manjiri'!$C:$C,'INT-_Manjiri'!Z:Z),0),IFERROR(_xlfn.XLOOKUP($D13,'USA-_Sea_shipment'!$C:$C,'USA-_Sea_shipment'!Z:Z),0),IFERROR(_xlfn.XLOOKUP($D13,Amazon_USA_Sea!$C:$C,Amazon_USA_Sea!Z:Z),0),IFERROR(_xlfn.XLOOKUP($D13,USA_Air_Shipment!$C:$C,USA_Air_Shipment!Y:Y),0),IFERROR(_xlfn.XLOOKUP($D13,Amazon_USA_Air_Shipment!$C:$C,Amazon_USA_Air_Shipment!Y:Y),0),IFERROR(_xlfn.XLOOKUP($D13,MENA!$C:$C,MENA!Y:Y),0),IFERROR(_xlfn.XLOOKUP($D13,UK!$C:$C,UK!Y:Y),0),IFERROR(_xlfn.XLOOKUP($D13,BMM_Order!$C:$C,BMM_Order!Y:Y),0),IFERROR(_xlfn.XLOOKUP($D13,'Adhoc-_Backlog'!$C:$C,'Adhoc-_Backlog'!AA:AA),0))</f>
        <v>7</v>
      </c>
      <c r="AI13" s="51">
        <f>SUM(IFERROR(_xlfn.XLOOKUP($D13,Domestic!$C:$C,Domestic!AB:AB),0),IFERROR(_xlfn.XLOOKUP($D13,'INT-_Manjiri'!$C:$C,'INT-_Manjiri'!AA:AA),0),IFERROR(_xlfn.XLOOKUP($D13,'USA-_Sea_shipment'!$C:$C,'USA-_Sea_shipment'!AA:AA),0),IFERROR(_xlfn.XLOOKUP($D13,Amazon_USA_Sea!$C:$C,Amazon_USA_Sea!AA:AA),0),IFERROR(_xlfn.XLOOKUP($D13,USA_Air_Shipment!$C:$C,USA_Air_Shipment!Z:Z),0),IFERROR(_xlfn.XLOOKUP($D13,Amazon_USA_Air_Shipment!$C:$C,Amazon_USA_Air_Shipment!Z:Z),0),IFERROR(_xlfn.XLOOKUP($D13,MENA!$C:$C,MENA!Z:Z),0),IFERROR(_xlfn.XLOOKUP($D13,UK!$C:$C,UK!Z:Z),0),IFERROR(_xlfn.XLOOKUP($D13,BMM_Order!$C:$C,BMM_Order!Z:Z),0),IFERROR(_xlfn.XLOOKUP($D13,'Adhoc-_Backlog'!$C:$C,'Adhoc-_Backlog'!AB:AB),0))</f>
        <v>0</v>
      </c>
      <c r="AJ13" s="51">
        <f>SUM(IFERROR(_xlfn.XLOOKUP($D13,Domestic!$C:$C,Domestic!AC:AC),0),IFERROR(_xlfn.XLOOKUP($D13,'INT-_Manjiri'!$C:$C,'INT-_Manjiri'!AB:AB),0),IFERROR(_xlfn.XLOOKUP($D13,'USA-_Sea_shipment'!$C:$C,'USA-_Sea_shipment'!AB:AB),0),IFERROR(_xlfn.XLOOKUP($D13,Amazon_USA_Sea!$C:$C,Amazon_USA_Sea!AB:AB),0),IFERROR(_xlfn.XLOOKUP($D13,USA_Air_Shipment!$C:$C,USA_Air_Shipment!AA:AA),0),IFERROR(_xlfn.XLOOKUP($D13,Amazon_USA_Air_Shipment!$C:$C,Amazon_USA_Air_Shipment!AA:AA),0),IFERROR(_xlfn.XLOOKUP($D13,MENA!$C:$C,MENA!AA:AA),0),IFERROR(_xlfn.XLOOKUP($D13,UK!$C:$C,UK!AA:AA),0),IFERROR(_xlfn.XLOOKUP($D13,BMM_Order!$C:$C,BMM_Order!AA:AA),0),IFERROR(_xlfn.XLOOKUP($D13,'Adhoc-_Backlog'!$C:$C,'Adhoc-_Backlog'!AC:AC),0))</f>
        <v>0</v>
      </c>
      <c r="AK13" s="51">
        <f>SUM(IFERROR(_xlfn.XLOOKUP($D13,Domestic!$C:$C,Domestic!AD:AD),0),IFERROR(_xlfn.XLOOKUP($D13,'INT-_Manjiri'!$C:$C,'INT-_Manjiri'!AC:AC),0),IFERROR(_xlfn.XLOOKUP($D13,'USA-_Sea_shipment'!$C:$C,'USA-_Sea_shipment'!AC:AC),0),IFERROR(_xlfn.XLOOKUP($D13,Amazon_USA_Sea!$C:$C,Amazon_USA_Sea!AC:AC),0),IFERROR(_xlfn.XLOOKUP($D13,USA_Air_Shipment!$C:$C,USA_Air_Shipment!AB:AB),0),IFERROR(_xlfn.XLOOKUP($D13,Amazon_USA_Air_Shipment!$C:$C,Amazon_USA_Air_Shipment!AB:AB),0),IFERROR(_xlfn.XLOOKUP($D13,MENA!$C:$C,MENA!AB:AB),0),IFERROR(_xlfn.XLOOKUP($D13,UK!$C:$C,UK!AB:AB),0),IFERROR(_xlfn.XLOOKUP($D13,BMM_Order!$C:$C,BMM_Order!AB:AB),0),IFERROR(_xlfn.XLOOKUP($D13,'Adhoc-_Backlog'!$C:$C,'Adhoc-_Backlog'!AD:AD),0))</f>
        <v>0</v>
      </c>
      <c r="AL13" s="51">
        <f>SUM(IFERROR(_xlfn.XLOOKUP($D13,Domestic!$C:$C,Domestic!AE:AE),0),IFERROR(_xlfn.XLOOKUP($D13,'INT-_Manjiri'!$C:$C,'INT-_Manjiri'!AD:AD),0),IFERROR(_xlfn.XLOOKUP($D13,'USA-_Sea_shipment'!$C:$C,'USA-_Sea_shipment'!AD:AD),0),IFERROR(_xlfn.XLOOKUP($D13,Amazon_USA_Sea!$C:$C,Amazon_USA_Sea!AD:AD),0),IFERROR(_xlfn.XLOOKUP($D13,USA_Air_Shipment!$C:$C,USA_Air_Shipment!AC:AC),0),IFERROR(_xlfn.XLOOKUP($D13,Amazon_USA_Air_Shipment!$C:$C,Amazon_USA_Air_Shipment!AC:AC),0),IFERROR(_xlfn.XLOOKUP($D13,MENA!$C:$C,MENA!AC:AC),0),IFERROR(_xlfn.XLOOKUP($D13,UK!$C:$C,UK!AC:AC),0),IFERROR(_xlfn.XLOOKUP($D13,BMM_Order!$C:$C,BMM_Order!AC:AC),0),IFERROR(_xlfn.XLOOKUP($D13,'Adhoc-_Backlog'!$C:$C,'Adhoc-_Backlog'!AE:AE),0))</f>
        <v>0</v>
      </c>
      <c r="AM13" s="51">
        <f>SUM(IFERROR(_xlfn.XLOOKUP($D13,Domestic!$C:$C,Domestic!AF:AF),0),IFERROR(_xlfn.XLOOKUP($D13,'INT-_Manjiri'!$C:$C,'INT-_Manjiri'!AE:AE),0),IFERROR(_xlfn.XLOOKUP($D13,'USA-_Sea_shipment'!$C:$C,'USA-_Sea_shipment'!AE:AE),0),IFERROR(_xlfn.XLOOKUP($D13,Amazon_USA_Sea!$C:$C,Amazon_USA_Sea!AE:AE),0),IFERROR(_xlfn.XLOOKUP($D13,USA_Air_Shipment!$C:$C,USA_Air_Shipment!AD:AD),0),IFERROR(_xlfn.XLOOKUP($D13,Amazon_USA_Air_Shipment!$C:$C,Amazon_USA_Air_Shipment!AD:AD),0),IFERROR(_xlfn.XLOOKUP($D13,MENA!$C:$C,MENA!AD:AD),0),IFERROR(_xlfn.XLOOKUP($D13,UK!$C:$C,UK!AD:AD),0),IFERROR(_xlfn.XLOOKUP($D13,BMM_Order!$C:$C,BMM_Order!AD:AD),0),IFERROR(_xlfn.XLOOKUP($D13,'Adhoc-_Backlog'!$C:$C,'Adhoc-_Backlog'!AF:AF),0))</f>
        <v>45</v>
      </c>
      <c r="AN13" s="51">
        <f>SUM(IFERROR(_xlfn.XLOOKUP($D13,Domestic!$C:$C,Domestic!AG:AG),0),IFERROR(_xlfn.XLOOKUP($D13,'INT-_Manjiri'!$C:$C,'INT-_Manjiri'!AF:AF),0),IFERROR(_xlfn.XLOOKUP($D13,'USA-_Sea_shipment'!$C:$C,'USA-_Sea_shipment'!AF:AF),0),IFERROR(_xlfn.XLOOKUP($D13,Amazon_USA_Sea!$C:$C,Amazon_USA_Sea!AF:AF),0),IFERROR(_xlfn.XLOOKUP($D13,USA_Air_Shipment!$C:$C,USA_Air_Shipment!AE:AE),0),IFERROR(_xlfn.XLOOKUP($D13,Amazon_USA_Air_Shipment!$C:$C,Amazon_USA_Air_Shipment!AE:AE),0),IFERROR(_xlfn.XLOOKUP($D13,MENA!$C:$C,MENA!AE:AE),0),IFERROR(_xlfn.XLOOKUP($D13,UK!$C:$C,UK!AE:AE),0),IFERROR(_xlfn.XLOOKUP($D13,BMM_Order!$C:$C,BMM_Order!AE:AE),0),IFERROR(_xlfn.XLOOKUP($D13,'Adhoc-_Backlog'!$C:$C,'Adhoc-_Backlog'!AG:AG),0))</f>
        <v>0</v>
      </c>
      <c r="AO13" s="51">
        <f>SUM(IFERROR(_xlfn.XLOOKUP($D13,Domestic!$C:$C,Domestic!AH:AH),0),IFERROR(_xlfn.XLOOKUP($D13,'INT-_Manjiri'!$C:$C,'INT-_Manjiri'!AG:AG),0),IFERROR(_xlfn.XLOOKUP($D13,'USA-_Sea_shipment'!$C:$C,'USA-_Sea_shipment'!AG:AG),0),IFERROR(_xlfn.XLOOKUP($D13,Amazon_USA_Sea!$C:$C,Amazon_USA_Sea!AG:AG),0),IFERROR(_xlfn.XLOOKUP($D13,USA_Air_Shipment!$C:$C,USA_Air_Shipment!AF:AF),0),IFERROR(_xlfn.XLOOKUP($D13,Amazon_USA_Air_Shipment!$C:$C,Amazon_USA_Air_Shipment!AF:AF),0),IFERROR(_xlfn.XLOOKUP($D13,MENA!$C:$C,MENA!AF:AF),0),IFERROR(_xlfn.XLOOKUP($D13,UK!$C:$C,UK!AF:AF),0),IFERROR(_xlfn.XLOOKUP($D13,BMM_Order!$C:$C,BMM_Order!AF:AF),0),IFERROR(_xlfn.XLOOKUP($D13,'Adhoc-_Backlog'!$C:$C,'Adhoc-_Backlog'!AH:AH),0))</f>
        <v>0</v>
      </c>
      <c r="AP13" s="51">
        <f>SUM(IFERROR(_xlfn.XLOOKUP($D13,Domestic!$C:$C,Domestic!AI:AI),0),IFERROR(_xlfn.XLOOKUP($D13,'INT-_Manjiri'!$C:$C,'INT-_Manjiri'!AH:AH),0),IFERROR(_xlfn.XLOOKUP($D13,'USA-_Sea_shipment'!$C:$C,'USA-_Sea_shipment'!AH:AH),0),IFERROR(_xlfn.XLOOKUP($D13,Amazon_USA_Sea!$C:$C,Amazon_USA_Sea!AH:AH),0),IFERROR(_xlfn.XLOOKUP($D13,USA_Air_Shipment!$C:$C,USA_Air_Shipment!AG:AG),0),IFERROR(_xlfn.XLOOKUP($D13,Amazon_USA_Air_Shipment!$C:$C,Amazon_USA_Air_Shipment!AG:AG),0),IFERROR(_xlfn.XLOOKUP($D13,MENA!$C:$C,MENA!AG:AG),0),IFERROR(_xlfn.XLOOKUP($D13,UK!$C:$C,UK!AG:AG),0),IFERROR(_xlfn.XLOOKUP($D13,BMM_Order!$C:$C,BMM_Order!AG:AG),0),IFERROR(_xlfn.XLOOKUP($D13,'Adhoc-_Backlog'!$C:$C,'Adhoc-_Backlog'!AI:AI),0))</f>
        <v>0</v>
      </c>
      <c r="AQ13" s="51">
        <f>SUM(IFERROR(_xlfn.XLOOKUP($D13,Domestic!$C:$C,Domestic!AJ:AJ),0),IFERROR(_xlfn.XLOOKUP($D13,'INT-_Manjiri'!$C:$C,'INT-_Manjiri'!AI:AI),0),IFERROR(_xlfn.XLOOKUP($D13,'USA-_Sea_shipment'!$C:$C,'USA-_Sea_shipment'!AI:AI),0),IFERROR(_xlfn.XLOOKUP($D13,Amazon_USA_Sea!$C:$C,Amazon_USA_Sea!AI:AI),0),IFERROR(_xlfn.XLOOKUP($D13,USA_Air_Shipment!$C:$C,USA_Air_Shipment!AH:AH),0),IFERROR(_xlfn.XLOOKUP($D13,Amazon_USA_Air_Shipment!$C:$C,Amazon_USA_Air_Shipment!AH:AH),0),IFERROR(_xlfn.XLOOKUP($D13,MENA!$C:$C,MENA!AH:AH),0),IFERROR(_xlfn.XLOOKUP($D13,UK!$C:$C,UK!AH:AH),0),IFERROR(_xlfn.XLOOKUP($D13,BMM_Order!$C:$C,BMM_Order!AH:AH),0),IFERROR(_xlfn.XLOOKUP($D13,'Adhoc-_Backlog'!$C:$C,'Adhoc-_Backlog'!AJ:AJ),0))</f>
        <v>0</v>
      </c>
      <c r="AR13" s="51">
        <f>SUM(IFERROR(_xlfn.XLOOKUP($D13,Domestic!$C:$C,Domestic!AK:AK),0),IFERROR(_xlfn.XLOOKUP($D13,'INT-_Manjiri'!$C:$C,'INT-_Manjiri'!AJ:AJ),0),IFERROR(_xlfn.XLOOKUP($D13,'USA-_Sea_shipment'!$C:$C,'USA-_Sea_shipment'!AJ:AJ),0),IFERROR(_xlfn.XLOOKUP($D13,Amazon_USA_Sea!$C:$C,Amazon_USA_Sea!AJ:AJ),0),IFERROR(_xlfn.XLOOKUP($D13,USA_Air_Shipment!$C:$C,USA_Air_Shipment!AI:AI),0),IFERROR(_xlfn.XLOOKUP($D13,Amazon_USA_Air_Shipment!$C:$C,Amazon_USA_Air_Shipment!AI:AI),0),IFERROR(_xlfn.XLOOKUP($D13,MENA!$C:$C,MENA!AI:AI),0),IFERROR(_xlfn.XLOOKUP($D13,UK!$C:$C,UK!AI:AI),0),IFERROR(_xlfn.XLOOKUP($D13,BMM_Order!$C:$C,BMM_Order!AI:AI),0),IFERROR(_xlfn.XLOOKUP($D13,'Adhoc-_Backlog'!$C:$C,'Adhoc-_Backlog'!AK:AK),0))</f>
        <v>0</v>
      </c>
      <c r="AS13" s="51">
        <f>SUM(IFERROR(_xlfn.XLOOKUP($D13,Domestic!$C:$C,Domestic!AL:AL),0),IFERROR(_xlfn.XLOOKUP($D13,'INT-_Manjiri'!$C:$C,'INT-_Manjiri'!AK:AK),0),IFERROR(_xlfn.XLOOKUP($D13,'USA-_Sea_shipment'!$C:$C,'USA-_Sea_shipment'!AK:AK),0),IFERROR(_xlfn.XLOOKUP($D13,Amazon_USA_Sea!$C:$C,Amazon_USA_Sea!AK:AK),0),IFERROR(_xlfn.XLOOKUP($D13,USA_Air_Shipment!$C:$C,USA_Air_Shipment!AJ:AJ),0),IFERROR(_xlfn.XLOOKUP($D13,Amazon_USA_Air_Shipment!$C:$C,Amazon_USA_Air_Shipment!AJ:AJ),0),IFERROR(_xlfn.XLOOKUP($D13,MENA!$C:$C,MENA!AJ:AJ),0),IFERROR(_xlfn.XLOOKUP($D13,UK!$C:$C,UK!AJ:AJ),0),IFERROR(_xlfn.XLOOKUP($D13,BMM_Order!$C:$C,BMM_Order!AJ:AJ),0),IFERROR(_xlfn.XLOOKUP($D13,'Adhoc-_Backlog'!$C:$C,'Adhoc-_Backlog'!AL:AL),0))</f>
        <v>0</v>
      </c>
      <c r="AT13" s="51">
        <f>SUM(IFERROR(_xlfn.XLOOKUP($D13,Domestic!$C:$C,Domestic!AM:AM),0),IFERROR(_xlfn.XLOOKUP($D13,'INT-_Manjiri'!$C:$C,'INT-_Manjiri'!AL:AL),0),IFERROR(_xlfn.XLOOKUP($D13,'USA-_Sea_shipment'!$C:$C,'USA-_Sea_shipment'!AL:AL),0),IFERROR(_xlfn.XLOOKUP($D13,Amazon_USA_Sea!$C:$C,Amazon_USA_Sea!AL:AL),0),IFERROR(_xlfn.XLOOKUP($D13,USA_Air_Shipment!$C:$C,USA_Air_Shipment!AK:AK),0),IFERROR(_xlfn.XLOOKUP($D13,Amazon_USA_Air_Shipment!$C:$C,Amazon_USA_Air_Shipment!AK:AK),0),IFERROR(_xlfn.XLOOKUP($D13,MENA!$C:$C,MENA!AK:AK),0),IFERROR(_xlfn.XLOOKUP($D13,UK!$C:$C,UK!AK:AK),0),IFERROR(_xlfn.XLOOKUP($D13,BMM_Order!$C:$C,BMM_Order!AK:AK),0),IFERROR(_xlfn.XLOOKUP($D13,'Adhoc-_Backlog'!$C:$C,'Adhoc-_Backlog'!AM:AM),0))</f>
        <v>0</v>
      </c>
      <c r="AU13" s="51">
        <f>SUM(IFERROR(_xlfn.XLOOKUP($D13,Domestic!$C:$C,Domestic!AN:AN),0),IFERROR(_xlfn.XLOOKUP($D13,'INT-_Manjiri'!$C:$C,'INT-_Manjiri'!AM:AM),0),IFERROR(_xlfn.XLOOKUP($D13,'USA-_Sea_shipment'!$C:$C,'USA-_Sea_shipment'!AM:AM),0),IFERROR(_xlfn.XLOOKUP($D13,Amazon_USA_Sea!$C:$C,Amazon_USA_Sea!AM:AM),0),IFERROR(_xlfn.XLOOKUP($D13,USA_Air_Shipment!$C:$C,USA_Air_Shipment!AL:AL),0),IFERROR(_xlfn.XLOOKUP($D13,Amazon_USA_Air_Shipment!$C:$C,Amazon_USA_Air_Shipment!AL:AL),0),IFERROR(_xlfn.XLOOKUP($D13,MENA!$C:$C,MENA!AL:AL),0),IFERROR(_xlfn.XLOOKUP($D13,UK!$C:$C,UK!AL:AL),0),IFERROR(_xlfn.XLOOKUP($D13,BMM_Order!$C:$C,BMM_Order!AL:AL),0),IFERROR(_xlfn.XLOOKUP($D13,'Adhoc-_Backlog'!$C:$C,'Adhoc-_Backlog'!AN:AN),0))</f>
        <v>0</v>
      </c>
      <c r="AV13" s="51">
        <f>SUM(IFERROR(_xlfn.XLOOKUP($D13,Domestic!$C:$C,Domestic!AO:AO),0),IFERROR(_xlfn.XLOOKUP($D13,'INT-_Manjiri'!$C:$C,'INT-_Manjiri'!AN:AN),0),IFERROR(_xlfn.XLOOKUP($D13,'USA-_Sea_shipment'!$C:$C,'USA-_Sea_shipment'!AN:AN),0),IFERROR(_xlfn.XLOOKUP($D13,Amazon_USA_Sea!$C:$C,Amazon_USA_Sea!AN:AN),0),IFERROR(_xlfn.XLOOKUP($D13,USA_Air_Shipment!$C:$C,USA_Air_Shipment!AM:AM),0),IFERROR(_xlfn.XLOOKUP($D13,Amazon_USA_Air_Shipment!$C:$C,Amazon_USA_Air_Shipment!AM:AM),0),IFERROR(_xlfn.XLOOKUP($D13,MENA!$C:$C,MENA!AM:AM),0),IFERROR(_xlfn.XLOOKUP($D13,UK!$C:$C,UK!AM:AM),0),IFERROR(_xlfn.XLOOKUP($D13,BMM_Order!$C:$C,BMM_Order!AM:AM),0),IFERROR(_xlfn.XLOOKUP($D13,'Adhoc-_Backlog'!$C:$C,'Adhoc-_Backlog'!AO:AO),0))</f>
        <v>0</v>
      </c>
      <c r="AW13" s="51">
        <f>SUM(IFERROR(_xlfn.XLOOKUP($D13,Domestic!$C:$C,Domestic!AP:AP),0),IFERROR(_xlfn.XLOOKUP($D13,'INT-_Manjiri'!$C:$C,'INT-_Manjiri'!AO:AO),0),IFERROR(_xlfn.XLOOKUP($D13,'USA-_Sea_shipment'!$C:$C,'USA-_Sea_shipment'!AO:AO),0),IFERROR(_xlfn.XLOOKUP($D13,Amazon_USA_Sea!$C:$C,Amazon_USA_Sea!AO:AO),0),IFERROR(_xlfn.XLOOKUP($D13,USA_Air_Shipment!$C:$C,USA_Air_Shipment!AN:AN),0),IFERROR(_xlfn.XLOOKUP($D13,Amazon_USA_Air_Shipment!$C:$C,Amazon_USA_Air_Shipment!AN:AN),0),IFERROR(_xlfn.XLOOKUP($D13,MENA!$C:$C,MENA!AN:AN),0),IFERROR(_xlfn.XLOOKUP($D13,UK!$C:$C,UK!AN:AN),0),IFERROR(_xlfn.XLOOKUP($D13,BMM_Order!$C:$C,BMM_Order!AN:AN),0),IFERROR(_xlfn.XLOOKUP($D13,'Adhoc-_Backlog'!$C:$C,'Adhoc-_Backlog'!AP:AP),0))</f>
        <v>0</v>
      </c>
      <c r="AX13" s="51">
        <f>SUM(IFERROR(_xlfn.XLOOKUP($D13,Domestic!$C:$C,Domestic!AQ:AQ),0),IFERROR(_xlfn.XLOOKUP($D13,'INT-_Manjiri'!$C:$C,'INT-_Manjiri'!AP:AP),0),IFERROR(_xlfn.XLOOKUP($D13,'USA-_Sea_shipment'!$C:$C,'USA-_Sea_shipment'!AP:AP),0),IFERROR(_xlfn.XLOOKUP($D13,Amazon_USA_Sea!$C:$C,Amazon_USA_Sea!AP:AP),0),IFERROR(_xlfn.XLOOKUP($D13,USA_Air_Shipment!$C:$C,USA_Air_Shipment!AO:AO),0),IFERROR(_xlfn.XLOOKUP($D13,Amazon_USA_Air_Shipment!$C:$C,Amazon_USA_Air_Shipment!AO:AO),0),IFERROR(_xlfn.XLOOKUP($D13,MENA!$C:$C,MENA!AO:AO),0),IFERROR(_xlfn.XLOOKUP($D13,UK!$C:$C,UK!AO:AO),0),IFERROR(_xlfn.XLOOKUP($D13,BMM_Order!$C:$C,BMM_Order!AO:AO),0),IFERROR(_xlfn.XLOOKUP($D13,'Adhoc-_Backlog'!$C:$C,'Adhoc-_Backlog'!AQ:AQ),0))</f>
        <v>33</v>
      </c>
      <c r="AY13" s="51">
        <f>SUM(IFERROR(_xlfn.XLOOKUP($D13,Domestic!$C:$C,Domestic!AR:AR),0),IFERROR(_xlfn.XLOOKUP($D13,'INT-_Manjiri'!$C:$C,'INT-_Manjiri'!AQ:AQ),0),IFERROR(_xlfn.XLOOKUP($D13,'USA-_Sea_shipment'!$C:$C,'USA-_Sea_shipment'!AQ:AQ),0),IFERROR(_xlfn.XLOOKUP($D13,Amazon_USA_Sea!$C:$C,Amazon_USA_Sea!AQ:AQ),0),IFERROR(_xlfn.XLOOKUP($D13,USA_Air_Shipment!$C:$C,USA_Air_Shipment!AP:AP),0),IFERROR(_xlfn.XLOOKUP($D13,Amazon_USA_Air_Shipment!$C:$C,Amazon_USA_Air_Shipment!AP:AP),0),IFERROR(_xlfn.XLOOKUP($D13,MENA!$C:$C,MENA!AP:AP),0),IFERROR(_xlfn.XLOOKUP($D13,UK!$C:$C,UK!AP:AP),0),IFERROR(_xlfn.XLOOKUP($D13,BMM_Order!$C:$C,BMM_Order!AP:AP),0),IFERROR(_xlfn.XLOOKUP($D13,'Adhoc-_Backlog'!$C:$C,'Adhoc-_Backlog'!AR:AR),0))</f>
        <v>0</v>
      </c>
      <c r="AZ13" s="51">
        <f>SUM(IFERROR(_xlfn.XLOOKUP($D13,Domestic!$C:$C,Domestic!AS:AS),0),IFERROR(_xlfn.XLOOKUP($D13,'INT-_Manjiri'!$C:$C,'INT-_Manjiri'!AR:AR),0),IFERROR(_xlfn.XLOOKUP($D13,'USA-_Sea_shipment'!$C:$C,'USA-_Sea_shipment'!AR:AR),0),IFERROR(_xlfn.XLOOKUP($D13,Amazon_USA_Sea!$C:$C,Amazon_USA_Sea!AR:AR),0),IFERROR(_xlfn.XLOOKUP($D13,USA_Air_Shipment!$C:$C,USA_Air_Shipment!AQ:AQ),0),IFERROR(_xlfn.XLOOKUP($D13,Amazon_USA_Air_Shipment!$C:$C,Amazon_USA_Air_Shipment!AQ:AQ),0),IFERROR(_xlfn.XLOOKUP($D13,MENA!$C:$C,MENA!AQ:AQ),0),IFERROR(_xlfn.XLOOKUP($D13,UK!$C:$C,UK!AQ:AQ),0),IFERROR(_xlfn.XLOOKUP($D13,BMM_Order!$C:$C,BMM_Order!AQ:AQ),0),IFERROR(_xlfn.XLOOKUP($D13,'Adhoc-_Backlog'!$C:$C,'Adhoc-_Backlog'!AS:AS),0))</f>
        <v>0</v>
      </c>
      <c r="BA13" s="51">
        <f>SUM(IFERROR(_xlfn.XLOOKUP($D13,Domestic!$C:$C,Domestic!AT:AT),0),IFERROR(_xlfn.XLOOKUP($D13,'INT-_Manjiri'!$C:$C,'INT-_Manjiri'!AS:AS),0),IFERROR(_xlfn.XLOOKUP($D13,'USA-_Sea_shipment'!$C:$C,'USA-_Sea_shipment'!AS:AS),0),IFERROR(_xlfn.XLOOKUP($D13,Amazon_USA_Sea!$C:$C,Amazon_USA_Sea!AS:AS),0),IFERROR(_xlfn.XLOOKUP($D13,USA_Air_Shipment!$C:$C,USA_Air_Shipment!AR:AR),0),IFERROR(_xlfn.XLOOKUP($D13,Amazon_USA_Air_Shipment!$C:$C,Amazon_USA_Air_Shipment!AR:AR),0),IFERROR(_xlfn.XLOOKUP($D13,MENA!$C:$C,MENA!AR:AR),0),IFERROR(_xlfn.XLOOKUP($D13,UK!$C:$C,UK!AR:AR),0),IFERROR(_xlfn.XLOOKUP($D13,BMM_Order!$C:$C,BMM_Order!AR:AR),0),IFERROR(_xlfn.XLOOKUP($D13,'Adhoc-_Backlog'!$C:$C,'Adhoc-_Backlog'!AT:AT),0))</f>
        <v>0</v>
      </c>
      <c r="BB13" s="52">
        <f t="shared" si="2"/>
        <v>188</v>
      </c>
      <c r="BC13" s="64">
        <f t="shared" si="3"/>
        <v>47</v>
      </c>
      <c r="BD13" s="65">
        <f t="shared" si="4"/>
        <v>121</v>
      </c>
      <c r="BE13" s="64">
        <f t="shared" si="5"/>
        <v>30.25</v>
      </c>
      <c r="BF13" s="66">
        <f t="shared" si="6"/>
        <v>0.60841423948220064</v>
      </c>
      <c r="BG13" s="67" t="str">
        <f>_xlfn.TEXTJOIN(" | ",TRUE,IFERROR(_xlfn.XLOOKUP($D13,Domestic!$C:$C,Domestic!$BG:$BG,""),""),IFERROR(_xlfn.XLOOKUP($D13,'INT-_Manjiri'!$C:$C,'INT-_Manjiri'!$AY:$AY,""),""),IFERROR(_xlfn.XLOOKUP($D13,'USA-_Sea_shipment'!$C:$C,'USA-_Sea_shipment'!#REF!,""),""),IFERROR(_xlfn.XLOOKUP($D13,Amazon_USA_Sea!$C:$C,Amazon_USA_Sea!$AY:$AY,""),""),IFERROR(_xlfn.XLOOKUP($D13,USA_Air_Shipment!$C:$C,USA_Air_Shipment!$AW:$AW,""),""),IFERROR(_xlfn.XLOOKUP($D13,Amazon_USA_Air_Shipment!$C:$C,Amazon_USA_Air_Shipment!$AW:$AW,""),""),IFERROR(_xlfn.XLOOKUP($D13,MENA!$C:$C,MENA!$AW:$AW,""),""),IFERROR(_xlfn.XLOOKUP($D13,UK!$C:$C,UK!$BA:$BA,""),""),IFERROR(_xlfn.XLOOKUP($D13,BMM_Order!$C:$C,BMM_Order!$BA:$BA,""),""),IFERROR(_xlfn.XLOOKUP($D13,'Adhoc-_Backlog'!$C:$C,'Adhoc-_Backlog'!$BD:$BD,""),""))</f>
        <v>WIP</v>
      </c>
      <c r="BH13" s="67">
        <f>_xlfn.XLOOKUP(D13,Raw_Data!A:A,Raw_Data!B:B)</f>
        <v>20</v>
      </c>
      <c r="BI13" s="68">
        <f t="shared" si="7"/>
        <v>1.9417475728155338</v>
      </c>
      <c r="BJ13" s="67">
        <f t="shared" si="8"/>
        <v>10</v>
      </c>
      <c r="BK13" s="57" t="str">
        <f t="shared" si="9"/>
        <v>P1 – Critical</v>
      </c>
    </row>
    <row r="14" spans="1:64" ht="13">
      <c r="A14" s="44">
        <f>1</f>
        <v>1</v>
      </c>
      <c r="B14" s="45" t="s">
        <v>12</v>
      </c>
      <c r="C14" s="45"/>
      <c r="D14" s="46" t="str">
        <f>Projection_!A4</f>
        <v>FG00002</v>
      </c>
      <c r="E14" s="47" t="str">
        <f>Projection_!B4</f>
        <v>A2 Cultured Ghee - 500 ml</v>
      </c>
      <c r="F14" s="48">
        <v>0.5</v>
      </c>
      <c r="G14" s="49">
        <f>IFERROR(_xlfn.XLOOKUP($D14,Projection_!$A:$A,Projection_!$J:$J),0)</f>
        <v>26254.250000000004</v>
      </c>
      <c r="H14" s="49">
        <f>IFERROR(_xlfn.XLOOKUP($D14,Projection_!$A:$A,Projection_!$K:$K),0)</f>
        <v>0</v>
      </c>
      <c r="I14" s="49">
        <f>IFERROR(_xlfn.XLOOKUP($D14,Projection_!$A:$A,Projection_!$L:$L),0)</f>
        <v>1426</v>
      </c>
      <c r="J14" s="49">
        <f>IFERROR(_xlfn.XLOOKUP($D14,Projection_!$A:$A,Projection_!$M:$M),0)</f>
        <v>4179</v>
      </c>
      <c r="K14" s="49">
        <f>IFERROR(_xlfn.XLOOKUP($D14,Projection_!$A:$A,Projection_!$Q:$Q),0)</f>
        <v>0</v>
      </c>
      <c r="L14" s="49">
        <f>IFERROR(_xlfn.XLOOKUP($D14,Projection_!$A:$A,Projection_!$R:$R),0)</f>
        <v>0</v>
      </c>
      <c r="M14" s="49">
        <f>IFERROR(_xlfn.XLOOKUP($D14,Projection_!$A:$A,Projection_!$O:$O),0)</f>
        <v>0</v>
      </c>
      <c r="N14" s="49">
        <f>IFERROR(_xlfn.XLOOKUP($D14,Projection_!$A:$A,Projection_!$P:$P),0)</f>
        <v>5439</v>
      </c>
      <c r="O14" s="50">
        <f t="shared" si="1"/>
        <v>37298.25</v>
      </c>
      <c r="P14" s="51">
        <f>SUM(IFERROR(_xlfn.XLOOKUP($D14,Domestic!$C:$C,Domestic!I:I),0),IFERROR(_xlfn.XLOOKUP($D14,'INT-_Manjiri'!$C:$C,'INT-_Manjiri'!H:H),0),IFERROR(_xlfn.XLOOKUP($D14,'USA-_Sea_shipment'!$C:$C,'USA-_Sea_shipment'!H:H),0),IFERROR(_xlfn.XLOOKUP($D14,Amazon_USA_Sea!$C:$C,Amazon_USA_Sea!H:H),0),IFERROR(_xlfn.XLOOKUP($D14,USA_Air_Shipment!$C:$C,USA_Air_Shipment!G:G),0),IFERROR(_xlfn.XLOOKUP($D14,Amazon_USA_Air_Shipment!$C:$C,Amazon_USA_Air_Shipment!G:G),0),IFERROR(_xlfn.XLOOKUP($D14,MENA!$C:$C,MENA!G:G),0),IFERROR(_xlfn.XLOOKUP($D14,UK!$C:$C,UK!G:G),0),IFERROR(_xlfn.XLOOKUP($D14,BMM_Order!$C:$C,BMM_Order!G:G),0),IFERROR(_xlfn.XLOOKUP($D14,'Adhoc-_Backlog'!$C:$C,'Adhoc-_Backlog'!I:I),0))</f>
        <v>0</v>
      </c>
      <c r="Q14" s="51">
        <f>SUM(IFERROR(_xlfn.XLOOKUP($D14,Domestic!$C:$C,Domestic!J:J),0),IFERROR(_xlfn.XLOOKUP($D14,'INT-_Manjiri'!$C:$C,'INT-_Manjiri'!I:I),0),IFERROR(_xlfn.XLOOKUP($D14,'USA-_Sea_shipment'!$C:$C,'USA-_Sea_shipment'!I:I),0),IFERROR(_xlfn.XLOOKUP($D14,Amazon_USA_Sea!$C:$C,Amazon_USA_Sea!I:I),0),IFERROR(_xlfn.XLOOKUP($D14,USA_Air_Shipment!$C:$C,USA_Air_Shipment!H:H),0),IFERROR(_xlfn.XLOOKUP($D14,Amazon_USA_Air_Shipment!$C:$C,Amazon_USA_Air_Shipment!H:H),0),IFERROR(_xlfn.XLOOKUP($D14,MENA!$C:$C,MENA!H:H),0),IFERROR(_xlfn.XLOOKUP($D14,UK!$C:$C,UK!H:H),0),IFERROR(_xlfn.XLOOKUP($D14,BMM_Order!$C:$C,BMM_Order!H:H),0),IFERROR(_xlfn.XLOOKUP($D14,'Adhoc-_Backlog'!$C:$C,'Adhoc-_Backlog'!J:J),0))</f>
        <v>0</v>
      </c>
      <c r="R14" s="51">
        <f>SUM(IFERROR(_xlfn.XLOOKUP($D14,Domestic!$C:$C,Domestic!K:K),0),IFERROR(_xlfn.XLOOKUP($D14,'INT-_Manjiri'!$C:$C,'INT-_Manjiri'!J:J),0),IFERROR(_xlfn.XLOOKUP($D14,'USA-_Sea_shipment'!$C:$C,'USA-_Sea_shipment'!J:J),0),IFERROR(_xlfn.XLOOKUP($D14,Amazon_USA_Sea!$C:$C,Amazon_USA_Sea!J:J),0),IFERROR(_xlfn.XLOOKUP($D14,USA_Air_Shipment!$C:$C,USA_Air_Shipment!I:I),0),IFERROR(_xlfn.XLOOKUP($D14,Amazon_USA_Air_Shipment!$C:$C,Amazon_USA_Air_Shipment!I:I),0),IFERROR(_xlfn.XLOOKUP($D14,MENA!$C:$C,MENA!I:I),0),IFERROR(_xlfn.XLOOKUP($D14,UK!$C:$C,UK!I:I),0),IFERROR(_xlfn.XLOOKUP($D14,BMM_Order!$C:$C,BMM_Order!I:I),0),IFERROR(_xlfn.XLOOKUP($D14,'Adhoc-_Backlog'!$C:$C,'Adhoc-_Backlog'!K:K),0))</f>
        <v>0</v>
      </c>
      <c r="S14" s="51">
        <f>SUM(IFERROR(_xlfn.XLOOKUP($D14,Domestic!$C:$C,Domestic!L:L),0),IFERROR(_xlfn.XLOOKUP($D14,'INT-_Manjiri'!$C:$C,'INT-_Manjiri'!K:K),0),IFERROR(_xlfn.XLOOKUP($D14,'USA-_Sea_shipment'!$C:$C,'USA-_Sea_shipment'!K:K),0),IFERROR(_xlfn.XLOOKUP($D14,Amazon_USA_Sea!$C:$C,Amazon_USA_Sea!K:K),0),IFERROR(_xlfn.XLOOKUP($D14,USA_Air_Shipment!$C:$C,USA_Air_Shipment!J:J),0),IFERROR(_xlfn.XLOOKUP($D14,Amazon_USA_Air_Shipment!$C:$C,Amazon_USA_Air_Shipment!J:J),0),IFERROR(_xlfn.XLOOKUP($D14,MENA!$C:$C,MENA!J:J),0),IFERROR(_xlfn.XLOOKUP($D14,UK!$C:$C,UK!J:J),0),IFERROR(_xlfn.XLOOKUP($D14,BMM_Order!$C:$C,BMM_Order!J:J),0),IFERROR(_xlfn.XLOOKUP($D14,'Adhoc-_Backlog'!$C:$C,'Adhoc-_Backlog'!L:L),0))</f>
        <v>0</v>
      </c>
      <c r="T14" s="51">
        <f>SUM(IFERROR(_xlfn.XLOOKUP($D14,Domestic!$C:$C,Domestic!M:M),0),IFERROR(_xlfn.XLOOKUP($D14,'INT-_Manjiri'!$C:$C,'INT-_Manjiri'!L:L),0),IFERROR(_xlfn.XLOOKUP($D14,'USA-_Sea_shipment'!$C:$C,'USA-_Sea_shipment'!L:L),0),IFERROR(_xlfn.XLOOKUP($D14,Amazon_USA_Sea!$C:$C,Amazon_USA_Sea!L:L),0),IFERROR(_xlfn.XLOOKUP($D14,USA_Air_Shipment!$C:$C,USA_Air_Shipment!K:K),0),IFERROR(_xlfn.XLOOKUP($D14,Amazon_USA_Air_Shipment!$C:$C,Amazon_USA_Air_Shipment!K:K),0),IFERROR(_xlfn.XLOOKUP($D14,MENA!$C:$C,MENA!K:K),0),IFERROR(_xlfn.XLOOKUP($D14,UK!$C:$C,UK!K:K),0),IFERROR(_xlfn.XLOOKUP($D14,BMM_Order!$C:$C,BMM_Order!K:K),0),IFERROR(_xlfn.XLOOKUP($D14,'Adhoc-_Backlog'!$C:$C,'Adhoc-_Backlog'!M:M),0))</f>
        <v>998</v>
      </c>
      <c r="U14" s="51">
        <f>SUM(IFERROR(_xlfn.XLOOKUP($D14,Domestic!$C:$C,Domestic!N:N),0),IFERROR(_xlfn.XLOOKUP($D14,'INT-_Manjiri'!$C:$C,'INT-_Manjiri'!M:M),0),IFERROR(_xlfn.XLOOKUP($D14,'USA-_Sea_shipment'!$C:$C,'USA-_Sea_shipment'!M:M),0),IFERROR(_xlfn.XLOOKUP($D14,Amazon_USA_Sea!$C:$C,Amazon_USA_Sea!M:M),0),IFERROR(_xlfn.XLOOKUP($D14,USA_Air_Shipment!$C:$C,USA_Air_Shipment!L:L),0),IFERROR(_xlfn.XLOOKUP($D14,Amazon_USA_Air_Shipment!$C:$C,Amazon_USA_Air_Shipment!L:L),0),IFERROR(_xlfn.XLOOKUP($D14,MENA!$C:$C,MENA!L:L),0),IFERROR(_xlfn.XLOOKUP($D14,UK!$C:$C,UK!L:L),0),IFERROR(_xlfn.XLOOKUP($D14,BMM_Order!$C:$C,BMM_Order!L:L),0),IFERROR(_xlfn.XLOOKUP($D14,'Adhoc-_Backlog'!$C:$C,'Adhoc-_Backlog'!N:N),0))</f>
        <v>673</v>
      </c>
      <c r="V14" s="51">
        <f>SUM(IFERROR(_xlfn.XLOOKUP($D14,Domestic!$C:$C,Domestic!O:O),0),IFERROR(_xlfn.XLOOKUP($D14,'INT-_Manjiri'!$C:$C,'INT-_Manjiri'!N:N),0),IFERROR(_xlfn.XLOOKUP($D14,'USA-_Sea_shipment'!$C:$C,'USA-_Sea_shipment'!N:N),0),IFERROR(_xlfn.XLOOKUP($D14,Amazon_USA_Sea!$C:$C,Amazon_USA_Sea!N:N),0),IFERROR(_xlfn.XLOOKUP($D14,USA_Air_Shipment!$C:$C,USA_Air_Shipment!M:M),0),IFERROR(_xlfn.XLOOKUP($D14,Amazon_USA_Air_Shipment!$C:$C,Amazon_USA_Air_Shipment!M:M),0),IFERROR(_xlfn.XLOOKUP($D14,MENA!$C:$C,MENA!M:M),0),IFERROR(_xlfn.XLOOKUP($D14,UK!$C:$C,UK!M:M),0),IFERROR(_xlfn.XLOOKUP($D14,BMM_Order!$C:$C,BMM_Order!M:M),0),IFERROR(_xlfn.XLOOKUP($D14,'Adhoc-_Backlog'!$C:$C,'Adhoc-_Backlog'!O:O),0))</f>
        <v>0</v>
      </c>
      <c r="W14" s="51">
        <f>SUM(IFERROR(_xlfn.XLOOKUP($D14,Domestic!$C:$C,Domestic!P:P),0),IFERROR(_xlfn.XLOOKUP($D14,'INT-_Manjiri'!$C:$C,'INT-_Manjiri'!O:O),0),IFERROR(_xlfn.XLOOKUP($D14,'USA-_Sea_shipment'!$C:$C,'USA-_Sea_shipment'!O:O),0),IFERROR(_xlfn.XLOOKUP($D14,Amazon_USA_Sea!$C:$C,Amazon_USA_Sea!O:O),0),IFERROR(_xlfn.XLOOKUP($D14,USA_Air_Shipment!$C:$C,USA_Air_Shipment!N:N),0),IFERROR(_xlfn.XLOOKUP($D14,Amazon_USA_Air_Shipment!$C:$C,Amazon_USA_Air_Shipment!N:N),0),IFERROR(_xlfn.XLOOKUP($D14,MENA!$C:$C,MENA!N:N),0),IFERROR(_xlfn.XLOOKUP($D14,UK!$C:$C,UK!N:N),0),IFERROR(_xlfn.XLOOKUP($D14,BMM_Order!$C:$C,BMM_Order!N:N),0),IFERROR(_xlfn.XLOOKUP($D14,'Adhoc-_Backlog'!$C:$C,'Adhoc-_Backlog'!P:P),0))</f>
        <v>818</v>
      </c>
      <c r="X14" s="51">
        <f>SUM(IFERROR(_xlfn.XLOOKUP($D14,Domestic!$C:$C,Domestic!Q:Q),0),IFERROR(_xlfn.XLOOKUP($D14,'INT-_Manjiri'!$C:$C,'INT-_Manjiri'!P:P),0),IFERROR(_xlfn.XLOOKUP($D14,'USA-_Sea_shipment'!$C:$C,'USA-_Sea_shipment'!P:P),0),IFERROR(_xlfn.XLOOKUP($D14,Amazon_USA_Sea!$C:$C,Amazon_USA_Sea!P:P),0),IFERROR(_xlfn.XLOOKUP($D14,USA_Air_Shipment!$C:$C,USA_Air_Shipment!O:O),0),IFERROR(_xlfn.XLOOKUP($D14,Amazon_USA_Air_Shipment!$C:$C,Amazon_USA_Air_Shipment!O:O),0),IFERROR(_xlfn.XLOOKUP($D14,MENA!$C:$C,MENA!O:O),0),IFERROR(_xlfn.XLOOKUP($D14,UK!$C:$C,UK!O:O),0),IFERROR(_xlfn.XLOOKUP($D14,BMM_Order!$C:$C,BMM_Order!O:O),0),IFERROR(_xlfn.XLOOKUP($D14,'Adhoc-_Backlog'!$C:$C,'Adhoc-_Backlog'!Q:Q),0))</f>
        <v>861</v>
      </c>
      <c r="Y14" s="51">
        <f>SUM(IFERROR(_xlfn.XLOOKUP($D14,Domestic!$C:$C,Domestic!R:R),0),IFERROR(_xlfn.XLOOKUP($D14,'INT-_Manjiri'!$C:$C,'INT-_Manjiri'!Q:Q),0),IFERROR(_xlfn.XLOOKUP($D14,'USA-_Sea_shipment'!$C:$C,'USA-_Sea_shipment'!Q:Q),0),IFERROR(_xlfn.XLOOKUP($D14,Amazon_USA_Sea!$C:$C,Amazon_USA_Sea!Q:Q),0),IFERROR(_xlfn.XLOOKUP($D14,USA_Air_Shipment!$C:$C,USA_Air_Shipment!P:P),0),IFERROR(_xlfn.XLOOKUP($D14,Amazon_USA_Air_Shipment!$C:$C,Amazon_USA_Air_Shipment!P:P),0),IFERROR(_xlfn.XLOOKUP($D14,MENA!$C:$C,MENA!P:P),0),IFERROR(_xlfn.XLOOKUP($D14,UK!$C:$C,UK!P:P),0),IFERROR(_xlfn.XLOOKUP($D14,BMM_Order!$C:$C,BMM_Order!P:P),0),IFERROR(_xlfn.XLOOKUP($D14,'Adhoc-_Backlog'!$C:$C,'Adhoc-_Backlog'!R:R),0))</f>
        <v>840</v>
      </c>
      <c r="Z14" s="51">
        <f>SUM(IFERROR(_xlfn.XLOOKUP($D14,Domestic!$C:$C,Domestic!S:S),0),IFERROR(_xlfn.XLOOKUP($D14,'INT-_Manjiri'!$C:$C,'INT-_Manjiri'!R:R),0),IFERROR(_xlfn.XLOOKUP($D14,'USA-_Sea_shipment'!$C:$C,'USA-_Sea_shipment'!R:R),0),IFERROR(_xlfn.XLOOKUP($D14,Amazon_USA_Sea!$C:$C,Amazon_USA_Sea!R:R),0),IFERROR(_xlfn.XLOOKUP($D14,USA_Air_Shipment!$C:$C,USA_Air_Shipment!Q:Q),0),IFERROR(_xlfn.XLOOKUP($D14,Amazon_USA_Air_Shipment!$C:$C,Amazon_USA_Air_Shipment!Q:Q),0),IFERROR(_xlfn.XLOOKUP($D14,MENA!$C:$C,MENA!Q:Q),0),IFERROR(_xlfn.XLOOKUP($D14,UK!$C:$C,UK!Q:Q),0),IFERROR(_xlfn.XLOOKUP($D14,BMM_Order!$C:$C,BMM_Order!Q:Q),0),IFERROR(_xlfn.XLOOKUP($D14,'Adhoc-_Backlog'!$C:$C,'Adhoc-_Backlog'!S:S),0))</f>
        <v>1583</v>
      </c>
      <c r="AA14" s="51">
        <f>SUM(IFERROR(_xlfn.XLOOKUP($D14,Domestic!$C:$C,Domestic!T:T),0),IFERROR(_xlfn.XLOOKUP($D14,'INT-_Manjiri'!$C:$C,'INT-_Manjiri'!S:S),0),IFERROR(_xlfn.XLOOKUP($D14,'USA-_Sea_shipment'!$C:$C,'USA-_Sea_shipment'!S:S),0),IFERROR(_xlfn.XLOOKUP($D14,Amazon_USA_Sea!$C:$C,Amazon_USA_Sea!S:S),0),IFERROR(_xlfn.XLOOKUP($D14,USA_Air_Shipment!$C:$C,USA_Air_Shipment!R:R),0),IFERROR(_xlfn.XLOOKUP($D14,Amazon_USA_Air_Shipment!$C:$C,Amazon_USA_Air_Shipment!R:R),0),IFERROR(_xlfn.XLOOKUP($D14,MENA!$C:$C,MENA!R:R),0),IFERROR(_xlfn.XLOOKUP($D14,UK!$C:$C,UK!R:R),0),IFERROR(_xlfn.XLOOKUP($D14,BMM_Order!$C:$C,BMM_Order!R:R),0),IFERROR(_xlfn.XLOOKUP($D14,'Adhoc-_Backlog'!$C:$C,'Adhoc-_Backlog'!T:T),0))</f>
        <v>2120</v>
      </c>
      <c r="AB14" s="51">
        <f>SUM(IFERROR(_xlfn.XLOOKUP($D14,Domestic!$C:$C,Domestic!U:U),0),IFERROR(_xlfn.XLOOKUP($D14,'INT-_Manjiri'!$C:$C,'INT-_Manjiri'!T:T),0),IFERROR(_xlfn.XLOOKUP($D14,'USA-_Sea_shipment'!$C:$C,'USA-_Sea_shipment'!T:T),0),IFERROR(_xlfn.XLOOKUP($D14,Amazon_USA_Sea!$C:$C,Amazon_USA_Sea!T:T),0),IFERROR(_xlfn.XLOOKUP($D14,USA_Air_Shipment!$C:$C,USA_Air_Shipment!S:S),0),IFERROR(_xlfn.XLOOKUP($D14,Amazon_USA_Air_Shipment!$C:$C,Amazon_USA_Air_Shipment!S:S),0),IFERROR(_xlfn.XLOOKUP($D14,MENA!$C:$C,MENA!S:S),0),IFERROR(_xlfn.XLOOKUP($D14,UK!$C:$C,UK!S:S),0),IFERROR(_xlfn.XLOOKUP($D14,BMM_Order!$C:$C,BMM_Order!S:S),0),IFERROR(_xlfn.XLOOKUP($D14,'Adhoc-_Backlog'!$C:$C,'Adhoc-_Backlog'!U:U),0))</f>
        <v>1201</v>
      </c>
      <c r="AC14" s="51">
        <f>SUM(IFERROR(_xlfn.XLOOKUP($D14,Domestic!$C:$C,Domestic!V:V),0),IFERROR(_xlfn.XLOOKUP($D14,'INT-_Manjiri'!$C:$C,'INT-_Manjiri'!U:U),0),IFERROR(_xlfn.XLOOKUP($D14,'USA-_Sea_shipment'!$C:$C,'USA-_Sea_shipment'!U:U),0),IFERROR(_xlfn.XLOOKUP($D14,Amazon_USA_Sea!$C:$C,Amazon_USA_Sea!U:U),0),IFERROR(_xlfn.XLOOKUP($D14,USA_Air_Shipment!$C:$C,USA_Air_Shipment!T:T),0),IFERROR(_xlfn.XLOOKUP($D14,Amazon_USA_Air_Shipment!$C:$C,Amazon_USA_Air_Shipment!T:T),0),IFERROR(_xlfn.XLOOKUP($D14,MENA!$C:$C,MENA!T:T),0),IFERROR(_xlfn.XLOOKUP($D14,UK!$C:$C,UK!T:T),0),IFERROR(_xlfn.XLOOKUP($D14,BMM_Order!$C:$C,BMM_Order!T:T),0),IFERROR(_xlfn.XLOOKUP($D14,'Adhoc-_Backlog'!$C:$C,'Adhoc-_Backlog'!V:V),0))</f>
        <v>0</v>
      </c>
      <c r="AD14" s="51">
        <f>SUM(IFERROR(_xlfn.XLOOKUP($D14,Domestic!$C:$C,Domestic!W:W),0),IFERROR(_xlfn.XLOOKUP($D14,'INT-_Manjiri'!$C:$C,'INT-_Manjiri'!V:V),0),IFERROR(_xlfn.XLOOKUP($D14,'USA-_Sea_shipment'!$C:$C,'USA-_Sea_shipment'!V:V),0),IFERROR(_xlfn.XLOOKUP($D14,Amazon_USA_Sea!$C:$C,Amazon_USA_Sea!V:V),0),IFERROR(_xlfn.XLOOKUP($D14,USA_Air_Shipment!$C:$C,USA_Air_Shipment!U:U),0),IFERROR(_xlfn.XLOOKUP($D14,Amazon_USA_Air_Shipment!$C:$C,Amazon_USA_Air_Shipment!U:U),0),IFERROR(_xlfn.XLOOKUP($D14,MENA!$C:$C,MENA!U:U),0),IFERROR(_xlfn.XLOOKUP($D14,UK!$C:$C,UK!U:U),0),IFERROR(_xlfn.XLOOKUP($D14,BMM_Order!$C:$C,BMM_Order!U:U),0),IFERROR(_xlfn.XLOOKUP($D14,'Adhoc-_Backlog'!$C:$C,'Adhoc-_Backlog'!W:W),0))</f>
        <v>2094</v>
      </c>
      <c r="AE14" s="51">
        <f>SUM(IFERROR(_xlfn.XLOOKUP($D14,Domestic!$C:$C,Domestic!X:X),0),IFERROR(_xlfn.XLOOKUP($D14,'INT-_Manjiri'!$C:$C,'INT-_Manjiri'!W:W),0),IFERROR(_xlfn.XLOOKUP($D14,'USA-_Sea_shipment'!$C:$C,'USA-_Sea_shipment'!W:W),0),IFERROR(_xlfn.XLOOKUP($D14,Amazon_USA_Sea!$C:$C,Amazon_USA_Sea!W:W),0),IFERROR(_xlfn.XLOOKUP($D14,USA_Air_Shipment!$C:$C,USA_Air_Shipment!V:V),0),IFERROR(_xlfn.XLOOKUP($D14,Amazon_USA_Air_Shipment!$C:$C,Amazon_USA_Air_Shipment!V:V),0),IFERROR(_xlfn.XLOOKUP($D14,MENA!$C:$C,MENA!V:V),0),IFERROR(_xlfn.XLOOKUP($D14,UK!$C:$C,UK!V:V),0),IFERROR(_xlfn.XLOOKUP($D14,BMM_Order!$C:$C,BMM_Order!V:V),0),IFERROR(_xlfn.XLOOKUP($D14,'Adhoc-_Backlog'!$C:$C,'Adhoc-_Backlog'!X:X),0))</f>
        <v>55</v>
      </c>
      <c r="AF14" s="51">
        <f>SUM(IFERROR(_xlfn.XLOOKUP($D14,Domestic!$C:$C,Domestic!Y:Y),0),IFERROR(_xlfn.XLOOKUP($D14,'INT-_Manjiri'!$C:$C,'INT-_Manjiri'!X:X),0),IFERROR(_xlfn.XLOOKUP($D14,'USA-_Sea_shipment'!$C:$C,'USA-_Sea_shipment'!X:X),0),IFERROR(_xlfn.XLOOKUP($D14,Amazon_USA_Sea!$C:$C,Amazon_USA_Sea!X:X),0),IFERROR(_xlfn.XLOOKUP($D14,USA_Air_Shipment!$C:$C,USA_Air_Shipment!W:W),0),IFERROR(_xlfn.XLOOKUP($D14,Amazon_USA_Air_Shipment!$C:$C,Amazon_USA_Air_Shipment!W:W),0),IFERROR(_xlfn.XLOOKUP($D14,MENA!$C:$C,MENA!W:W),0),IFERROR(_xlfn.XLOOKUP($D14,UK!$C:$C,UK!W:W),0),IFERROR(_xlfn.XLOOKUP($D14,BMM_Order!$C:$C,BMM_Order!W:W),0),IFERROR(_xlfn.XLOOKUP($D14,'Adhoc-_Backlog'!$C:$C,'Adhoc-_Backlog'!Y:Y),0))</f>
        <v>183</v>
      </c>
      <c r="AG14" s="51">
        <f>SUM(IFERROR(_xlfn.XLOOKUP($D14,Domestic!$C:$C,Domestic!Z:Z),0),IFERROR(_xlfn.XLOOKUP($D14,'INT-_Manjiri'!$C:$C,'INT-_Manjiri'!Y:Y),0),IFERROR(_xlfn.XLOOKUP($D14,'USA-_Sea_shipment'!$C:$C,'USA-_Sea_shipment'!Y:Y),0),IFERROR(_xlfn.XLOOKUP($D14,Amazon_USA_Sea!$C:$C,Amazon_USA_Sea!Y:Y),0),IFERROR(_xlfn.XLOOKUP($D14,USA_Air_Shipment!$C:$C,USA_Air_Shipment!X:X),0),IFERROR(_xlfn.XLOOKUP($D14,Amazon_USA_Air_Shipment!$C:$C,Amazon_USA_Air_Shipment!X:X),0),IFERROR(_xlfn.XLOOKUP($D14,MENA!$C:$C,MENA!X:X),0),IFERROR(_xlfn.XLOOKUP($D14,UK!$C:$C,UK!X:X),0),IFERROR(_xlfn.XLOOKUP($D14,BMM_Order!$C:$C,BMM_Order!X:X),0),IFERROR(_xlfn.XLOOKUP($D14,'Adhoc-_Backlog'!$C:$C,'Adhoc-_Backlog'!Z:Z),0))</f>
        <v>509</v>
      </c>
      <c r="AH14" s="51">
        <f>SUM(IFERROR(_xlfn.XLOOKUP($D14,Domestic!$C:$C,Domestic!AA:AA),0),IFERROR(_xlfn.XLOOKUP($D14,'INT-_Manjiri'!$C:$C,'INT-_Manjiri'!Z:Z),0),IFERROR(_xlfn.XLOOKUP($D14,'USA-_Sea_shipment'!$C:$C,'USA-_Sea_shipment'!Z:Z),0),IFERROR(_xlfn.XLOOKUP($D14,Amazon_USA_Sea!$C:$C,Amazon_USA_Sea!Z:Z),0),IFERROR(_xlfn.XLOOKUP($D14,USA_Air_Shipment!$C:$C,USA_Air_Shipment!Y:Y),0),IFERROR(_xlfn.XLOOKUP($D14,Amazon_USA_Air_Shipment!$C:$C,Amazon_USA_Air_Shipment!Y:Y),0),IFERROR(_xlfn.XLOOKUP($D14,MENA!$C:$C,MENA!Y:Y),0),IFERROR(_xlfn.XLOOKUP($D14,UK!$C:$C,UK!Y:Y),0),IFERROR(_xlfn.XLOOKUP($D14,BMM_Order!$C:$C,BMM_Order!Y:Y),0),IFERROR(_xlfn.XLOOKUP($D14,'Adhoc-_Backlog'!$C:$C,'Adhoc-_Backlog'!AA:AA),0))</f>
        <v>15</v>
      </c>
      <c r="AI14" s="51">
        <f>SUM(IFERROR(_xlfn.XLOOKUP($D14,Domestic!$C:$C,Domestic!AB:AB),0),IFERROR(_xlfn.XLOOKUP($D14,'INT-_Manjiri'!$C:$C,'INT-_Manjiri'!AA:AA),0),IFERROR(_xlfn.XLOOKUP($D14,'USA-_Sea_shipment'!$C:$C,'USA-_Sea_shipment'!AA:AA),0),IFERROR(_xlfn.XLOOKUP($D14,Amazon_USA_Sea!$C:$C,Amazon_USA_Sea!AA:AA),0),IFERROR(_xlfn.XLOOKUP($D14,USA_Air_Shipment!$C:$C,USA_Air_Shipment!Z:Z),0),IFERROR(_xlfn.XLOOKUP($D14,Amazon_USA_Air_Shipment!$C:$C,Amazon_USA_Air_Shipment!Z:Z),0),IFERROR(_xlfn.XLOOKUP($D14,MENA!$C:$C,MENA!Z:Z),0),IFERROR(_xlfn.XLOOKUP($D14,UK!$C:$C,UK!Z:Z),0),IFERROR(_xlfn.XLOOKUP($D14,BMM_Order!$C:$C,BMM_Order!Z:Z),0),IFERROR(_xlfn.XLOOKUP($D14,'Adhoc-_Backlog'!$C:$C,'Adhoc-_Backlog'!AB:AB),0))</f>
        <v>0</v>
      </c>
      <c r="AJ14" s="51">
        <f>SUM(IFERROR(_xlfn.XLOOKUP($D14,Domestic!$C:$C,Domestic!AC:AC),0),IFERROR(_xlfn.XLOOKUP($D14,'INT-_Manjiri'!$C:$C,'INT-_Manjiri'!AB:AB),0),IFERROR(_xlfn.XLOOKUP($D14,'USA-_Sea_shipment'!$C:$C,'USA-_Sea_shipment'!AB:AB),0),IFERROR(_xlfn.XLOOKUP($D14,Amazon_USA_Sea!$C:$C,Amazon_USA_Sea!AB:AB),0),IFERROR(_xlfn.XLOOKUP($D14,USA_Air_Shipment!$C:$C,USA_Air_Shipment!AA:AA),0),IFERROR(_xlfn.XLOOKUP($D14,Amazon_USA_Air_Shipment!$C:$C,Amazon_USA_Air_Shipment!AA:AA),0),IFERROR(_xlfn.XLOOKUP($D14,MENA!$C:$C,MENA!AA:AA),0),IFERROR(_xlfn.XLOOKUP($D14,UK!$C:$C,UK!AA:AA),0),IFERROR(_xlfn.XLOOKUP($D14,BMM_Order!$C:$C,BMM_Order!AA:AA),0),IFERROR(_xlfn.XLOOKUP($D14,'Adhoc-_Backlog'!$C:$C,'Adhoc-_Backlog'!AC:AC),0))</f>
        <v>0</v>
      </c>
      <c r="AK14" s="51">
        <f>SUM(IFERROR(_xlfn.XLOOKUP($D14,Domestic!$C:$C,Domestic!AD:AD),0),IFERROR(_xlfn.XLOOKUP($D14,'INT-_Manjiri'!$C:$C,'INT-_Manjiri'!AC:AC),0),IFERROR(_xlfn.XLOOKUP($D14,'USA-_Sea_shipment'!$C:$C,'USA-_Sea_shipment'!AC:AC),0),IFERROR(_xlfn.XLOOKUP($D14,Amazon_USA_Sea!$C:$C,Amazon_USA_Sea!AC:AC),0),IFERROR(_xlfn.XLOOKUP($D14,USA_Air_Shipment!$C:$C,USA_Air_Shipment!AB:AB),0),IFERROR(_xlfn.XLOOKUP($D14,Amazon_USA_Air_Shipment!$C:$C,Amazon_USA_Air_Shipment!AB:AB),0),IFERROR(_xlfn.XLOOKUP($D14,MENA!$C:$C,MENA!AB:AB),0),IFERROR(_xlfn.XLOOKUP($D14,UK!$C:$C,UK!AB:AB),0),IFERROR(_xlfn.XLOOKUP($D14,BMM_Order!$C:$C,BMM_Order!AB:AB),0),IFERROR(_xlfn.XLOOKUP($D14,'Adhoc-_Backlog'!$C:$C,'Adhoc-_Backlog'!AD:AD),0))</f>
        <v>0</v>
      </c>
      <c r="AL14" s="51">
        <f>SUM(IFERROR(_xlfn.XLOOKUP($D14,Domestic!$C:$C,Domestic!AE:AE),0),IFERROR(_xlfn.XLOOKUP($D14,'INT-_Manjiri'!$C:$C,'INT-_Manjiri'!AD:AD),0),IFERROR(_xlfn.XLOOKUP($D14,'USA-_Sea_shipment'!$C:$C,'USA-_Sea_shipment'!AD:AD),0),IFERROR(_xlfn.XLOOKUP($D14,Amazon_USA_Sea!$C:$C,Amazon_USA_Sea!AD:AD),0),IFERROR(_xlfn.XLOOKUP($D14,USA_Air_Shipment!$C:$C,USA_Air_Shipment!AC:AC),0),IFERROR(_xlfn.XLOOKUP($D14,Amazon_USA_Air_Shipment!$C:$C,Amazon_USA_Air_Shipment!AC:AC),0),IFERROR(_xlfn.XLOOKUP($D14,MENA!$C:$C,MENA!AC:AC),0),IFERROR(_xlfn.XLOOKUP($D14,UK!$C:$C,UK!AC:AC),0),IFERROR(_xlfn.XLOOKUP($D14,BMM_Order!$C:$C,BMM_Order!AC:AC),0),IFERROR(_xlfn.XLOOKUP($D14,'Adhoc-_Backlog'!$C:$C,'Adhoc-_Backlog'!AE:AE),0))</f>
        <v>0</v>
      </c>
      <c r="AM14" s="51">
        <f>SUM(IFERROR(_xlfn.XLOOKUP($D14,Domestic!$C:$C,Domestic!AF:AF),0),IFERROR(_xlfn.XLOOKUP($D14,'INT-_Manjiri'!$C:$C,'INT-_Manjiri'!AE:AE),0),IFERROR(_xlfn.XLOOKUP($D14,'USA-_Sea_shipment'!$C:$C,'USA-_Sea_shipment'!AE:AE),0),IFERROR(_xlfn.XLOOKUP($D14,Amazon_USA_Sea!$C:$C,Amazon_USA_Sea!AE:AE),0),IFERROR(_xlfn.XLOOKUP($D14,USA_Air_Shipment!$C:$C,USA_Air_Shipment!AD:AD),0),IFERROR(_xlfn.XLOOKUP($D14,Amazon_USA_Air_Shipment!$C:$C,Amazon_USA_Air_Shipment!AD:AD),0),IFERROR(_xlfn.XLOOKUP($D14,MENA!$C:$C,MENA!AD:AD),0),IFERROR(_xlfn.XLOOKUP($D14,UK!$C:$C,UK!AD:AD),0),IFERROR(_xlfn.XLOOKUP($D14,BMM_Order!$C:$C,BMM_Order!AD:AD),0),IFERROR(_xlfn.XLOOKUP($D14,'Adhoc-_Backlog'!$C:$C,'Adhoc-_Backlog'!AF:AF),0))</f>
        <v>0</v>
      </c>
      <c r="AN14" s="51">
        <f>SUM(IFERROR(_xlfn.XLOOKUP($D14,Domestic!$C:$C,Domestic!AG:AG),0),IFERROR(_xlfn.XLOOKUP($D14,'INT-_Manjiri'!$C:$C,'INT-_Manjiri'!AF:AF),0),IFERROR(_xlfn.XLOOKUP($D14,'USA-_Sea_shipment'!$C:$C,'USA-_Sea_shipment'!AF:AF),0),IFERROR(_xlfn.XLOOKUP($D14,Amazon_USA_Sea!$C:$C,Amazon_USA_Sea!AF:AF),0),IFERROR(_xlfn.XLOOKUP($D14,USA_Air_Shipment!$C:$C,USA_Air_Shipment!AE:AE),0),IFERROR(_xlfn.XLOOKUP($D14,Amazon_USA_Air_Shipment!$C:$C,Amazon_USA_Air_Shipment!AE:AE),0),IFERROR(_xlfn.XLOOKUP($D14,MENA!$C:$C,MENA!AE:AE),0),IFERROR(_xlfn.XLOOKUP($D14,UK!$C:$C,UK!AE:AE),0),IFERROR(_xlfn.XLOOKUP($D14,BMM_Order!$C:$C,BMM_Order!AE:AE),0),IFERROR(_xlfn.XLOOKUP($D14,'Adhoc-_Backlog'!$C:$C,'Adhoc-_Backlog'!AG:AG),0))</f>
        <v>441</v>
      </c>
      <c r="AO14" s="51">
        <f>SUM(IFERROR(_xlfn.XLOOKUP($D14,Domestic!$C:$C,Domestic!AH:AH),0),IFERROR(_xlfn.XLOOKUP($D14,'INT-_Manjiri'!$C:$C,'INT-_Manjiri'!AG:AG),0),IFERROR(_xlfn.XLOOKUP($D14,'USA-_Sea_shipment'!$C:$C,'USA-_Sea_shipment'!AG:AG),0),IFERROR(_xlfn.XLOOKUP($D14,Amazon_USA_Sea!$C:$C,Amazon_USA_Sea!AG:AG),0),IFERROR(_xlfn.XLOOKUP($D14,USA_Air_Shipment!$C:$C,USA_Air_Shipment!AF:AF),0),IFERROR(_xlfn.XLOOKUP($D14,Amazon_USA_Air_Shipment!$C:$C,Amazon_USA_Air_Shipment!AF:AF),0),IFERROR(_xlfn.XLOOKUP($D14,MENA!$C:$C,MENA!AF:AF),0),IFERROR(_xlfn.XLOOKUP($D14,UK!$C:$C,UK!AF:AF),0),IFERROR(_xlfn.XLOOKUP($D14,BMM_Order!$C:$C,BMM_Order!AF:AF),0),IFERROR(_xlfn.XLOOKUP($D14,'Adhoc-_Backlog'!$C:$C,'Adhoc-_Backlog'!AH:AH),0))</f>
        <v>1400</v>
      </c>
      <c r="AP14" s="51">
        <f>SUM(IFERROR(_xlfn.XLOOKUP($D14,Domestic!$C:$C,Domestic!AI:AI),0),IFERROR(_xlfn.XLOOKUP($D14,'INT-_Manjiri'!$C:$C,'INT-_Manjiri'!AH:AH),0),IFERROR(_xlfn.XLOOKUP($D14,'USA-_Sea_shipment'!$C:$C,'USA-_Sea_shipment'!AH:AH),0),IFERROR(_xlfn.XLOOKUP($D14,Amazon_USA_Sea!$C:$C,Amazon_USA_Sea!AH:AH),0),IFERROR(_xlfn.XLOOKUP($D14,USA_Air_Shipment!$C:$C,USA_Air_Shipment!AG:AG),0),IFERROR(_xlfn.XLOOKUP($D14,Amazon_USA_Air_Shipment!$C:$C,Amazon_USA_Air_Shipment!AG:AG),0),IFERROR(_xlfn.XLOOKUP($D14,MENA!$C:$C,MENA!AG:AG),0),IFERROR(_xlfn.XLOOKUP($D14,UK!$C:$C,UK!AG:AG),0),IFERROR(_xlfn.XLOOKUP($D14,BMM_Order!$C:$C,BMM_Order!AG:AG),0),IFERROR(_xlfn.XLOOKUP($D14,'Adhoc-_Backlog'!$C:$C,'Adhoc-_Backlog'!AI:AI),0))</f>
        <v>912</v>
      </c>
      <c r="AQ14" s="51">
        <f>SUM(IFERROR(_xlfn.XLOOKUP($D14,Domestic!$C:$C,Domestic!AJ:AJ),0),IFERROR(_xlfn.XLOOKUP($D14,'INT-_Manjiri'!$C:$C,'INT-_Manjiri'!AI:AI),0),IFERROR(_xlfn.XLOOKUP($D14,'USA-_Sea_shipment'!$C:$C,'USA-_Sea_shipment'!AI:AI),0),IFERROR(_xlfn.XLOOKUP($D14,Amazon_USA_Sea!$C:$C,Amazon_USA_Sea!AI:AI),0),IFERROR(_xlfn.XLOOKUP($D14,USA_Air_Shipment!$C:$C,USA_Air_Shipment!AH:AH),0),IFERROR(_xlfn.XLOOKUP($D14,Amazon_USA_Air_Shipment!$C:$C,Amazon_USA_Air_Shipment!AH:AH),0),IFERROR(_xlfn.XLOOKUP($D14,MENA!$C:$C,MENA!AH:AH),0),IFERROR(_xlfn.XLOOKUP($D14,UK!$C:$C,UK!AH:AH),0),IFERROR(_xlfn.XLOOKUP($D14,BMM_Order!$C:$C,BMM_Order!AH:AH),0),IFERROR(_xlfn.XLOOKUP($D14,'Adhoc-_Backlog'!$C:$C,'Adhoc-_Backlog'!AJ:AJ),0))</f>
        <v>0</v>
      </c>
      <c r="AR14" s="51">
        <f>SUM(IFERROR(_xlfn.XLOOKUP($D14,Domestic!$C:$C,Domestic!AK:AK),0),IFERROR(_xlfn.XLOOKUP($D14,'INT-_Manjiri'!$C:$C,'INT-_Manjiri'!AJ:AJ),0),IFERROR(_xlfn.XLOOKUP($D14,'USA-_Sea_shipment'!$C:$C,'USA-_Sea_shipment'!AJ:AJ),0),IFERROR(_xlfn.XLOOKUP($D14,Amazon_USA_Sea!$C:$C,Amazon_USA_Sea!AJ:AJ),0),IFERROR(_xlfn.XLOOKUP($D14,USA_Air_Shipment!$C:$C,USA_Air_Shipment!AI:AI),0),IFERROR(_xlfn.XLOOKUP($D14,Amazon_USA_Air_Shipment!$C:$C,Amazon_USA_Air_Shipment!AI:AI),0),IFERROR(_xlfn.XLOOKUP($D14,MENA!$C:$C,MENA!AI:AI),0),IFERROR(_xlfn.XLOOKUP($D14,UK!$C:$C,UK!AI:AI),0),IFERROR(_xlfn.XLOOKUP($D14,BMM_Order!$C:$C,BMM_Order!AI:AI),0),IFERROR(_xlfn.XLOOKUP($D14,'Adhoc-_Backlog'!$C:$C,'Adhoc-_Backlog'!AK:AK),0))</f>
        <v>1928</v>
      </c>
      <c r="AS14" s="51">
        <f>SUM(IFERROR(_xlfn.XLOOKUP($D14,Domestic!$C:$C,Domestic!AL:AL),0),IFERROR(_xlfn.XLOOKUP($D14,'INT-_Manjiri'!$C:$C,'INT-_Manjiri'!AK:AK),0),IFERROR(_xlfn.XLOOKUP($D14,'USA-_Sea_shipment'!$C:$C,'USA-_Sea_shipment'!AK:AK),0),IFERROR(_xlfn.XLOOKUP($D14,Amazon_USA_Sea!$C:$C,Amazon_USA_Sea!AK:AK),0),IFERROR(_xlfn.XLOOKUP($D14,USA_Air_Shipment!$C:$C,USA_Air_Shipment!AJ:AJ),0),IFERROR(_xlfn.XLOOKUP($D14,Amazon_USA_Air_Shipment!$C:$C,Amazon_USA_Air_Shipment!AJ:AJ),0),IFERROR(_xlfn.XLOOKUP($D14,MENA!$C:$C,MENA!AJ:AJ),0),IFERROR(_xlfn.XLOOKUP($D14,UK!$C:$C,UK!AJ:AJ),0),IFERROR(_xlfn.XLOOKUP($D14,BMM_Order!$C:$C,BMM_Order!AJ:AJ),0),IFERROR(_xlfn.XLOOKUP($D14,'Adhoc-_Backlog'!$C:$C,'Adhoc-_Backlog'!AL:AL),0))</f>
        <v>0</v>
      </c>
      <c r="AT14" s="51">
        <f>SUM(IFERROR(_xlfn.XLOOKUP($D14,Domestic!$C:$C,Domestic!AM:AM),0),IFERROR(_xlfn.XLOOKUP($D14,'INT-_Manjiri'!$C:$C,'INT-_Manjiri'!AL:AL),0),IFERROR(_xlfn.XLOOKUP($D14,'USA-_Sea_shipment'!$C:$C,'USA-_Sea_shipment'!AL:AL),0),IFERROR(_xlfn.XLOOKUP($D14,Amazon_USA_Sea!$C:$C,Amazon_USA_Sea!AL:AL),0),IFERROR(_xlfn.XLOOKUP($D14,USA_Air_Shipment!$C:$C,USA_Air_Shipment!AK:AK),0),IFERROR(_xlfn.XLOOKUP($D14,Amazon_USA_Air_Shipment!$C:$C,Amazon_USA_Air_Shipment!AK:AK),0),IFERROR(_xlfn.XLOOKUP($D14,MENA!$C:$C,MENA!AK:AK),0),IFERROR(_xlfn.XLOOKUP($D14,UK!$C:$C,UK!AK:AK),0),IFERROR(_xlfn.XLOOKUP($D14,BMM_Order!$C:$C,BMM_Order!AK:AK),0),IFERROR(_xlfn.XLOOKUP($D14,'Adhoc-_Backlog'!$C:$C,'Adhoc-_Backlog'!AM:AM),0))</f>
        <v>1483</v>
      </c>
      <c r="AU14" s="51">
        <f>SUM(IFERROR(_xlfn.XLOOKUP($D14,Domestic!$C:$C,Domestic!AN:AN),0),IFERROR(_xlfn.XLOOKUP($D14,'INT-_Manjiri'!$C:$C,'INT-_Manjiri'!AM:AM),0),IFERROR(_xlfn.XLOOKUP($D14,'USA-_Sea_shipment'!$C:$C,'USA-_Sea_shipment'!AM:AM),0),IFERROR(_xlfn.XLOOKUP($D14,Amazon_USA_Sea!$C:$C,Amazon_USA_Sea!AM:AM),0),IFERROR(_xlfn.XLOOKUP($D14,USA_Air_Shipment!$C:$C,USA_Air_Shipment!AL:AL),0),IFERROR(_xlfn.XLOOKUP($D14,Amazon_USA_Air_Shipment!$C:$C,Amazon_USA_Air_Shipment!AL:AL),0),IFERROR(_xlfn.XLOOKUP($D14,MENA!$C:$C,MENA!AL:AL),0),IFERROR(_xlfn.XLOOKUP($D14,UK!$C:$C,UK!AL:AL),0),IFERROR(_xlfn.XLOOKUP($D14,BMM_Order!$C:$C,BMM_Order!AL:AL),0),IFERROR(_xlfn.XLOOKUP($D14,'Adhoc-_Backlog'!$C:$C,'Adhoc-_Backlog'!AN:AN),0))</f>
        <v>0</v>
      </c>
      <c r="AV14" s="51">
        <f>SUM(IFERROR(_xlfn.XLOOKUP($D14,Domestic!$C:$C,Domestic!AO:AO),0),IFERROR(_xlfn.XLOOKUP($D14,'INT-_Manjiri'!$C:$C,'INT-_Manjiri'!AN:AN),0),IFERROR(_xlfn.XLOOKUP($D14,'USA-_Sea_shipment'!$C:$C,'USA-_Sea_shipment'!AN:AN),0),IFERROR(_xlfn.XLOOKUP($D14,Amazon_USA_Sea!$C:$C,Amazon_USA_Sea!AN:AN),0),IFERROR(_xlfn.XLOOKUP($D14,USA_Air_Shipment!$C:$C,USA_Air_Shipment!AM:AM),0),IFERROR(_xlfn.XLOOKUP($D14,Amazon_USA_Air_Shipment!$C:$C,Amazon_USA_Air_Shipment!AM:AM),0),IFERROR(_xlfn.XLOOKUP($D14,MENA!$C:$C,MENA!AM:AM),0),IFERROR(_xlfn.XLOOKUP($D14,UK!$C:$C,UK!AM:AM),0),IFERROR(_xlfn.XLOOKUP($D14,BMM_Order!$C:$C,BMM_Order!AM:AM),0),IFERROR(_xlfn.XLOOKUP($D14,'Adhoc-_Backlog'!$C:$C,'Adhoc-_Backlog'!AO:AO),0))</f>
        <v>1741</v>
      </c>
      <c r="AW14" s="51">
        <f>SUM(IFERROR(_xlfn.XLOOKUP($D14,Domestic!$C:$C,Domestic!AP:AP),0),IFERROR(_xlfn.XLOOKUP($D14,'INT-_Manjiri'!$C:$C,'INT-_Manjiri'!AO:AO),0),IFERROR(_xlfn.XLOOKUP($D14,'USA-_Sea_shipment'!$C:$C,'USA-_Sea_shipment'!AO:AO),0),IFERROR(_xlfn.XLOOKUP($D14,Amazon_USA_Sea!$C:$C,Amazon_USA_Sea!AO:AO),0),IFERROR(_xlfn.XLOOKUP($D14,USA_Air_Shipment!$C:$C,USA_Air_Shipment!AN:AN),0),IFERROR(_xlfn.XLOOKUP($D14,Amazon_USA_Air_Shipment!$C:$C,Amazon_USA_Air_Shipment!AN:AN),0),IFERROR(_xlfn.XLOOKUP($D14,MENA!$C:$C,MENA!AN:AN),0),IFERROR(_xlfn.XLOOKUP($D14,UK!$C:$C,UK!AN:AN),0),IFERROR(_xlfn.XLOOKUP($D14,BMM_Order!$C:$C,BMM_Order!AN:AN),0),IFERROR(_xlfn.XLOOKUP($D14,'Adhoc-_Backlog'!$C:$C,'Adhoc-_Backlog'!AP:AP),0))</f>
        <v>1803</v>
      </c>
      <c r="AX14" s="51">
        <f>SUM(IFERROR(_xlfn.XLOOKUP($D14,Domestic!$C:$C,Domestic!AQ:AQ),0),IFERROR(_xlfn.XLOOKUP($D14,'INT-_Manjiri'!$C:$C,'INT-_Manjiri'!AP:AP),0),IFERROR(_xlfn.XLOOKUP($D14,'USA-_Sea_shipment'!$C:$C,'USA-_Sea_shipment'!AP:AP),0),IFERROR(_xlfn.XLOOKUP($D14,Amazon_USA_Sea!$C:$C,Amazon_USA_Sea!AP:AP),0),IFERROR(_xlfn.XLOOKUP($D14,USA_Air_Shipment!$C:$C,USA_Air_Shipment!AO:AO),0),IFERROR(_xlfn.XLOOKUP($D14,Amazon_USA_Air_Shipment!$C:$C,Amazon_USA_Air_Shipment!AO:AO),0),IFERROR(_xlfn.XLOOKUP($D14,MENA!$C:$C,MENA!AO:AO),0),IFERROR(_xlfn.XLOOKUP($D14,UK!$C:$C,UK!AO:AO),0),IFERROR(_xlfn.XLOOKUP($D14,BMM_Order!$C:$C,BMM_Order!AO:AO),0),IFERROR(_xlfn.XLOOKUP($D14,'Adhoc-_Backlog'!$C:$C,'Adhoc-_Backlog'!AQ:AQ),0))</f>
        <v>1159</v>
      </c>
      <c r="AY14" s="51">
        <f>SUM(IFERROR(_xlfn.XLOOKUP($D14,Domestic!$C:$C,Domestic!AR:AR),0),IFERROR(_xlfn.XLOOKUP($D14,'INT-_Manjiri'!$C:$C,'INT-_Manjiri'!AQ:AQ),0),IFERROR(_xlfn.XLOOKUP($D14,'USA-_Sea_shipment'!$C:$C,'USA-_Sea_shipment'!AQ:AQ),0),IFERROR(_xlfn.XLOOKUP($D14,Amazon_USA_Sea!$C:$C,Amazon_USA_Sea!AQ:AQ),0),IFERROR(_xlfn.XLOOKUP($D14,USA_Air_Shipment!$C:$C,USA_Air_Shipment!AP:AP),0),IFERROR(_xlfn.XLOOKUP($D14,Amazon_USA_Air_Shipment!$C:$C,Amazon_USA_Air_Shipment!AP:AP),0),IFERROR(_xlfn.XLOOKUP($D14,MENA!$C:$C,MENA!AP:AP),0),IFERROR(_xlfn.XLOOKUP($D14,UK!$C:$C,UK!AP:AP),0),IFERROR(_xlfn.XLOOKUP($D14,BMM_Order!$C:$C,BMM_Order!AP:AP),0),IFERROR(_xlfn.XLOOKUP($D14,'Adhoc-_Backlog'!$C:$C,'Adhoc-_Backlog'!AR:AR),0))</f>
        <v>0</v>
      </c>
      <c r="AZ14" s="51">
        <f>SUM(IFERROR(_xlfn.XLOOKUP($D14,Domestic!$C:$C,Domestic!AS:AS),0),IFERROR(_xlfn.XLOOKUP($D14,'INT-_Manjiri'!$C:$C,'INT-_Manjiri'!AR:AR),0),IFERROR(_xlfn.XLOOKUP($D14,'USA-_Sea_shipment'!$C:$C,'USA-_Sea_shipment'!AR:AR),0),IFERROR(_xlfn.XLOOKUP($D14,Amazon_USA_Sea!$C:$C,Amazon_USA_Sea!AR:AR),0),IFERROR(_xlfn.XLOOKUP($D14,USA_Air_Shipment!$C:$C,USA_Air_Shipment!AQ:AQ),0),IFERROR(_xlfn.XLOOKUP($D14,Amazon_USA_Air_Shipment!$C:$C,Amazon_USA_Air_Shipment!AQ:AQ),0),IFERROR(_xlfn.XLOOKUP($D14,MENA!$C:$C,MENA!AQ:AQ),0),IFERROR(_xlfn.XLOOKUP($D14,UK!$C:$C,UK!AQ:AQ),0),IFERROR(_xlfn.XLOOKUP($D14,BMM_Order!$C:$C,BMM_Order!AQ:AQ),0),IFERROR(_xlfn.XLOOKUP($D14,'Adhoc-_Backlog'!$C:$C,'Adhoc-_Backlog'!AS:AS),0))</f>
        <v>0</v>
      </c>
      <c r="BA14" s="51">
        <f>SUM(IFERROR(_xlfn.XLOOKUP($D14,Domestic!$C:$C,Domestic!AT:AT),0),IFERROR(_xlfn.XLOOKUP($D14,'INT-_Manjiri'!$C:$C,'INT-_Manjiri'!AS:AS),0),IFERROR(_xlfn.XLOOKUP($D14,'USA-_Sea_shipment'!$C:$C,'USA-_Sea_shipment'!AS:AS),0),IFERROR(_xlfn.XLOOKUP($D14,Amazon_USA_Sea!$C:$C,Amazon_USA_Sea!AS:AS),0),IFERROR(_xlfn.XLOOKUP($D14,USA_Air_Shipment!$C:$C,USA_Air_Shipment!AR:AR),0),IFERROR(_xlfn.XLOOKUP($D14,Amazon_USA_Air_Shipment!$C:$C,Amazon_USA_Air_Shipment!AR:AR),0),IFERROR(_xlfn.XLOOKUP($D14,MENA!$C:$C,MENA!AR:AR),0),IFERROR(_xlfn.XLOOKUP($D14,UK!$C:$C,UK!AR:AR),0),IFERROR(_xlfn.XLOOKUP($D14,BMM_Order!$C:$C,BMM_Order!AR:AR),0),IFERROR(_xlfn.XLOOKUP($D14,'Adhoc-_Backlog'!$C:$C,'Adhoc-_Backlog'!AT:AT),0))</f>
        <v>0</v>
      </c>
      <c r="BB14" s="52">
        <f t="shared" si="2"/>
        <v>22817</v>
      </c>
      <c r="BC14" s="53">
        <f t="shared" si="3"/>
        <v>11408.5</v>
      </c>
      <c r="BD14" s="51">
        <f t="shared" si="4"/>
        <v>14481.25</v>
      </c>
      <c r="BE14" s="53">
        <f t="shared" si="5"/>
        <v>7240.625</v>
      </c>
      <c r="BF14" s="54">
        <f t="shared" si="6"/>
        <v>0.61174451884471792</v>
      </c>
      <c r="BG14" s="55" t="str">
        <f>_xlfn.TEXTJOIN(" | ",TRUE,IFERROR(_xlfn.XLOOKUP($D14,Domestic!$C:$C,Domestic!$BG:$BG,""),""),IFERROR(_xlfn.XLOOKUP($D14,'INT-_Manjiri'!$C:$C,'INT-_Manjiri'!$AY:$AY,""),""),IFERROR(_xlfn.XLOOKUP($D14,'USA-_Sea_shipment'!$C:$C,'USA-_Sea_shipment'!#REF!,""),""),IFERROR(_xlfn.XLOOKUP($D14,Amazon_USA_Sea!$C:$C,Amazon_USA_Sea!$AY:$AY,""),""),IFERROR(_xlfn.XLOOKUP($D14,USA_Air_Shipment!$C:$C,USA_Air_Shipment!$AW:$AW,""),""),IFERROR(_xlfn.XLOOKUP($D14,Amazon_USA_Air_Shipment!$C:$C,Amazon_USA_Air_Shipment!$AW:$AW,""),""),IFERROR(_xlfn.XLOOKUP($D14,MENA!$C:$C,MENA!$AW:$AW,""),""),IFERROR(_xlfn.XLOOKUP($D14,UK!$C:$C,UK!$BA:$BA,""),""),IFERROR(_xlfn.XLOOKUP($D14,BMM_Order!$C:$C,BMM_Order!$BA:$BA,""),""),IFERROR(_xlfn.XLOOKUP($D14,'Adhoc-_Backlog'!$C:$C,'Adhoc-_Backlog'!$BD:$BD,""),""))</f>
        <v>WIP</v>
      </c>
      <c r="BH14" s="55">
        <f>_xlfn.XLOOKUP(D14,Raw_Data!A:A,Raw_Data!B:B)</f>
        <v>1283</v>
      </c>
      <c r="BI14" s="56">
        <f t="shared" si="7"/>
        <v>1.0319519012286098</v>
      </c>
      <c r="BJ14" s="55">
        <f t="shared" si="8"/>
        <v>10</v>
      </c>
      <c r="BK14" s="57" t="str">
        <f t="shared" si="9"/>
        <v>P1 – Critical</v>
      </c>
      <c r="BL14" t="s">
        <v>124</v>
      </c>
    </row>
    <row r="15" spans="1:64" ht="13">
      <c r="A15" s="44">
        <f>9</f>
        <v>9</v>
      </c>
      <c r="B15" s="45" t="s">
        <v>12</v>
      </c>
      <c r="C15" s="45"/>
      <c r="D15" s="46" t="str">
        <f>Projection_!A12</f>
        <v>FG00566</v>
      </c>
      <c r="E15" s="47" t="str">
        <f>Projection_!B12</f>
        <v xml:space="preserve">A2 Cultured Ghee - 5 Ltr </v>
      </c>
      <c r="F15" s="48">
        <v>5</v>
      </c>
      <c r="G15" s="49">
        <f>IFERROR(_xlfn.XLOOKUP($D15,Projection_!$A:$A,Projection_!$J:$J),0)</f>
        <v>690.25</v>
      </c>
      <c r="H15" s="49">
        <f>IFERROR(_xlfn.XLOOKUP($D15,Projection_!$A:$A,Projection_!$K:$K),0)</f>
        <v>0</v>
      </c>
      <c r="I15" s="49">
        <f>IFERROR(_xlfn.XLOOKUP($D15,Projection_!$A:$A,Projection_!$L:$L),0)</f>
        <v>210</v>
      </c>
      <c r="J15" s="49">
        <f>IFERROR(_xlfn.XLOOKUP($D15,Projection_!$A:$A,Projection_!$M:$M),0)</f>
        <v>0</v>
      </c>
      <c r="K15" s="49">
        <f>IFERROR(_xlfn.XLOOKUP($D15,Projection_!$A:$A,Projection_!$Q:$Q),0)</f>
        <v>0</v>
      </c>
      <c r="L15" s="49">
        <f>IFERROR(_xlfn.XLOOKUP($D15,Projection_!$A:$A,Projection_!$R:$R),0)</f>
        <v>0</v>
      </c>
      <c r="M15" s="49">
        <f>IFERROR(_xlfn.XLOOKUP($D15,Projection_!$A:$A,Projection_!$O:$O),0)</f>
        <v>0</v>
      </c>
      <c r="N15" s="49">
        <f>IFERROR(_xlfn.XLOOKUP($D15,Projection_!$A:$A,Projection_!$P:$P),0)</f>
        <v>135</v>
      </c>
      <c r="O15" s="50">
        <f t="shared" si="1"/>
        <v>1035.25</v>
      </c>
      <c r="P15" s="51">
        <f>SUM(IFERROR(_xlfn.XLOOKUP($D15,Domestic!$C:$C,Domestic!I:I),0),IFERROR(_xlfn.XLOOKUP($D15,'INT-_Manjiri'!$C:$C,'INT-_Manjiri'!H:H),0),IFERROR(_xlfn.XLOOKUP($D15,'USA-_Sea_shipment'!$C:$C,'USA-_Sea_shipment'!H:H),0),IFERROR(_xlfn.XLOOKUP($D15,Amazon_USA_Sea!$C:$C,Amazon_USA_Sea!H:H),0),IFERROR(_xlfn.XLOOKUP($D15,USA_Air_Shipment!$C:$C,USA_Air_Shipment!G:G),0),IFERROR(_xlfn.XLOOKUP($D15,Amazon_USA_Air_Shipment!$C:$C,Amazon_USA_Air_Shipment!G:G),0),IFERROR(_xlfn.XLOOKUP($D15,MENA!$C:$C,MENA!G:G),0),IFERROR(_xlfn.XLOOKUP($D15,UK!$C:$C,UK!G:G),0),IFERROR(_xlfn.XLOOKUP($D15,BMM_Order!$C:$C,BMM_Order!G:G),0),IFERROR(_xlfn.XLOOKUP($D15,'Adhoc-_Backlog'!$C:$C,'Adhoc-_Backlog'!I:I),0))</f>
        <v>0</v>
      </c>
      <c r="Q15" s="51">
        <f>SUM(IFERROR(_xlfn.XLOOKUP($D15,Domestic!$C:$C,Domestic!J:J),0),IFERROR(_xlfn.XLOOKUP($D15,'INT-_Manjiri'!$C:$C,'INT-_Manjiri'!I:I),0),IFERROR(_xlfn.XLOOKUP($D15,'USA-_Sea_shipment'!$C:$C,'USA-_Sea_shipment'!I:I),0),IFERROR(_xlfn.XLOOKUP($D15,Amazon_USA_Sea!$C:$C,Amazon_USA_Sea!I:I),0),IFERROR(_xlfn.XLOOKUP($D15,USA_Air_Shipment!$C:$C,USA_Air_Shipment!H:H),0),IFERROR(_xlfn.XLOOKUP($D15,Amazon_USA_Air_Shipment!$C:$C,Amazon_USA_Air_Shipment!H:H),0),IFERROR(_xlfn.XLOOKUP($D15,MENA!$C:$C,MENA!H:H),0),IFERROR(_xlfn.XLOOKUP($D15,UK!$C:$C,UK!H:H),0),IFERROR(_xlfn.XLOOKUP($D15,BMM_Order!$C:$C,BMM_Order!H:H),0),IFERROR(_xlfn.XLOOKUP($D15,'Adhoc-_Backlog'!$C:$C,'Adhoc-_Backlog'!J:J),0))</f>
        <v>0</v>
      </c>
      <c r="R15" s="51">
        <f>SUM(IFERROR(_xlfn.XLOOKUP($D15,Domestic!$C:$C,Domestic!K:K),0),IFERROR(_xlfn.XLOOKUP($D15,'INT-_Manjiri'!$C:$C,'INT-_Manjiri'!J:J),0),IFERROR(_xlfn.XLOOKUP($D15,'USA-_Sea_shipment'!$C:$C,'USA-_Sea_shipment'!J:J),0),IFERROR(_xlfn.XLOOKUP($D15,Amazon_USA_Sea!$C:$C,Amazon_USA_Sea!J:J),0),IFERROR(_xlfn.XLOOKUP($D15,USA_Air_Shipment!$C:$C,USA_Air_Shipment!I:I),0),IFERROR(_xlfn.XLOOKUP($D15,Amazon_USA_Air_Shipment!$C:$C,Amazon_USA_Air_Shipment!I:I),0),IFERROR(_xlfn.XLOOKUP($D15,MENA!$C:$C,MENA!I:I),0),IFERROR(_xlfn.XLOOKUP($D15,UK!$C:$C,UK!I:I),0),IFERROR(_xlfn.XLOOKUP($D15,BMM_Order!$C:$C,BMM_Order!I:I),0),IFERROR(_xlfn.XLOOKUP($D15,'Adhoc-_Backlog'!$C:$C,'Adhoc-_Backlog'!K:K),0))</f>
        <v>0</v>
      </c>
      <c r="S15" s="51">
        <f>SUM(IFERROR(_xlfn.XLOOKUP($D15,Domestic!$C:$C,Domestic!L:L),0),IFERROR(_xlfn.XLOOKUP($D15,'INT-_Manjiri'!$C:$C,'INT-_Manjiri'!K:K),0),IFERROR(_xlfn.XLOOKUP($D15,'USA-_Sea_shipment'!$C:$C,'USA-_Sea_shipment'!K:K),0),IFERROR(_xlfn.XLOOKUP($D15,Amazon_USA_Sea!$C:$C,Amazon_USA_Sea!K:K),0),IFERROR(_xlfn.XLOOKUP($D15,USA_Air_Shipment!$C:$C,USA_Air_Shipment!J:J),0),IFERROR(_xlfn.XLOOKUP($D15,Amazon_USA_Air_Shipment!$C:$C,Amazon_USA_Air_Shipment!J:J),0),IFERROR(_xlfn.XLOOKUP($D15,MENA!$C:$C,MENA!J:J),0),IFERROR(_xlfn.XLOOKUP($D15,UK!$C:$C,UK!J:J),0),IFERROR(_xlfn.XLOOKUP($D15,BMM_Order!$C:$C,BMM_Order!J:J),0),IFERROR(_xlfn.XLOOKUP($D15,'Adhoc-_Backlog'!$C:$C,'Adhoc-_Backlog'!L:L),0))</f>
        <v>0</v>
      </c>
      <c r="T15" s="51">
        <f>SUM(IFERROR(_xlfn.XLOOKUP($D15,Domestic!$C:$C,Domestic!M:M),0),IFERROR(_xlfn.XLOOKUP($D15,'INT-_Manjiri'!$C:$C,'INT-_Manjiri'!L:L),0),IFERROR(_xlfn.XLOOKUP($D15,'USA-_Sea_shipment'!$C:$C,'USA-_Sea_shipment'!L:L),0),IFERROR(_xlfn.XLOOKUP($D15,Amazon_USA_Sea!$C:$C,Amazon_USA_Sea!L:L),0),IFERROR(_xlfn.XLOOKUP($D15,USA_Air_Shipment!$C:$C,USA_Air_Shipment!K:K),0),IFERROR(_xlfn.XLOOKUP($D15,Amazon_USA_Air_Shipment!$C:$C,Amazon_USA_Air_Shipment!K:K),0),IFERROR(_xlfn.XLOOKUP($D15,MENA!$C:$C,MENA!K:K),0),IFERROR(_xlfn.XLOOKUP($D15,UK!$C:$C,UK!K:K),0),IFERROR(_xlfn.XLOOKUP($D15,BMM_Order!$C:$C,BMM_Order!K:K),0),IFERROR(_xlfn.XLOOKUP($D15,'Adhoc-_Backlog'!$C:$C,'Adhoc-_Backlog'!M:M),0))</f>
        <v>0</v>
      </c>
      <c r="U15" s="51">
        <f>SUM(IFERROR(_xlfn.XLOOKUP($D15,Domestic!$C:$C,Domestic!N:N),0),IFERROR(_xlfn.XLOOKUP($D15,'INT-_Manjiri'!$C:$C,'INT-_Manjiri'!M:M),0),IFERROR(_xlfn.XLOOKUP($D15,'USA-_Sea_shipment'!$C:$C,'USA-_Sea_shipment'!M:M),0),IFERROR(_xlfn.XLOOKUP($D15,Amazon_USA_Sea!$C:$C,Amazon_USA_Sea!M:M),0),IFERROR(_xlfn.XLOOKUP($D15,USA_Air_Shipment!$C:$C,USA_Air_Shipment!L:L),0),IFERROR(_xlfn.XLOOKUP($D15,Amazon_USA_Air_Shipment!$C:$C,Amazon_USA_Air_Shipment!L:L),0),IFERROR(_xlfn.XLOOKUP($D15,MENA!$C:$C,MENA!L:L),0),IFERROR(_xlfn.XLOOKUP($D15,UK!$C:$C,UK!L:L),0),IFERROR(_xlfn.XLOOKUP($D15,BMM_Order!$C:$C,BMM_Order!L:L),0),IFERROR(_xlfn.XLOOKUP($D15,'Adhoc-_Backlog'!$C:$C,'Adhoc-_Backlog'!N:N),0))</f>
        <v>0</v>
      </c>
      <c r="V15" s="51">
        <f>SUM(IFERROR(_xlfn.XLOOKUP($D15,Domestic!$C:$C,Domestic!O:O),0),IFERROR(_xlfn.XLOOKUP($D15,'INT-_Manjiri'!$C:$C,'INT-_Manjiri'!N:N),0),IFERROR(_xlfn.XLOOKUP($D15,'USA-_Sea_shipment'!$C:$C,'USA-_Sea_shipment'!N:N),0),IFERROR(_xlfn.XLOOKUP($D15,Amazon_USA_Sea!$C:$C,Amazon_USA_Sea!N:N),0),IFERROR(_xlfn.XLOOKUP($D15,USA_Air_Shipment!$C:$C,USA_Air_Shipment!M:M),0),IFERROR(_xlfn.XLOOKUP($D15,Amazon_USA_Air_Shipment!$C:$C,Amazon_USA_Air_Shipment!M:M),0),IFERROR(_xlfn.XLOOKUP($D15,MENA!$C:$C,MENA!M:M),0),IFERROR(_xlfn.XLOOKUP($D15,UK!$C:$C,UK!M:M),0),IFERROR(_xlfn.XLOOKUP($D15,BMM_Order!$C:$C,BMM_Order!M:M),0),IFERROR(_xlfn.XLOOKUP($D15,'Adhoc-_Backlog'!$C:$C,'Adhoc-_Backlog'!O:O),0))</f>
        <v>0</v>
      </c>
      <c r="W15" s="51">
        <f>SUM(IFERROR(_xlfn.XLOOKUP($D15,Domestic!$C:$C,Domestic!P:P),0),IFERROR(_xlfn.XLOOKUP($D15,'INT-_Manjiri'!$C:$C,'INT-_Manjiri'!O:O),0),IFERROR(_xlfn.XLOOKUP($D15,'USA-_Sea_shipment'!$C:$C,'USA-_Sea_shipment'!O:O),0),IFERROR(_xlfn.XLOOKUP($D15,Amazon_USA_Sea!$C:$C,Amazon_USA_Sea!O:O),0),IFERROR(_xlfn.XLOOKUP($D15,USA_Air_Shipment!$C:$C,USA_Air_Shipment!N:N),0),IFERROR(_xlfn.XLOOKUP($D15,Amazon_USA_Air_Shipment!$C:$C,Amazon_USA_Air_Shipment!N:N),0),IFERROR(_xlfn.XLOOKUP($D15,MENA!$C:$C,MENA!N:N),0),IFERROR(_xlfn.XLOOKUP($D15,UK!$C:$C,UK!N:N),0),IFERROR(_xlfn.XLOOKUP($D15,BMM_Order!$C:$C,BMM_Order!N:N),0),IFERROR(_xlfn.XLOOKUP($D15,'Adhoc-_Backlog'!$C:$C,'Adhoc-_Backlog'!P:P),0))</f>
        <v>0</v>
      </c>
      <c r="X15" s="51">
        <f>SUM(IFERROR(_xlfn.XLOOKUP($D15,Domestic!$C:$C,Domestic!Q:Q),0),IFERROR(_xlfn.XLOOKUP($D15,'INT-_Manjiri'!$C:$C,'INT-_Manjiri'!P:P),0),IFERROR(_xlfn.XLOOKUP($D15,'USA-_Sea_shipment'!$C:$C,'USA-_Sea_shipment'!P:P),0),IFERROR(_xlfn.XLOOKUP($D15,Amazon_USA_Sea!$C:$C,Amazon_USA_Sea!P:P),0),IFERROR(_xlfn.XLOOKUP($D15,USA_Air_Shipment!$C:$C,USA_Air_Shipment!O:O),0),IFERROR(_xlfn.XLOOKUP($D15,Amazon_USA_Air_Shipment!$C:$C,Amazon_USA_Air_Shipment!O:O),0),IFERROR(_xlfn.XLOOKUP($D15,MENA!$C:$C,MENA!O:O),0),IFERROR(_xlfn.XLOOKUP($D15,UK!$C:$C,UK!O:O),0),IFERROR(_xlfn.XLOOKUP($D15,BMM_Order!$C:$C,BMM_Order!O:O),0),IFERROR(_xlfn.XLOOKUP($D15,'Adhoc-_Backlog'!$C:$C,'Adhoc-_Backlog'!Q:Q),0))</f>
        <v>156</v>
      </c>
      <c r="Y15" s="51">
        <f>SUM(IFERROR(_xlfn.XLOOKUP($D15,Domestic!$C:$C,Domestic!R:R),0),IFERROR(_xlfn.XLOOKUP($D15,'INT-_Manjiri'!$C:$C,'INT-_Manjiri'!Q:Q),0),IFERROR(_xlfn.XLOOKUP($D15,'USA-_Sea_shipment'!$C:$C,'USA-_Sea_shipment'!Q:Q),0),IFERROR(_xlfn.XLOOKUP($D15,Amazon_USA_Sea!$C:$C,Amazon_USA_Sea!Q:Q),0),IFERROR(_xlfn.XLOOKUP($D15,USA_Air_Shipment!$C:$C,USA_Air_Shipment!P:P),0),IFERROR(_xlfn.XLOOKUP($D15,Amazon_USA_Air_Shipment!$C:$C,Amazon_USA_Air_Shipment!P:P),0),IFERROR(_xlfn.XLOOKUP($D15,MENA!$C:$C,MENA!P:P),0),IFERROR(_xlfn.XLOOKUP($D15,UK!$C:$C,UK!P:P),0),IFERROR(_xlfn.XLOOKUP($D15,BMM_Order!$C:$C,BMM_Order!P:P),0),IFERROR(_xlfn.XLOOKUP($D15,'Adhoc-_Backlog'!$C:$C,'Adhoc-_Backlog'!R:R),0))</f>
        <v>37</v>
      </c>
      <c r="Z15" s="51">
        <f>SUM(IFERROR(_xlfn.XLOOKUP($D15,Domestic!$C:$C,Domestic!S:S),0),IFERROR(_xlfn.XLOOKUP($D15,'INT-_Manjiri'!$C:$C,'INT-_Manjiri'!R:R),0),IFERROR(_xlfn.XLOOKUP($D15,'USA-_Sea_shipment'!$C:$C,'USA-_Sea_shipment'!R:R),0),IFERROR(_xlfn.XLOOKUP($D15,Amazon_USA_Sea!$C:$C,Amazon_USA_Sea!R:R),0),IFERROR(_xlfn.XLOOKUP($D15,USA_Air_Shipment!$C:$C,USA_Air_Shipment!Q:Q),0),IFERROR(_xlfn.XLOOKUP($D15,Amazon_USA_Air_Shipment!$C:$C,Amazon_USA_Air_Shipment!Q:Q),0),IFERROR(_xlfn.XLOOKUP($D15,MENA!$C:$C,MENA!Q:Q),0),IFERROR(_xlfn.XLOOKUP($D15,UK!$C:$C,UK!Q:Q),0),IFERROR(_xlfn.XLOOKUP($D15,BMM_Order!$C:$C,BMM_Order!Q:Q),0),IFERROR(_xlfn.XLOOKUP($D15,'Adhoc-_Backlog'!$C:$C,'Adhoc-_Backlog'!S:S),0))</f>
        <v>0</v>
      </c>
      <c r="AA15" s="51">
        <f>SUM(IFERROR(_xlfn.XLOOKUP($D15,Domestic!$C:$C,Domestic!T:T),0),IFERROR(_xlfn.XLOOKUP($D15,'INT-_Manjiri'!$C:$C,'INT-_Manjiri'!S:S),0),IFERROR(_xlfn.XLOOKUP($D15,'USA-_Sea_shipment'!$C:$C,'USA-_Sea_shipment'!S:S),0),IFERROR(_xlfn.XLOOKUP($D15,Amazon_USA_Sea!$C:$C,Amazon_USA_Sea!S:S),0),IFERROR(_xlfn.XLOOKUP($D15,USA_Air_Shipment!$C:$C,USA_Air_Shipment!R:R),0),IFERROR(_xlfn.XLOOKUP($D15,Amazon_USA_Air_Shipment!$C:$C,Amazon_USA_Air_Shipment!R:R),0),IFERROR(_xlfn.XLOOKUP($D15,MENA!$C:$C,MENA!R:R),0),IFERROR(_xlfn.XLOOKUP($D15,UK!$C:$C,UK!R:R),0),IFERROR(_xlfn.XLOOKUP($D15,BMM_Order!$C:$C,BMM_Order!R:R),0),IFERROR(_xlfn.XLOOKUP($D15,'Adhoc-_Backlog'!$C:$C,'Adhoc-_Backlog'!T:T),0))</f>
        <v>0</v>
      </c>
      <c r="AB15" s="51">
        <f>SUM(IFERROR(_xlfn.XLOOKUP($D15,Domestic!$C:$C,Domestic!U:U),0),IFERROR(_xlfn.XLOOKUP($D15,'INT-_Manjiri'!$C:$C,'INT-_Manjiri'!T:T),0),IFERROR(_xlfn.XLOOKUP($D15,'USA-_Sea_shipment'!$C:$C,'USA-_Sea_shipment'!T:T),0),IFERROR(_xlfn.XLOOKUP($D15,Amazon_USA_Sea!$C:$C,Amazon_USA_Sea!T:T),0),IFERROR(_xlfn.XLOOKUP($D15,USA_Air_Shipment!$C:$C,USA_Air_Shipment!S:S),0),IFERROR(_xlfn.XLOOKUP($D15,Amazon_USA_Air_Shipment!$C:$C,Amazon_USA_Air_Shipment!S:S),0),IFERROR(_xlfn.XLOOKUP($D15,MENA!$C:$C,MENA!S:S),0),IFERROR(_xlfn.XLOOKUP($D15,UK!$C:$C,UK!S:S),0),IFERROR(_xlfn.XLOOKUP($D15,BMM_Order!$C:$C,BMM_Order!S:S),0),IFERROR(_xlfn.XLOOKUP($D15,'Adhoc-_Backlog'!$C:$C,'Adhoc-_Backlog'!U:U),0))</f>
        <v>0</v>
      </c>
      <c r="AC15" s="51">
        <f>SUM(IFERROR(_xlfn.XLOOKUP($D15,Domestic!$C:$C,Domestic!V:V),0),IFERROR(_xlfn.XLOOKUP($D15,'INT-_Manjiri'!$C:$C,'INT-_Manjiri'!U:U),0),IFERROR(_xlfn.XLOOKUP($D15,'USA-_Sea_shipment'!$C:$C,'USA-_Sea_shipment'!U:U),0),IFERROR(_xlfn.XLOOKUP($D15,Amazon_USA_Sea!$C:$C,Amazon_USA_Sea!U:U),0),IFERROR(_xlfn.XLOOKUP($D15,USA_Air_Shipment!$C:$C,USA_Air_Shipment!T:T),0),IFERROR(_xlfn.XLOOKUP($D15,Amazon_USA_Air_Shipment!$C:$C,Amazon_USA_Air_Shipment!T:T),0),IFERROR(_xlfn.XLOOKUP($D15,MENA!$C:$C,MENA!T:T),0),IFERROR(_xlfn.XLOOKUP($D15,UK!$C:$C,UK!T:T),0),IFERROR(_xlfn.XLOOKUP($D15,BMM_Order!$C:$C,BMM_Order!T:T),0),IFERROR(_xlfn.XLOOKUP($D15,'Adhoc-_Backlog'!$C:$C,'Adhoc-_Backlog'!V:V),0))</f>
        <v>0</v>
      </c>
      <c r="AD15" s="51">
        <f>SUM(IFERROR(_xlfn.XLOOKUP($D15,Domestic!$C:$C,Domestic!W:W),0),IFERROR(_xlfn.XLOOKUP($D15,'INT-_Manjiri'!$C:$C,'INT-_Manjiri'!V:V),0),IFERROR(_xlfn.XLOOKUP($D15,'USA-_Sea_shipment'!$C:$C,'USA-_Sea_shipment'!V:V),0),IFERROR(_xlfn.XLOOKUP($D15,Amazon_USA_Sea!$C:$C,Amazon_USA_Sea!V:V),0),IFERROR(_xlfn.XLOOKUP($D15,USA_Air_Shipment!$C:$C,USA_Air_Shipment!U:U),0),IFERROR(_xlfn.XLOOKUP($D15,Amazon_USA_Air_Shipment!$C:$C,Amazon_USA_Air_Shipment!U:U),0),IFERROR(_xlfn.XLOOKUP($D15,MENA!$C:$C,MENA!U:U),0),IFERROR(_xlfn.XLOOKUP($D15,UK!$C:$C,UK!U:U),0),IFERROR(_xlfn.XLOOKUP($D15,BMM_Order!$C:$C,BMM_Order!U:U),0),IFERROR(_xlfn.XLOOKUP($D15,'Adhoc-_Backlog'!$C:$C,'Adhoc-_Backlog'!W:W),0))</f>
        <v>0</v>
      </c>
      <c r="AE15" s="51">
        <f>SUM(IFERROR(_xlfn.XLOOKUP($D15,Domestic!$C:$C,Domestic!X:X),0),IFERROR(_xlfn.XLOOKUP($D15,'INT-_Manjiri'!$C:$C,'INT-_Manjiri'!W:W),0),IFERROR(_xlfn.XLOOKUP($D15,'USA-_Sea_shipment'!$C:$C,'USA-_Sea_shipment'!W:W),0),IFERROR(_xlfn.XLOOKUP($D15,Amazon_USA_Sea!$C:$C,Amazon_USA_Sea!W:W),0),IFERROR(_xlfn.XLOOKUP($D15,USA_Air_Shipment!$C:$C,USA_Air_Shipment!V:V),0),IFERROR(_xlfn.XLOOKUP($D15,Amazon_USA_Air_Shipment!$C:$C,Amazon_USA_Air_Shipment!V:V),0),IFERROR(_xlfn.XLOOKUP($D15,MENA!$C:$C,MENA!V:V),0),IFERROR(_xlfn.XLOOKUP($D15,UK!$C:$C,UK!V:V),0),IFERROR(_xlfn.XLOOKUP($D15,BMM_Order!$C:$C,BMM_Order!V:V),0),IFERROR(_xlfn.XLOOKUP($D15,'Adhoc-_Backlog'!$C:$C,'Adhoc-_Backlog'!X:X),0))</f>
        <v>0</v>
      </c>
      <c r="AF15" s="51">
        <f>SUM(IFERROR(_xlfn.XLOOKUP($D15,Domestic!$C:$C,Domestic!Y:Y),0),IFERROR(_xlfn.XLOOKUP($D15,'INT-_Manjiri'!$C:$C,'INT-_Manjiri'!X:X),0),IFERROR(_xlfn.XLOOKUP($D15,'USA-_Sea_shipment'!$C:$C,'USA-_Sea_shipment'!X:X),0),IFERROR(_xlfn.XLOOKUP($D15,Amazon_USA_Sea!$C:$C,Amazon_USA_Sea!X:X),0),IFERROR(_xlfn.XLOOKUP($D15,USA_Air_Shipment!$C:$C,USA_Air_Shipment!W:W),0),IFERROR(_xlfn.XLOOKUP($D15,Amazon_USA_Air_Shipment!$C:$C,Amazon_USA_Air_Shipment!W:W),0),IFERROR(_xlfn.XLOOKUP($D15,MENA!$C:$C,MENA!W:W),0),IFERROR(_xlfn.XLOOKUP($D15,UK!$C:$C,UK!W:W),0),IFERROR(_xlfn.XLOOKUP($D15,BMM_Order!$C:$C,BMM_Order!W:W),0),IFERROR(_xlfn.XLOOKUP($D15,'Adhoc-_Backlog'!$C:$C,'Adhoc-_Backlog'!Y:Y),0))</f>
        <v>48</v>
      </c>
      <c r="AG15" s="51">
        <f>SUM(IFERROR(_xlfn.XLOOKUP($D15,Domestic!$C:$C,Domestic!Z:Z),0),IFERROR(_xlfn.XLOOKUP($D15,'INT-_Manjiri'!$C:$C,'INT-_Manjiri'!Y:Y),0),IFERROR(_xlfn.XLOOKUP($D15,'USA-_Sea_shipment'!$C:$C,'USA-_Sea_shipment'!Y:Y),0),IFERROR(_xlfn.XLOOKUP($D15,Amazon_USA_Sea!$C:$C,Amazon_USA_Sea!Y:Y),0),IFERROR(_xlfn.XLOOKUP($D15,USA_Air_Shipment!$C:$C,USA_Air_Shipment!X:X),0),IFERROR(_xlfn.XLOOKUP($D15,Amazon_USA_Air_Shipment!$C:$C,Amazon_USA_Air_Shipment!X:X),0),IFERROR(_xlfn.XLOOKUP($D15,MENA!$C:$C,MENA!X:X),0),IFERROR(_xlfn.XLOOKUP($D15,UK!$C:$C,UK!X:X),0),IFERROR(_xlfn.XLOOKUP($D15,BMM_Order!$C:$C,BMM_Order!X:X),0),IFERROR(_xlfn.XLOOKUP($D15,'Adhoc-_Backlog'!$C:$C,'Adhoc-_Backlog'!Z:Z),0))</f>
        <v>29</v>
      </c>
      <c r="AH15" s="51">
        <f>SUM(IFERROR(_xlfn.XLOOKUP($D15,Domestic!$C:$C,Domestic!AA:AA),0),IFERROR(_xlfn.XLOOKUP($D15,'INT-_Manjiri'!$C:$C,'INT-_Manjiri'!Z:Z),0),IFERROR(_xlfn.XLOOKUP($D15,'USA-_Sea_shipment'!$C:$C,'USA-_Sea_shipment'!Z:Z),0),IFERROR(_xlfn.XLOOKUP($D15,Amazon_USA_Sea!$C:$C,Amazon_USA_Sea!Z:Z),0),IFERROR(_xlfn.XLOOKUP($D15,USA_Air_Shipment!$C:$C,USA_Air_Shipment!Y:Y),0),IFERROR(_xlfn.XLOOKUP($D15,Amazon_USA_Air_Shipment!$C:$C,Amazon_USA_Air_Shipment!Y:Y),0),IFERROR(_xlfn.XLOOKUP($D15,MENA!$C:$C,MENA!Y:Y),0),IFERROR(_xlfn.XLOOKUP($D15,UK!$C:$C,UK!Y:Y),0),IFERROR(_xlfn.XLOOKUP($D15,BMM_Order!$C:$C,BMM_Order!Y:Y),0),IFERROR(_xlfn.XLOOKUP($D15,'Adhoc-_Backlog'!$C:$C,'Adhoc-_Backlog'!AA:AA),0))</f>
        <v>93</v>
      </c>
      <c r="AI15" s="51">
        <f>SUM(IFERROR(_xlfn.XLOOKUP($D15,Domestic!$C:$C,Domestic!AB:AB),0),IFERROR(_xlfn.XLOOKUP($D15,'INT-_Manjiri'!$C:$C,'INT-_Manjiri'!AA:AA),0),IFERROR(_xlfn.XLOOKUP($D15,'USA-_Sea_shipment'!$C:$C,'USA-_Sea_shipment'!AA:AA),0),IFERROR(_xlfn.XLOOKUP($D15,Amazon_USA_Sea!$C:$C,Amazon_USA_Sea!AA:AA),0),IFERROR(_xlfn.XLOOKUP($D15,USA_Air_Shipment!$C:$C,USA_Air_Shipment!Z:Z),0),IFERROR(_xlfn.XLOOKUP($D15,Amazon_USA_Air_Shipment!$C:$C,Amazon_USA_Air_Shipment!Z:Z),0),IFERROR(_xlfn.XLOOKUP($D15,MENA!$C:$C,MENA!Z:Z),0),IFERROR(_xlfn.XLOOKUP($D15,UK!$C:$C,UK!Z:Z),0),IFERROR(_xlfn.XLOOKUP($D15,BMM_Order!$C:$C,BMM_Order!Z:Z),0),IFERROR(_xlfn.XLOOKUP($D15,'Adhoc-_Backlog'!$C:$C,'Adhoc-_Backlog'!AB:AB),0))</f>
        <v>0</v>
      </c>
      <c r="AJ15" s="51">
        <f>SUM(IFERROR(_xlfn.XLOOKUP($D15,Domestic!$C:$C,Domestic!AC:AC),0),IFERROR(_xlfn.XLOOKUP($D15,'INT-_Manjiri'!$C:$C,'INT-_Manjiri'!AB:AB),0),IFERROR(_xlfn.XLOOKUP($D15,'USA-_Sea_shipment'!$C:$C,'USA-_Sea_shipment'!AB:AB),0),IFERROR(_xlfn.XLOOKUP($D15,Amazon_USA_Sea!$C:$C,Amazon_USA_Sea!AB:AB),0),IFERROR(_xlfn.XLOOKUP($D15,USA_Air_Shipment!$C:$C,USA_Air_Shipment!AA:AA),0),IFERROR(_xlfn.XLOOKUP($D15,Amazon_USA_Air_Shipment!$C:$C,Amazon_USA_Air_Shipment!AA:AA),0),IFERROR(_xlfn.XLOOKUP($D15,MENA!$C:$C,MENA!AA:AA),0),IFERROR(_xlfn.XLOOKUP($D15,UK!$C:$C,UK!AA:AA),0),IFERROR(_xlfn.XLOOKUP($D15,BMM_Order!$C:$C,BMM_Order!AA:AA),0),IFERROR(_xlfn.XLOOKUP($D15,'Adhoc-_Backlog'!$C:$C,'Adhoc-_Backlog'!AC:AC),0))</f>
        <v>0</v>
      </c>
      <c r="AK15" s="51">
        <f>SUM(IFERROR(_xlfn.XLOOKUP($D15,Domestic!$C:$C,Domestic!AD:AD),0),IFERROR(_xlfn.XLOOKUP($D15,'INT-_Manjiri'!$C:$C,'INT-_Manjiri'!AC:AC),0),IFERROR(_xlfn.XLOOKUP($D15,'USA-_Sea_shipment'!$C:$C,'USA-_Sea_shipment'!AC:AC),0),IFERROR(_xlfn.XLOOKUP($D15,Amazon_USA_Sea!$C:$C,Amazon_USA_Sea!AC:AC),0),IFERROR(_xlfn.XLOOKUP($D15,USA_Air_Shipment!$C:$C,USA_Air_Shipment!AB:AB),0),IFERROR(_xlfn.XLOOKUP($D15,Amazon_USA_Air_Shipment!$C:$C,Amazon_USA_Air_Shipment!AB:AB),0),IFERROR(_xlfn.XLOOKUP($D15,MENA!$C:$C,MENA!AB:AB),0),IFERROR(_xlfn.XLOOKUP($D15,UK!$C:$C,UK!AB:AB),0),IFERROR(_xlfn.XLOOKUP($D15,BMM_Order!$C:$C,BMM_Order!AB:AB),0),IFERROR(_xlfn.XLOOKUP($D15,'Adhoc-_Backlog'!$C:$C,'Adhoc-_Backlog'!AD:AD),0))</f>
        <v>0</v>
      </c>
      <c r="AL15" s="51">
        <f>SUM(IFERROR(_xlfn.XLOOKUP($D15,Domestic!$C:$C,Domestic!AE:AE),0),IFERROR(_xlfn.XLOOKUP($D15,'INT-_Manjiri'!$C:$C,'INT-_Manjiri'!AD:AD),0),IFERROR(_xlfn.XLOOKUP($D15,'USA-_Sea_shipment'!$C:$C,'USA-_Sea_shipment'!AD:AD),0),IFERROR(_xlfn.XLOOKUP($D15,Amazon_USA_Sea!$C:$C,Amazon_USA_Sea!AD:AD),0),IFERROR(_xlfn.XLOOKUP($D15,USA_Air_Shipment!$C:$C,USA_Air_Shipment!AC:AC),0),IFERROR(_xlfn.XLOOKUP($D15,Amazon_USA_Air_Shipment!$C:$C,Amazon_USA_Air_Shipment!AC:AC),0),IFERROR(_xlfn.XLOOKUP($D15,MENA!$C:$C,MENA!AC:AC),0),IFERROR(_xlfn.XLOOKUP($D15,UK!$C:$C,UK!AC:AC),0),IFERROR(_xlfn.XLOOKUP($D15,BMM_Order!$C:$C,BMM_Order!AC:AC),0),IFERROR(_xlfn.XLOOKUP($D15,'Adhoc-_Backlog'!$C:$C,'Adhoc-_Backlog'!AE:AE),0))</f>
        <v>69</v>
      </c>
      <c r="AM15" s="51">
        <f>SUM(IFERROR(_xlfn.XLOOKUP($D15,Domestic!$C:$C,Domestic!AF:AF),0),IFERROR(_xlfn.XLOOKUP($D15,'INT-_Manjiri'!$C:$C,'INT-_Manjiri'!AE:AE),0),IFERROR(_xlfn.XLOOKUP($D15,'USA-_Sea_shipment'!$C:$C,'USA-_Sea_shipment'!AE:AE),0),IFERROR(_xlfn.XLOOKUP($D15,Amazon_USA_Sea!$C:$C,Amazon_USA_Sea!AE:AE),0),IFERROR(_xlfn.XLOOKUP($D15,USA_Air_Shipment!$C:$C,USA_Air_Shipment!AD:AD),0),IFERROR(_xlfn.XLOOKUP($D15,Amazon_USA_Air_Shipment!$C:$C,Amazon_USA_Air_Shipment!AD:AD),0),IFERROR(_xlfn.XLOOKUP($D15,MENA!$C:$C,MENA!AD:AD),0),IFERROR(_xlfn.XLOOKUP($D15,UK!$C:$C,UK!AD:AD),0),IFERROR(_xlfn.XLOOKUP($D15,BMM_Order!$C:$C,BMM_Order!AD:AD),0),IFERROR(_xlfn.XLOOKUP($D15,'Adhoc-_Backlog'!$C:$C,'Adhoc-_Backlog'!AF:AF),0))</f>
        <v>0</v>
      </c>
      <c r="AN15" s="51">
        <f>SUM(IFERROR(_xlfn.XLOOKUP($D15,Domestic!$C:$C,Domestic!AG:AG),0),IFERROR(_xlfn.XLOOKUP($D15,'INT-_Manjiri'!$C:$C,'INT-_Manjiri'!AF:AF),0),IFERROR(_xlfn.XLOOKUP($D15,'USA-_Sea_shipment'!$C:$C,'USA-_Sea_shipment'!AF:AF),0),IFERROR(_xlfn.XLOOKUP($D15,Amazon_USA_Sea!$C:$C,Amazon_USA_Sea!AF:AF),0),IFERROR(_xlfn.XLOOKUP($D15,USA_Air_Shipment!$C:$C,USA_Air_Shipment!AE:AE),0),IFERROR(_xlfn.XLOOKUP($D15,Amazon_USA_Air_Shipment!$C:$C,Amazon_USA_Air_Shipment!AE:AE),0),IFERROR(_xlfn.XLOOKUP($D15,MENA!$C:$C,MENA!AE:AE),0),IFERROR(_xlfn.XLOOKUP($D15,UK!$C:$C,UK!AE:AE),0),IFERROR(_xlfn.XLOOKUP($D15,BMM_Order!$C:$C,BMM_Order!AE:AE),0),IFERROR(_xlfn.XLOOKUP($D15,'Adhoc-_Backlog'!$C:$C,'Adhoc-_Backlog'!AG:AG),0))</f>
        <v>0</v>
      </c>
      <c r="AO15" s="51">
        <f>SUM(IFERROR(_xlfn.XLOOKUP($D15,Domestic!$C:$C,Domestic!AH:AH),0),IFERROR(_xlfn.XLOOKUP($D15,'INT-_Manjiri'!$C:$C,'INT-_Manjiri'!AG:AG),0),IFERROR(_xlfn.XLOOKUP($D15,'USA-_Sea_shipment'!$C:$C,'USA-_Sea_shipment'!AG:AG),0),IFERROR(_xlfn.XLOOKUP($D15,Amazon_USA_Sea!$C:$C,Amazon_USA_Sea!AG:AG),0),IFERROR(_xlfn.XLOOKUP($D15,USA_Air_Shipment!$C:$C,USA_Air_Shipment!AF:AF),0),IFERROR(_xlfn.XLOOKUP($D15,Amazon_USA_Air_Shipment!$C:$C,Amazon_USA_Air_Shipment!AF:AF),0),IFERROR(_xlfn.XLOOKUP($D15,MENA!$C:$C,MENA!AF:AF),0),IFERROR(_xlfn.XLOOKUP($D15,UK!$C:$C,UK!AF:AF),0),IFERROR(_xlfn.XLOOKUP($D15,BMM_Order!$C:$C,BMM_Order!AF:AF),0),IFERROR(_xlfn.XLOOKUP($D15,'Adhoc-_Backlog'!$C:$C,'Adhoc-_Backlog'!AH:AH),0))</f>
        <v>0</v>
      </c>
      <c r="AP15" s="51">
        <f>SUM(IFERROR(_xlfn.XLOOKUP($D15,Domestic!$C:$C,Domestic!AI:AI),0),IFERROR(_xlfn.XLOOKUP($D15,'INT-_Manjiri'!$C:$C,'INT-_Manjiri'!AH:AH),0),IFERROR(_xlfn.XLOOKUP($D15,'USA-_Sea_shipment'!$C:$C,'USA-_Sea_shipment'!AH:AH),0),IFERROR(_xlfn.XLOOKUP($D15,Amazon_USA_Sea!$C:$C,Amazon_USA_Sea!AH:AH),0),IFERROR(_xlfn.XLOOKUP($D15,USA_Air_Shipment!$C:$C,USA_Air_Shipment!AG:AG),0),IFERROR(_xlfn.XLOOKUP($D15,Amazon_USA_Air_Shipment!$C:$C,Amazon_USA_Air_Shipment!AG:AG),0),IFERROR(_xlfn.XLOOKUP($D15,MENA!$C:$C,MENA!AG:AG),0),IFERROR(_xlfn.XLOOKUP($D15,UK!$C:$C,UK!AG:AG),0),IFERROR(_xlfn.XLOOKUP($D15,BMM_Order!$C:$C,BMM_Order!AG:AG),0),IFERROR(_xlfn.XLOOKUP($D15,'Adhoc-_Backlog'!$C:$C,'Adhoc-_Backlog'!AI:AI),0))</f>
        <v>0</v>
      </c>
      <c r="AQ15" s="51">
        <f>SUM(IFERROR(_xlfn.XLOOKUP($D15,Domestic!$C:$C,Domestic!AJ:AJ),0),IFERROR(_xlfn.XLOOKUP($D15,'INT-_Manjiri'!$C:$C,'INT-_Manjiri'!AI:AI),0),IFERROR(_xlfn.XLOOKUP($D15,'USA-_Sea_shipment'!$C:$C,'USA-_Sea_shipment'!AI:AI),0),IFERROR(_xlfn.XLOOKUP($D15,Amazon_USA_Sea!$C:$C,Amazon_USA_Sea!AI:AI),0),IFERROR(_xlfn.XLOOKUP($D15,USA_Air_Shipment!$C:$C,USA_Air_Shipment!AH:AH),0),IFERROR(_xlfn.XLOOKUP($D15,Amazon_USA_Air_Shipment!$C:$C,Amazon_USA_Air_Shipment!AH:AH),0),IFERROR(_xlfn.XLOOKUP($D15,MENA!$C:$C,MENA!AH:AH),0),IFERROR(_xlfn.XLOOKUP($D15,UK!$C:$C,UK!AH:AH),0),IFERROR(_xlfn.XLOOKUP($D15,BMM_Order!$C:$C,BMM_Order!AH:AH),0),IFERROR(_xlfn.XLOOKUP($D15,'Adhoc-_Backlog'!$C:$C,'Adhoc-_Backlog'!AJ:AJ),0))</f>
        <v>0</v>
      </c>
      <c r="AR15" s="51">
        <f>SUM(IFERROR(_xlfn.XLOOKUP($D15,Domestic!$C:$C,Domestic!AK:AK),0),IFERROR(_xlfn.XLOOKUP($D15,'INT-_Manjiri'!$C:$C,'INT-_Manjiri'!AJ:AJ),0),IFERROR(_xlfn.XLOOKUP($D15,'USA-_Sea_shipment'!$C:$C,'USA-_Sea_shipment'!AJ:AJ),0),IFERROR(_xlfn.XLOOKUP($D15,Amazon_USA_Sea!$C:$C,Amazon_USA_Sea!AJ:AJ),0),IFERROR(_xlfn.XLOOKUP($D15,USA_Air_Shipment!$C:$C,USA_Air_Shipment!AI:AI),0),IFERROR(_xlfn.XLOOKUP($D15,Amazon_USA_Air_Shipment!$C:$C,Amazon_USA_Air_Shipment!AI:AI),0),IFERROR(_xlfn.XLOOKUP($D15,MENA!$C:$C,MENA!AI:AI),0),IFERROR(_xlfn.XLOOKUP($D15,UK!$C:$C,UK!AI:AI),0),IFERROR(_xlfn.XLOOKUP($D15,BMM_Order!$C:$C,BMM_Order!AI:AI),0),IFERROR(_xlfn.XLOOKUP($D15,'Adhoc-_Backlog'!$C:$C,'Adhoc-_Backlog'!AK:AK),0))</f>
        <v>0</v>
      </c>
      <c r="AS15" s="51">
        <f>SUM(IFERROR(_xlfn.XLOOKUP($D15,Domestic!$C:$C,Domestic!AL:AL),0),IFERROR(_xlfn.XLOOKUP($D15,'INT-_Manjiri'!$C:$C,'INT-_Manjiri'!AK:AK),0),IFERROR(_xlfn.XLOOKUP($D15,'USA-_Sea_shipment'!$C:$C,'USA-_Sea_shipment'!AK:AK),0),IFERROR(_xlfn.XLOOKUP($D15,Amazon_USA_Sea!$C:$C,Amazon_USA_Sea!AK:AK),0),IFERROR(_xlfn.XLOOKUP($D15,USA_Air_Shipment!$C:$C,USA_Air_Shipment!AJ:AJ),0),IFERROR(_xlfn.XLOOKUP($D15,Amazon_USA_Air_Shipment!$C:$C,Amazon_USA_Air_Shipment!AJ:AJ),0),IFERROR(_xlfn.XLOOKUP($D15,MENA!$C:$C,MENA!AJ:AJ),0),IFERROR(_xlfn.XLOOKUP($D15,UK!$C:$C,UK!AJ:AJ),0),IFERROR(_xlfn.XLOOKUP($D15,BMM_Order!$C:$C,BMM_Order!AJ:AJ),0),IFERROR(_xlfn.XLOOKUP($D15,'Adhoc-_Backlog'!$C:$C,'Adhoc-_Backlog'!AL:AL),0))</f>
        <v>0</v>
      </c>
      <c r="AT15" s="51">
        <f>SUM(IFERROR(_xlfn.XLOOKUP($D15,Domestic!$C:$C,Domestic!AM:AM),0),IFERROR(_xlfn.XLOOKUP($D15,'INT-_Manjiri'!$C:$C,'INT-_Manjiri'!AL:AL),0),IFERROR(_xlfn.XLOOKUP($D15,'USA-_Sea_shipment'!$C:$C,'USA-_Sea_shipment'!AL:AL),0),IFERROR(_xlfn.XLOOKUP($D15,Amazon_USA_Sea!$C:$C,Amazon_USA_Sea!AL:AL),0),IFERROR(_xlfn.XLOOKUP($D15,USA_Air_Shipment!$C:$C,USA_Air_Shipment!AK:AK),0),IFERROR(_xlfn.XLOOKUP($D15,Amazon_USA_Air_Shipment!$C:$C,Amazon_USA_Air_Shipment!AK:AK),0),IFERROR(_xlfn.XLOOKUP($D15,MENA!$C:$C,MENA!AK:AK),0),IFERROR(_xlfn.XLOOKUP($D15,UK!$C:$C,UK!AK:AK),0),IFERROR(_xlfn.XLOOKUP($D15,BMM_Order!$C:$C,BMM_Order!AK:AK),0),IFERROR(_xlfn.XLOOKUP($D15,'Adhoc-_Backlog'!$C:$C,'Adhoc-_Backlog'!AM:AM),0))</f>
        <v>60</v>
      </c>
      <c r="AU15" s="51">
        <f>SUM(IFERROR(_xlfn.XLOOKUP($D15,Domestic!$C:$C,Domestic!AN:AN),0),IFERROR(_xlfn.XLOOKUP($D15,'INT-_Manjiri'!$C:$C,'INT-_Manjiri'!AM:AM),0),IFERROR(_xlfn.XLOOKUP($D15,'USA-_Sea_shipment'!$C:$C,'USA-_Sea_shipment'!AM:AM),0),IFERROR(_xlfn.XLOOKUP($D15,Amazon_USA_Sea!$C:$C,Amazon_USA_Sea!AM:AM),0),IFERROR(_xlfn.XLOOKUP($D15,USA_Air_Shipment!$C:$C,USA_Air_Shipment!AL:AL),0),IFERROR(_xlfn.XLOOKUP($D15,Amazon_USA_Air_Shipment!$C:$C,Amazon_USA_Air_Shipment!AL:AL),0),IFERROR(_xlfn.XLOOKUP($D15,MENA!$C:$C,MENA!AL:AL),0),IFERROR(_xlfn.XLOOKUP($D15,UK!$C:$C,UK!AL:AL),0),IFERROR(_xlfn.XLOOKUP($D15,BMM_Order!$C:$C,BMM_Order!AL:AL),0),IFERROR(_xlfn.XLOOKUP($D15,'Adhoc-_Backlog'!$C:$C,'Adhoc-_Backlog'!AN:AN),0))</f>
        <v>0</v>
      </c>
      <c r="AV15" s="51">
        <f>SUM(IFERROR(_xlfn.XLOOKUP($D15,Domestic!$C:$C,Domestic!AO:AO),0),IFERROR(_xlfn.XLOOKUP($D15,'INT-_Manjiri'!$C:$C,'INT-_Manjiri'!AN:AN),0),IFERROR(_xlfn.XLOOKUP($D15,'USA-_Sea_shipment'!$C:$C,'USA-_Sea_shipment'!AN:AN),0),IFERROR(_xlfn.XLOOKUP($D15,Amazon_USA_Sea!$C:$C,Amazon_USA_Sea!AN:AN),0),IFERROR(_xlfn.XLOOKUP($D15,USA_Air_Shipment!$C:$C,USA_Air_Shipment!AM:AM),0),IFERROR(_xlfn.XLOOKUP($D15,Amazon_USA_Air_Shipment!$C:$C,Amazon_USA_Air_Shipment!AM:AM),0),IFERROR(_xlfn.XLOOKUP($D15,MENA!$C:$C,MENA!AM:AM),0),IFERROR(_xlfn.XLOOKUP($D15,UK!$C:$C,UK!AM:AM),0),IFERROR(_xlfn.XLOOKUP($D15,BMM_Order!$C:$C,BMM_Order!AM:AM),0),IFERROR(_xlfn.XLOOKUP($D15,'Adhoc-_Backlog'!$C:$C,'Adhoc-_Backlog'!AO:AO),0))</f>
        <v>45</v>
      </c>
      <c r="AW15" s="51">
        <f>SUM(IFERROR(_xlfn.XLOOKUP($D15,Domestic!$C:$C,Domestic!AP:AP),0),IFERROR(_xlfn.XLOOKUP($D15,'INT-_Manjiri'!$C:$C,'INT-_Manjiri'!AO:AO),0),IFERROR(_xlfn.XLOOKUP($D15,'USA-_Sea_shipment'!$C:$C,'USA-_Sea_shipment'!AO:AO),0),IFERROR(_xlfn.XLOOKUP($D15,Amazon_USA_Sea!$C:$C,Amazon_USA_Sea!AO:AO),0),IFERROR(_xlfn.XLOOKUP($D15,USA_Air_Shipment!$C:$C,USA_Air_Shipment!AN:AN),0),IFERROR(_xlfn.XLOOKUP($D15,Amazon_USA_Air_Shipment!$C:$C,Amazon_USA_Air_Shipment!AN:AN),0),IFERROR(_xlfn.XLOOKUP($D15,MENA!$C:$C,MENA!AN:AN),0),IFERROR(_xlfn.XLOOKUP($D15,UK!$C:$C,UK!AN:AN),0),IFERROR(_xlfn.XLOOKUP($D15,BMM_Order!$C:$C,BMM_Order!AN:AN),0),IFERROR(_xlfn.XLOOKUP($D15,'Adhoc-_Backlog'!$C:$C,'Adhoc-_Backlog'!AP:AP),0))</f>
        <v>28</v>
      </c>
      <c r="AX15" s="51">
        <f>SUM(IFERROR(_xlfn.XLOOKUP($D15,Domestic!$C:$C,Domestic!AQ:AQ),0),IFERROR(_xlfn.XLOOKUP($D15,'INT-_Manjiri'!$C:$C,'INT-_Manjiri'!AP:AP),0),IFERROR(_xlfn.XLOOKUP($D15,'USA-_Sea_shipment'!$C:$C,'USA-_Sea_shipment'!AP:AP),0),IFERROR(_xlfn.XLOOKUP($D15,Amazon_USA_Sea!$C:$C,Amazon_USA_Sea!AP:AP),0),IFERROR(_xlfn.XLOOKUP($D15,USA_Air_Shipment!$C:$C,USA_Air_Shipment!AO:AO),0),IFERROR(_xlfn.XLOOKUP($D15,Amazon_USA_Air_Shipment!$C:$C,Amazon_USA_Air_Shipment!AO:AO),0),IFERROR(_xlfn.XLOOKUP($D15,MENA!$C:$C,MENA!AO:AO),0),IFERROR(_xlfn.XLOOKUP($D15,UK!$C:$C,UK!AO:AO),0),IFERROR(_xlfn.XLOOKUP($D15,BMM_Order!$C:$C,BMM_Order!AO:AO),0),IFERROR(_xlfn.XLOOKUP($D15,'Adhoc-_Backlog'!$C:$C,'Adhoc-_Backlog'!AQ:AQ),0))</f>
        <v>0</v>
      </c>
      <c r="AY15" s="51">
        <f>SUM(IFERROR(_xlfn.XLOOKUP($D15,Domestic!$C:$C,Domestic!AR:AR),0),IFERROR(_xlfn.XLOOKUP($D15,'INT-_Manjiri'!$C:$C,'INT-_Manjiri'!AQ:AQ),0),IFERROR(_xlfn.XLOOKUP($D15,'USA-_Sea_shipment'!$C:$C,'USA-_Sea_shipment'!AQ:AQ),0),IFERROR(_xlfn.XLOOKUP($D15,Amazon_USA_Sea!$C:$C,Amazon_USA_Sea!AQ:AQ),0),IFERROR(_xlfn.XLOOKUP($D15,USA_Air_Shipment!$C:$C,USA_Air_Shipment!AP:AP),0),IFERROR(_xlfn.XLOOKUP($D15,Amazon_USA_Air_Shipment!$C:$C,Amazon_USA_Air_Shipment!AP:AP),0),IFERROR(_xlfn.XLOOKUP($D15,MENA!$C:$C,MENA!AP:AP),0),IFERROR(_xlfn.XLOOKUP($D15,UK!$C:$C,UK!AP:AP),0),IFERROR(_xlfn.XLOOKUP($D15,BMM_Order!$C:$C,BMM_Order!AP:AP),0),IFERROR(_xlfn.XLOOKUP($D15,'Adhoc-_Backlog'!$C:$C,'Adhoc-_Backlog'!AR:AR),0))</f>
        <v>29</v>
      </c>
      <c r="AZ15" s="51">
        <f>SUM(IFERROR(_xlfn.XLOOKUP($D15,Domestic!$C:$C,Domestic!AS:AS),0),IFERROR(_xlfn.XLOOKUP($D15,'INT-_Manjiri'!$C:$C,'INT-_Manjiri'!AR:AR),0),IFERROR(_xlfn.XLOOKUP($D15,'USA-_Sea_shipment'!$C:$C,'USA-_Sea_shipment'!AR:AR),0),IFERROR(_xlfn.XLOOKUP($D15,Amazon_USA_Sea!$C:$C,Amazon_USA_Sea!AR:AR),0),IFERROR(_xlfn.XLOOKUP($D15,USA_Air_Shipment!$C:$C,USA_Air_Shipment!AQ:AQ),0),IFERROR(_xlfn.XLOOKUP($D15,Amazon_USA_Air_Shipment!$C:$C,Amazon_USA_Air_Shipment!AQ:AQ),0),IFERROR(_xlfn.XLOOKUP($D15,MENA!$C:$C,MENA!AQ:AQ),0),IFERROR(_xlfn.XLOOKUP($D15,UK!$C:$C,UK!AQ:AQ),0),IFERROR(_xlfn.XLOOKUP($D15,BMM_Order!$C:$C,BMM_Order!AQ:AQ),0),IFERROR(_xlfn.XLOOKUP($D15,'Adhoc-_Backlog'!$C:$C,'Adhoc-_Backlog'!AS:AS),0))</f>
        <v>0</v>
      </c>
      <c r="BA15" s="51">
        <f>SUM(IFERROR(_xlfn.XLOOKUP($D15,Domestic!$C:$C,Domestic!AT:AT),0),IFERROR(_xlfn.XLOOKUP($D15,'INT-_Manjiri'!$C:$C,'INT-_Manjiri'!AS:AS),0),IFERROR(_xlfn.XLOOKUP($D15,'USA-_Sea_shipment'!$C:$C,'USA-_Sea_shipment'!AS:AS),0),IFERROR(_xlfn.XLOOKUP($D15,Amazon_USA_Sea!$C:$C,Amazon_USA_Sea!AS:AS),0),IFERROR(_xlfn.XLOOKUP($D15,USA_Air_Shipment!$C:$C,USA_Air_Shipment!AR:AR),0),IFERROR(_xlfn.XLOOKUP($D15,Amazon_USA_Air_Shipment!$C:$C,Amazon_USA_Air_Shipment!AR:AR),0),IFERROR(_xlfn.XLOOKUP($D15,MENA!$C:$C,MENA!AR:AR),0),IFERROR(_xlfn.XLOOKUP($D15,UK!$C:$C,UK!AR:AR),0),IFERROR(_xlfn.XLOOKUP($D15,BMM_Order!$C:$C,BMM_Order!AR:AR),0),IFERROR(_xlfn.XLOOKUP($D15,'Adhoc-_Backlog'!$C:$C,'Adhoc-_Backlog'!AT:AT),0))</f>
        <v>0</v>
      </c>
      <c r="BB15" s="52">
        <f t="shared" si="2"/>
        <v>594</v>
      </c>
      <c r="BC15" s="53">
        <f t="shared" si="3"/>
        <v>2970</v>
      </c>
      <c r="BD15" s="51">
        <f t="shared" si="4"/>
        <v>441.25</v>
      </c>
      <c r="BE15" s="53">
        <f t="shared" si="5"/>
        <v>2206.25</v>
      </c>
      <c r="BF15" s="54">
        <f t="shared" si="6"/>
        <v>0.57377445061579324</v>
      </c>
      <c r="BG15" s="55" t="str">
        <f>_xlfn.TEXTJOIN(" | ",TRUE,IFERROR(_xlfn.XLOOKUP($D15,Domestic!$C:$C,Domestic!$BG:$BG,""),""),IFERROR(_xlfn.XLOOKUP($D15,'INT-_Manjiri'!$C:$C,'INT-_Manjiri'!$AY:$AY,""),""),IFERROR(_xlfn.XLOOKUP($D15,'USA-_Sea_shipment'!$C:$C,'USA-_Sea_shipment'!#REF!,""),""),IFERROR(_xlfn.XLOOKUP($D15,Amazon_USA_Sea!$C:$C,Amazon_USA_Sea!$AY:$AY,""),""),IFERROR(_xlfn.XLOOKUP($D15,USA_Air_Shipment!$C:$C,USA_Air_Shipment!$AW:$AW,""),""),IFERROR(_xlfn.XLOOKUP($D15,Amazon_USA_Air_Shipment!$C:$C,Amazon_USA_Air_Shipment!$AW:$AW,""),""),IFERROR(_xlfn.XLOOKUP($D15,MENA!$C:$C,MENA!$AW:$AW,""),""),IFERROR(_xlfn.XLOOKUP($D15,UK!$C:$C,UK!$BA:$BA,""),""),IFERROR(_xlfn.XLOOKUP($D15,BMM_Order!$C:$C,BMM_Order!$BA:$BA,""),""),IFERROR(_xlfn.XLOOKUP($D15,'Adhoc-_Backlog'!$C:$C,'Adhoc-_Backlog'!$BD:$BD,""),""))</f>
        <v>WIP</v>
      </c>
      <c r="BH15" s="55">
        <f>_xlfn.XLOOKUP(D15,Raw_Data!A:A,Raw_Data!B:B)</f>
        <v>8</v>
      </c>
      <c r="BI15" s="56">
        <f t="shared" si="7"/>
        <v>0.23182806085486599</v>
      </c>
      <c r="BJ15" s="55">
        <f t="shared" si="8"/>
        <v>10</v>
      </c>
      <c r="BK15" s="57" t="str">
        <f t="shared" si="9"/>
        <v>P1 – Critical</v>
      </c>
      <c r="BL15" t="s">
        <v>69</v>
      </c>
    </row>
    <row r="16" spans="1:64" ht="13">
      <c r="A16" s="44">
        <f>11</f>
        <v>11</v>
      </c>
      <c r="B16" s="45" t="s">
        <v>12</v>
      </c>
      <c r="C16" s="45"/>
      <c r="D16" s="46" t="str">
        <f>Projection_!A14</f>
        <v>GHEE1000_STEEL_CAN</v>
      </c>
      <c r="E16" s="47" t="str">
        <f>Projection_!B14</f>
        <v>Steel Can Ghee 1 Ltr</v>
      </c>
      <c r="F16" s="48">
        <v>1</v>
      </c>
      <c r="G16" s="49">
        <f>IFERROR(_xlfn.XLOOKUP($D16,Projection_!$A:$A,Projection_!$J:$J),0)</f>
        <v>413.05</v>
      </c>
      <c r="H16" s="49">
        <f>IFERROR(_xlfn.XLOOKUP($D16,Projection_!$A:$A,Projection_!$K:$K),0)</f>
        <v>0</v>
      </c>
      <c r="I16" s="49">
        <f>IFERROR(_xlfn.XLOOKUP($D16,Projection_!$A:$A,Projection_!$L:$L),0)</f>
        <v>0</v>
      </c>
      <c r="J16" s="49">
        <f>IFERROR(_xlfn.XLOOKUP($D16,Projection_!$A:$A,Projection_!$M:$M),0)</f>
        <v>0</v>
      </c>
      <c r="K16" s="49">
        <f>IFERROR(_xlfn.XLOOKUP($D16,Projection_!$A:$A,Projection_!$Q:$Q),0)</f>
        <v>0</v>
      </c>
      <c r="L16" s="49">
        <f>IFERROR(_xlfn.XLOOKUP($D16,Projection_!$A:$A,Projection_!$R:$R),0)</f>
        <v>0</v>
      </c>
      <c r="M16" s="49">
        <f>IFERROR(_xlfn.XLOOKUP($D16,Projection_!$A:$A,Projection_!$O:$O),0)</f>
        <v>0</v>
      </c>
      <c r="N16" s="49">
        <f>IFERROR(_xlfn.XLOOKUP($D16,Projection_!$A:$A,Projection_!$P:$P),0)</f>
        <v>0</v>
      </c>
      <c r="O16" s="50">
        <f t="shared" si="1"/>
        <v>413.05</v>
      </c>
      <c r="P16" s="51">
        <f>SUM(IFERROR(_xlfn.XLOOKUP($D16,Domestic!$C:$C,Domestic!I:I),0),IFERROR(_xlfn.XLOOKUP($D16,'INT-_Manjiri'!$C:$C,'INT-_Manjiri'!H:H),0),IFERROR(_xlfn.XLOOKUP($D16,'USA-_Sea_shipment'!$C:$C,'USA-_Sea_shipment'!H:H),0),IFERROR(_xlfn.XLOOKUP($D16,Amazon_USA_Sea!$C:$C,Amazon_USA_Sea!H:H),0),IFERROR(_xlfn.XLOOKUP($D16,USA_Air_Shipment!$C:$C,USA_Air_Shipment!G:G),0),IFERROR(_xlfn.XLOOKUP($D16,Amazon_USA_Air_Shipment!$C:$C,Amazon_USA_Air_Shipment!G:G),0),IFERROR(_xlfn.XLOOKUP($D16,MENA!$C:$C,MENA!G:G),0),IFERROR(_xlfn.XLOOKUP($D16,UK!$C:$C,UK!G:G),0),IFERROR(_xlfn.XLOOKUP($D16,BMM_Order!$C:$C,BMM_Order!G:G),0),IFERROR(_xlfn.XLOOKUP($D16,'Adhoc-_Backlog'!$C:$C,'Adhoc-_Backlog'!I:I),0))</f>
        <v>193</v>
      </c>
      <c r="Q16" s="51">
        <f>SUM(IFERROR(_xlfn.XLOOKUP($D16,Domestic!$C:$C,Domestic!J:J),0),IFERROR(_xlfn.XLOOKUP($D16,'INT-_Manjiri'!$C:$C,'INT-_Manjiri'!I:I),0),IFERROR(_xlfn.XLOOKUP($D16,'USA-_Sea_shipment'!$C:$C,'USA-_Sea_shipment'!I:I),0),IFERROR(_xlfn.XLOOKUP($D16,Amazon_USA_Sea!$C:$C,Amazon_USA_Sea!I:I),0),IFERROR(_xlfn.XLOOKUP($D16,USA_Air_Shipment!$C:$C,USA_Air_Shipment!H:H),0),IFERROR(_xlfn.XLOOKUP($D16,Amazon_USA_Air_Shipment!$C:$C,Amazon_USA_Air_Shipment!H:H),0),IFERROR(_xlfn.XLOOKUP($D16,MENA!$C:$C,MENA!H:H),0),IFERROR(_xlfn.XLOOKUP($D16,UK!$C:$C,UK!H:H),0),IFERROR(_xlfn.XLOOKUP($D16,BMM_Order!$C:$C,BMM_Order!H:H),0),IFERROR(_xlfn.XLOOKUP($D16,'Adhoc-_Backlog'!$C:$C,'Adhoc-_Backlog'!J:J),0))</f>
        <v>0</v>
      </c>
      <c r="R16" s="51">
        <f>SUM(IFERROR(_xlfn.XLOOKUP($D16,Domestic!$C:$C,Domestic!K:K),0),IFERROR(_xlfn.XLOOKUP($D16,'INT-_Manjiri'!$C:$C,'INT-_Manjiri'!J:J),0),IFERROR(_xlfn.XLOOKUP($D16,'USA-_Sea_shipment'!$C:$C,'USA-_Sea_shipment'!J:J),0),IFERROR(_xlfn.XLOOKUP($D16,Amazon_USA_Sea!$C:$C,Amazon_USA_Sea!J:J),0),IFERROR(_xlfn.XLOOKUP($D16,USA_Air_Shipment!$C:$C,USA_Air_Shipment!I:I),0),IFERROR(_xlfn.XLOOKUP($D16,Amazon_USA_Air_Shipment!$C:$C,Amazon_USA_Air_Shipment!I:I),0),IFERROR(_xlfn.XLOOKUP($D16,MENA!$C:$C,MENA!I:I),0),IFERROR(_xlfn.XLOOKUP($D16,UK!$C:$C,UK!I:I),0),IFERROR(_xlfn.XLOOKUP($D16,BMM_Order!$C:$C,BMM_Order!I:I),0),IFERROR(_xlfn.XLOOKUP($D16,'Adhoc-_Backlog'!$C:$C,'Adhoc-_Backlog'!K:K),0))</f>
        <v>0</v>
      </c>
      <c r="S16" s="51">
        <f>SUM(IFERROR(_xlfn.XLOOKUP($D16,Domestic!$C:$C,Domestic!L:L),0),IFERROR(_xlfn.XLOOKUP($D16,'INT-_Manjiri'!$C:$C,'INT-_Manjiri'!K:K),0),IFERROR(_xlfn.XLOOKUP($D16,'USA-_Sea_shipment'!$C:$C,'USA-_Sea_shipment'!K:K),0),IFERROR(_xlfn.XLOOKUP($D16,Amazon_USA_Sea!$C:$C,Amazon_USA_Sea!K:K),0),IFERROR(_xlfn.XLOOKUP($D16,USA_Air_Shipment!$C:$C,USA_Air_Shipment!J:J),0),IFERROR(_xlfn.XLOOKUP($D16,Amazon_USA_Air_Shipment!$C:$C,Amazon_USA_Air_Shipment!J:J),0),IFERROR(_xlfn.XLOOKUP($D16,MENA!$C:$C,MENA!J:J),0),IFERROR(_xlfn.XLOOKUP($D16,UK!$C:$C,UK!J:J),0),IFERROR(_xlfn.XLOOKUP($D16,BMM_Order!$C:$C,BMM_Order!J:J),0),IFERROR(_xlfn.XLOOKUP($D16,'Adhoc-_Backlog'!$C:$C,'Adhoc-_Backlog'!L:L),0))</f>
        <v>0</v>
      </c>
      <c r="T16" s="51">
        <f>SUM(IFERROR(_xlfn.XLOOKUP($D16,Domestic!$C:$C,Domestic!M:M),0),IFERROR(_xlfn.XLOOKUP($D16,'INT-_Manjiri'!$C:$C,'INT-_Manjiri'!L:L),0),IFERROR(_xlfn.XLOOKUP($D16,'USA-_Sea_shipment'!$C:$C,'USA-_Sea_shipment'!L:L),0),IFERROR(_xlfn.XLOOKUP($D16,Amazon_USA_Sea!$C:$C,Amazon_USA_Sea!L:L),0),IFERROR(_xlfn.XLOOKUP($D16,USA_Air_Shipment!$C:$C,USA_Air_Shipment!K:K),0),IFERROR(_xlfn.XLOOKUP($D16,Amazon_USA_Air_Shipment!$C:$C,Amazon_USA_Air_Shipment!K:K),0),IFERROR(_xlfn.XLOOKUP($D16,MENA!$C:$C,MENA!K:K),0),IFERROR(_xlfn.XLOOKUP($D16,UK!$C:$C,UK!K:K),0),IFERROR(_xlfn.XLOOKUP($D16,BMM_Order!$C:$C,BMM_Order!K:K),0),IFERROR(_xlfn.XLOOKUP($D16,'Adhoc-_Backlog'!$C:$C,'Adhoc-_Backlog'!M:M),0))</f>
        <v>0</v>
      </c>
      <c r="U16" s="51">
        <f>SUM(IFERROR(_xlfn.XLOOKUP($D16,Domestic!$C:$C,Domestic!N:N),0),IFERROR(_xlfn.XLOOKUP($D16,'INT-_Manjiri'!$C:$C,'INT-_Manjiri'!M:M),0),IFERROR(_xlfn.XLOOKUP($D16,'USA-_Sea_shipment'!$C:$C,'USA-_Sea_shipment'!M:M),0),IFERROR(_xlfn.XLOOKUP($D16,Amazon_USA_Sea!$C:$C,Amazon_USA_Sea!M:M),0),IFERROR(_xlfn.XLOOKUP($D16,USA_Air_Shipment!$C:$C,USA_Air_Shipment!L:L),0),IFERROR(_xlfn.XLOOKUP($D16,Amazon_USA_Air_Shipment!$C:$C,Amazon_USA_Air_Shipment!L:L),0),IFERROR(_xlfn.XLOOKUP($D16,MENA!$C:$C,MENA!L:L),0),IFERROR(_xlfn.XLOOKUP($D16,UK!$C:$C,UK!L:L),0),IFERROR(_xlfn.XLOOKUP($D16,BMM_Order!$C:$C,BMM_Order!L:L),0),IFERROR(_xlfn.XLOOKUP($D16,'Adhoc-_Backlog'!$C:$C,'Adhoc-_Backlog'!N:N),0))</f>
        <v>0</v>
      </c>
      <c r="V16" s="51">
        <f>SUM(IFERROR(_xlfn.XLOOKUP($D16,Domestic!$C:$C,Domestic!O:O),0),IFERROR(_xlfn.XLOOKUP($D16,'INT-_Manjiri'!$C:$C,'INT-_Manjiri'!N:N),0),IFERROR(_xlfn.XLOOKUP($D16,'USA-_Sea_shipment'!$C:$C,'USA-_Sea_shipment'!N:N),0),IFERROR(_xlfn.XLOOKUP($D16,Amazon_USA_Sea!$C:$C,Amazon_USA_Sea!N:N),0),IFERROR(_xlfn.XLOOKUP($D16,USA_Air_Shipment!$C:$C,USA_Air_Shipment!M:M),0),IFERROR(_xlfn.XLOOKUP($D16,Amazon_USA_Air_Shipment!$C:$C,Amazon_USA_Air_Shipment!M:M),0),IFERROR(_xlfn.XLOOKUP($D16,MENA!$C:$C,MENA!M:M),0),IFERROR(_xlfn.XLOOKUP($D16,UK!$C:$C,UK!M:M),0),IFERROR(_xlfn.XLOOKUP($D16,BMM_Order!$C:$C,BMM_Order!M:M),0),IFERROR(_xlfn.XLOOKUP($D16,'Adhoc-_Backlog'!$C:$C,'Adhoc-_Backlog'!O:O),0))</f>
        <v>0</v>
      </c>
      <c r="W16" s="51">
        <f>SUM(IFERROR(_xlfn.XLOOKUP($D16,Domestic!$C:$C,Domestic!P:P),0),IFERROR(_xlfn.XLOOKUP($D16,'INT-_Manjiri'!$C:$C,'INT-_Manjiri'!O:O),0),IFERROR(_xlfn.XLOOKUP($D16,'USA-_Sea_shipment'!$C:$C,'USA-_Sea_shipment'!O:O),0),IFERROR(_xlfn.XLOOKUP($D16,Amazon_USA_Sea!$C:$C,Amazon_USA_Sea!O:O),0),IFERROR(_xlfn.XLOOKUP($D16,USA_Air_Shipment!$C:$C,USA_Air_Shipment!N:N),0),IFERROR(_xlfn.XLOOKUP($D16,Amazon_USA_Air_Shipment!$C:$C,Amazon_USA_Air_Shipment!N:N),0),IFERROR(_xlfn.XLOOKUP($D16,MENA!$C:$C,MENA!N:N),0),IFERROR(_xlfn.XLOOKUP($D16,UK!$C:$C,UK!N:N),0),IFERROR(_xlfn.XLOOKUP($D16,BMM_Order!$C:$C,BMM_Order!N:N),0),IFERROR(_xlfn.XLOOKUP($D16,'Adhoc-_Backlog'!$C:$C,'Adhoc-_Backlog'!P:P),0))</f>
        <v>0</v>
      </c>
      <c r="X16" s="51">
        <f>SUM(IFERROR(_xlfn.XLOOKUP($D16,Domestic!$C:$C,Domestic!Q:Q),0),IFERROR(_xlfn.XLOOKUP($D16,'INT-_Manjiri'!$C:$C,'INT-_Manjiri'!P:P),0),IFERROR(_xlfn.XLOOKUP($D16,'USA-_Sea_shipment'!$C:$C,'USA-_Sea_shipment'!P:P),0),IFERROR(_xlfn.XLOOKUP($D16,Amazon_USA_Sea!$C:$C,Amazon_USA_Sea!P:P),0),IFERROR(_xlfn.XLOOKUP($D16,USA_Air_Shipment!$C:$C,USA_Air_Shipment!O:O),0),IFERROR(_xlfn.XLOOKUP($D16,Amazon_USA_Air_Shipment!$C:$C,Amazon_USA_Air_Shipment!O:O),0),IFERROR(_xlfn.XLOOKUP($D16,MENA!$C:$C,MENA!O:O),0),IFERROR(_xlfn.XLOOKUP($D16,UK!$C:$C,UK!O:O),0),IFERROR(_xlfn.XLOOKUP($D16,BMM_Order!$C:$C,BMM_Order!O:O),0),IFERROR(_xlfn.XLOOKUP($D16,'Adhoc-_Backlog'!$C:$C,'Adhoc-_Backlog'!Q:Q),0))</f>
        <v>0</v>
      </c>
      <c r="Y16" s="51">
        <f>SUM(IFERROR(_xlfn.XLOOKUP($D16,Domestic!$C:$C,Domestic!R:R),0),IFERROR(_xlfn.XLOOKUP($D16,'INT-_Manjiri'!$C:$C,'INT-_Manjiri'!Q:Q),0),IFERROR(_xlfn.XLOOKUP($D16,'USA-_Sea_shipment'!$C:$C,'USA-_Sea_shipment'!Q:Q),0),IFERROR(_xlfn.XLOOKUP($D16,Amazon_USA_Sea!$C:$C,Amazon_USA_Sea!Q:Q),0),IFERROR(_xlfn.XLOOKUP($D16,USA_Air_Shipment!$C:$C,USA_Air_Shipment!P:P),0),IFERROR(_xlfn.XLOOKUP($D16,Amazon_USA_Air_Shipment!$C:$C,Amazon_USA_Air_Shipment!P:P),0),IFERROR(_xlfn.XLOOKUP($D16,MENA!$C:$C,MENA!P:P),0),IFERROR(_xlfn.XLOOKUP($D16,UK!$C:$C,UK!P:P),0),IFERROR(_xlfn.XLOOKUP($D16,BMM_Order!$C:$C,BMM_Order!P:P),0),IFERROR(_xlfn.XLOOKUP($D16,'Adhoc-_Backlog'!$C:$C,'Adhoc-_Backlog'!R:R),0))</f>
        <v>0</v>
      </c>
      <c r="Z16" s="51">
        <f>SUM(IFERROR(_xlfn.XLOOKUP($D16,Domestic!$C:$C,Domestic!S:S),0),IFERROR(_xlfn.XLOOKUP($D16,'INT-_Manjiri'!$C:$C,'INT-_Manjiri'!R:R),0),IFERROR(_xlfn.XLOOKUP($D16,'USA-_Sea_shipment'!$C:$C,'USA-_Sea_shipment'!R:R),0),IFERROR(_xlfn.XLOOKUP($D16,Amazon_USA_Sea!$C:$C,Amazon_USA_Sea!R:R),0),IFERROR(_xlfn.XLOOKUP($D16,USA_Air_Shipment!$C:$C,USA_Air_Shipment!Q:Q),0),IFERROR(_xlfn.XLOOKUP($D16,Amazon_USA_Air_Shipment!$C:$C,Amazon_USA_Air_Shipment!Q:Q),0),IFERROR(_xlfn.XLOOKUP($D16,MENA!$C:$C,MENA!Q:Q),0),IFERROR(_xlfn.XLOOKUP($D16,UK!$C:$C,UK!Q:Q),0),IFERROR(_xlfn.XLOOKUP($D16,BMM_Order!$C:$C,BMM_Order!Q:Q),0),IFERROR(_xlfn.XLOOKUP($D16,'Adhoc-_Backlog'!$C:$C,'Adhoc-_Backlog'!S:S),0))</f>
        <v>0</v>
      </c>
      <c r="AA16" s="51">
        <f>SUM(IFERROR(_xlfn.XLOOKUP($D16,Domestic!$C:$C,Domestic!T:T),0),IFERROR(_xlfn.XLOOKUP($D16,'INT-_Manjiri'!$C:$C,'INT-_Manjiri'!S:S),0),IFERROR(_xlfn.XLOOKUP($D16,'USA-_Sea_shipment'!$C:$C,'USA-_Sea_shipment'!S:S),0),IFERROR(_xlfn.XLOOKUP($D16,Amazon_USA_Sea!$C:$C,Amazon_USA_Sea!S:S),0),IFERROR(_xlfn.XLOOKUP($D16,USA_Air_Shipment!$C:$C,USA_Air_Shipment!R:R),0),IFERROR(_xlfn.XLOOKUP($D16,Amazon_USA_Air_Shipment!$C:$C,Amazon_USA_Air_Shipment!R:R),0),IFERROR(_xlfn.XLOOKUP($D16,MENA!$C:$C,MENA!R:R),0),IFERROR(_xlfn.XLOOKUP($D16,UK!$C:$C,UK!R:R),0),IFERROR(_xlfn.XLOOKUP($D16,BMM_Order!$C:$C,BMM_Order!R:R),0),IFERROR(_xlfn.XLOOKUP($D16,'Adhoc-_Backlog'!$C:$C,'Adhoc-_Backlog'!T:T),0))</f>
        <v>0</v>
      </c>
      <c r="AB16" s="51">
        <f>SUM(IFERROR(_xlfn.XLOOKUP($D16,Domestic!$C:$C,Domestic!U:U),0),IFERROR(_xlfn.XLOOKUP($D16,'INT-_Manjiri'!$C:$C,'INT-_Manjiri'!T:T),0),IFERROR(_xlfn.XLOOKUP($D16,'USA-_Sea_shipment'!$C:$C,'USA-_Sea_shipment'!T:T),0),IFERROR(_xlfn.XLOOKUP($D16,Amazon_USA_Sea!$C:$C,Amazon_USA_Sea!T:T),0),IFERROR(_xlfn.XLOOKUP($D16,USA_Air_Shipment!$C:$C,USA_Air_Shipment!S:S),0),IFERROR(_xlfn.XLOOKUP($D16,Amazon_USA_Air_Shipment!$C:$C,Amazon_USA_Air_Shipment!S:S),0),IFERROR(_xlfn.XLOOKUP($D16,MENA!$C:$C,MENA!S:S),0),IFERROR(_xlfn.XLOOKUP($D16,UK!$C:$C,UK!S:S),0),IFERROR(_xlfn.XLOOKUP($D16,BMM_Order!$C:$C,BMM_Order!S:S),0),IFERROR(_xlfn.XLOOKUP($D16,'Adhoc-_Backlog'!$C:$C,'Adhoc-_Backlog'!U:U),0))</f>
        <v>0</v>
      </c>
      <c r="AC16" s="51">
        <f>SUM(IFERROR(_xlfn.XLOOKUP($D16,Domestic!$C:$C,Domestic!V:V),0),IFERROR(_xlfn.XLOOKUP($D16,'INT-_Manjiri'!$C:$C,'INT-_Manjiri'!U:U),0),IFERROR(_xlfn.XLOOKUP($D16,'USA-_Sea_shipment'!$C:$C,'USA-_Sea_shipment'!U:U),0),IFERROR(_xlfn.XLOOKUP($D16,Amazon_USA_Sea!$C:$C,Amazon_USA_Sea!U:U),0),IFERROR(_xlfn.XLOOKUP($D16,USA_Air_Shipment!$C:$C,USA_Air_Shipment!T:T),0),IFERROR(_xlfn.XLOOKUP($D16,Amazon_USA_Air_Shipment!$C:$C,Amazon_USA_Air_Shipment!T:T),0),IFERROR(_xlfn.XLOOKUP($D16,MENA!$C:$C,MENA!T:T),0),IFERROR(_xlfn.XLOOKUP($D16,UK!$C:$C,UK!T:T),0),IFERROR(_xlfn.XLOOKUP($D16,BMM_Order!$C:$C,BMM_Order!T:T),0),IFERROR(_xlfn.XLOOKUP($D16,'Adhoc-_Backlog'!$C:$C,'Adhoc-_Backlog'!V:V),0))</f>
        <v>0</v>
      </c>
      <c r="AD16" s="51">
        <f>SUM(IFERROR(_xlfn.XLOOKUP($D16,Domestic!$C:$C,Domestic!W:W),0),IFERROR(_xlfn.XLOOKUP($D16,'INT-_Manjiri'!$C:$C,'INT-_Manjiri'!V:V),0),IFERROR(_xlfn.XLOOKUP($D16,'USA-_Sea_shipment'!$C:$C,'USA-_Sea_shipment'!V:V),0),IFERROR(_xlfn.XLOOKUP($D16,Amazon_USA_Sea!$C:$C,Amazon_USA_Sea!V:V),0),IFERROR(_xlfn.XLOOKUP($D16,USA_Air_Shipment!$C:$C,USA_Air_Shipment!U:U),0),IFERROR(_xlfn.XLOOKUP($D16,Amazon_USA_Air_Shipment!$C:$C,Amazon_USA_Air_Shipment!U:U),0),IFERROR(_xlfn.XLOOKUP($D16,MENA!$C:$C,MENA!U:U),0),IFERROR(_xlfn.XLOOKUP($D16,UK!$C:$C,UK!U:U),0),IFERROR(_xlfn.XLOOKUP($D16,BMM_Order!$C:$C,BMM_Order!U:U),0),IFERROR(_xlfn.XLOOKUP($D16,'Adhoc-_Backlog'!$C:$C,'Adhoc-_Backlog'!W:W),0))</f>
        <v>0</v>
      </c>
      <c r="AE16" s="51">
        <f>SUM(IFERROR(_xlfn.XLOOKUP($D16,Domestic!$C:$C,Domestic!X:X),0),IFERROR(_xlfn.XLOOKUP($D16,'INT-_Manjiri'!$C:$C,'INT-_Manjiri'!W:W),0),IFERROR(_xlfn.XLOOKUP($D16,'USA-_Sea_shipment'!$C:$C,'USA-_Sea_shipment'!W:W),0),IFERROR(_xlfn.XLOOKUP($D16,Amazon_USA_Sea!$C:$C,Amazon_USA_Sea!W:W),0),IFERROR(_xlfn.XLOOKUP($D16,USA_Air_Shipment!$C:$C,USA_Air_Shipment!V:V),0),IFERROR(_xlfn.XLOOKUP($D16,Amazon_USA_Air_Shipment!$C:$C,Amazon_USA_Air_Shipment!V:V),0),IFERROR(_xlfn.XLOOKUP($D16,MENA!$C:$C,MENA!V:V),0),IFERROR(_xlfn.XLOOKUP($D16,UK!$C:$C,UK!V:V),0),IFERROR(_xlfn.XLOOKUP($D16,BMM_Order!$C:$C,BMM_Order!V:V),0),IFERROR(_xlfn.XLOOKUP($D16,'Adhoc-_Backlog'!$C:$C,'Adhoc-_Backlog'!X:X),0))</f>
        <v>0</v>
      </c>
      <c r="AF16" s="51">
        <f>SUM(IFERROR(_xlfn.XLOOKUP($D16,Domestic!$C:$C,Domestic!Y:Y),0),IFERROR(_xlfn.XLOOKUP($D16,'INT-_Manjiri'!$C:$C,'INT-_Manjiri'!X:X),0),IFERROR(_xlfn.XLOOKUP($D16,'USA-_Sea_shipment'!$C:$C,'USA-_Sea_shipment'!X:X),0),IFERROR(_xlfn.XLOOKUP($D16,Amazon_USA_Sea!$C:$C,Amazon_USA_Sea!X:X),0),IFERROR(_xlfn.XLOOKUP($D16,USA_Air_Shipment!$C:$C,USA_Air_Shipment!W:W),0),IFERROR(_xlfn.XLOOKUP($D16,Amazon_USA_Air_Shipment!$C:$C,Amazon_USA_Air_Shipment!W:W),0),IFERROR(_xlfn.XLOOKUP($D16,MENA!$C:$C,MENA!W:W),0),IFERROR(_xlfn.XLOOKUP($D16,UK!$C:$C,UK!W:W),0),IFERROR(_xlfn.XLOOKUP($D16,BMM_Order!$C:$C,BMM_Order!W:W),0),IFERROR(_xlfn.XLOOKUP($D16,'Adhoc-_Backlog'!$C:$C,'Adhoc-_Backlog'!Y:Y),0))</f>
        <v>0</v>
      </c>
      <c r="AG16" s="51">
        <f>SUM(IFERROR(_xlfn.XLOOKUP($D16,Domestic!$C:$C,Domestic!Z:Z),0),IFERROR(_xlfn.XLOOKUP($D16,'INT-_Manjiri'!$C:$C,'INT-_Manjiri'!Y:Y),0),IFERROR(_xlfn.XLOOKUP($D16,'USA-_Sea_shipment'!$C:$C,'USA-_Sea_shipment'!Y:Y),0),IFERROR(_xlfn.XLOOKUP($D16,Amazon_USA_Sea!$C:$C,Amazon_USA_Sea!Y:Y),0),IFERROR(_xlfn.XLOOKUP($D16,USA_Air_Shipment!$C:$C,USA_Air_Shipment!X:X),0),IFERROR(_xlfn.XLOOKUP($D16,Amazon_USA_Air_Shipment!$C:$C,Amazon_USA_Air_Shipment!X:X),0),IFERROR(_xlfn.XLOOKUP($D16,MENA!$C:$C,MENA!X:X),0),IFERROR(_xlfn.XLOOKUP($D16,UK!$C:$C,UK!X:X),0),IFERROR(_xlfn.XLOOKUP($D16,BMM_Order!$C:$C,BMM_Order!X:X),0),IFERROR(_xlfn.XLOOKUP($D16,'Adhoc-_Backlog'!$C:$C,'Adhoc-_Backlog'!Z:Z),0))</f>
        <v>0</v>
      </c>
      <c r="AH16" s="51">
        <f>SUM(IFERROR(_xlfn.XLOOKUP($D16,Domestic!$C:$C,Domestic!AA:AA),0),IFERROR(_xlfn.XLOOKUP($D16,'INT-_Manjiri'!$C:$C,'INT-_Manjiri'!Z:Z),0),IFERROR(_xlfn.XLOOKUP($D16,'USA-_Sea_shipment'!$C:$C,'USA-_Sea_shipment'!Z:Z),0),IFERROR(_xlfn.XLOOKUP($D16,Amazon_USA_Sea!$C:$C,Amazon_USA_Sea!Z:Z),0),IFERROR(_xlfn.XLOOKUP($D16,USA_Air_Shipment!$C:$C,USA_Air_Shipment!Y:Y),0),IFERROR(_xlfn.XLOOKUP($D16,Amazon_USA_Air_Shipment!$C:$C,Amazon_USA_Air_Shipment!Y:Y),0),IFERROR(_xlfn.XLOOKUP($D16,MENA!$C:$C,MENA!Y:Y),0),IFERROR(_xlfn.XLOOKUP($D16,UK!$C:$C,UK!Y:Y),0),IFERROR(_xlfn.XLOOKUP($D16,BMM_Order!$C:$C,BMM_Order!Y:Y),0),IFERROR(_xlfn.XLOOKUP($D16,'Adhoc-_Backlog'!$C:$C,'Adhoc-_Backlog'!AA:AA),0))</f>
        <v>0</v>
      </c>
      <c r="AI16" s="51">
        <f>SUM(IFERROR(_xlfn.XLOOKUP($D16,Domestic!$C:$C,Domestic!AB:AB),0),IFERROR(_xlfn.XLOOKUP($D16,'INT-_Manjiri'!$C:$C,'INT-_Manjiri'!AA:AA),0),IFERROR(_xlfn.XLOOKUP($D16,'USA-_Sea_shipment'!$C:$C,'USA-_Sea_shipment'!AA:AA),0),IFERROR(_xlfn.XLOOKUP($D16,Amazon_USA_Sea!$C:$C,Amazon_USA_Sea!AA:AA),0),IFERROR(_xlfn.XLOOKUP($D16,USA_Air_Shipment!$C:$C,USA_Air_Shipment!Z:Z),0),IFERROR(_xlfn.XLOOKUP($D16,Amazon_USA_Air_Shipment!$C:$C,Amazon_USA_Air_Shipment!Z:Z),0),IFERROR(_xlfn.XLOOKUP($D16,MENA!$C:$C,MENA!Z:Z),0),IFERROR(_xlfn.XLOOKUP($D16,UK!$C:$C,UK!Z:Z),0),IFERROR(_xlfn.XLOOKUP($D16,BMM_Order!$C:$C,BMM_Order!Z:Z),0),IFERROR(_xlfn.XLOOKUP($D16,'Adhoc-_Backlog'!$C:$C,'Adhoc-_Backlog'!AB:AB),0))</f>
        <v>0</v>
      </c>
      <c r="AJ16" s="51">
        <f>SUM(IFERROR(_xlfn.XLOOKUP($D16,Domestic!$C:$C,Domestic!AC:AC),0),IFERROR(_xlfn.XLOOKUP($D16,'INT-_Manjiri'!$C:$C,'INT-_Manjiri'!AB:AB),0),IFERROR(_xlfn.XLOOKUP($D16,'USA-_Sea_shipment'!$C:$C,'USA-_Sea_shipment'!AB:AB),0),IFERROR(_xlfn.XLOOKUP($D16,Amazon_USA_Sea!$C:$C,Amazon_USA_Sea!AB:AB),0),IFERROR(_xlfn.XLOOKUP($D16,USA_Air_Shipment!$C:$C,USA_Air_Shipment!AA:AA),0),IFERROR(_xlfn.XLOOKUP($D16,Amazon_USA_Air_Shipment!$C:$C,Amazon_USA_Air_Shipment!AA:AA),0),IFERROR(_xlfn.XLOOKUP($D16,MENA!$C:$C,MENA!AA:AA),0),IFERROR(_xlfn.XLOOKUP($D16,UK!$C:$C,UK!AA:AA),0),IFERROR(_xlfn.XLOOKUP($D16,BMM_Order!$C:$C,BMM_Order!AA:AA),0),IFERROR(_xlfn.XLOOKUP($D16,'Adhoc-_Backlog'!$C:$C,'Adhoc-_Backlog'!AC:AC),0))</f>
        <v>0</v>
      </c>
      <c r="AK16" s="51">
        <f>SUM(IFERROR(_xlfn.XLOOKUP($D16,Domestic!$C:$C,Domestic!AD:AD),0),IFERROR(_xlfn.XLOOKUP($D16,'INT-_Manjiri'!$C:$C,'INT-_Manjiri'!AC:AC),0),IFERROR(_xlfn.XLOOKUP($D16,'USA-_Sea_shipment'!$C:$C,'USA-_Sea_shipment'!AC:AC),0),IFERROR(_xlfn.XLOOKUP($D16,Amazon_USA_Sea!$C:$C,Amazon_USA_Sea!AC:AC),0),IFERROR(_xlfn.XLOOKUP($D16,USA_Air_Shipment!$C:$C,USA_Air_Shipment!AB:AB),0),IFERROR(_xlfn.XLOOKUP($D16,Amazon_USA_Air_Shipment!$C:$C,Amazon_USA_Air_Shipment!AB:AB),0),IFERROR(_xlfn.XLOOKUP($D16,MENA!$C:$C,MENA!AB:AB),0),IFERROR(_xlfn.XLOOKUP($D16,UK!$C:$C,UK!AB:AB),0),IFERROR(_xlfn.XLOOKUP($D16,BMM_Order!$C:$C,BMM_Order!AB:AB),0),IFERROR(_xlfn.XLOOKUP($D16,'Adhoc-_Backlog'!$C:$C,'Adhoc-_Backlog'!AD:AD),0))</f>
        <v>0</v>
      </c>
      <c r="AL16" s="51">
        <f>SUM(IFERROR(_xlfn.XLOOKUP($D16,Domestic!$C:$C,Domestic!AE:AE),0),IFERROR(_xlfn.XLOOKUP($D16,'INT-_Manjiri'!$C:$C,'INT-_Manjiri'!AD:AD),0),IFERROR(_xlfn.XLOOKUP($D16,'USA-_Sea_shipment'!$C:$C,'USA-_Sea_shipment'!AD:AD),0),IFERROR(_xlfn.XLOOKUP($D16,Amazon_USA_Sea!$C:$C,Amazon_USA_Sea!AD:AD),0),IFERROR(_xlfn.XLOOKUP($D16,USA_Air_Shipment!$C:$C,USA_Air_Shipment!AC:AC),0),IFERROR(_xlfn.XLOOKUP($D16,Amazon_USA_Air_Shipment!$C:$C,Amazon_USA_Air_Shipment!AC:AC),0),IFERROR(_xlfn.XLOOKUP($D16,MENA!$C:$C,MENA!AC:AC),0),IFERROR(_xlfn.XLOOKUP($D16,UK!$C:$C,UK!AC:AC),0),IFERROR(_xlfn.XLOOKUP($D16,BMM_Order!$C:$C,BMM_Order!AC:AC),0),IFERROR(_xlfn.XLOOKUP($D16,'Adhoc-_Backlog'!$C:$C,'Adhoc-_Backlog'!AE:AE),0))</f>
        <v>0</v>
      </c>
      <c r="AM16" s="51">
        <f>SUM(IFERROR(_xlfn.XLOOKUP($D16,Domestic!$C:$C,Domestic!AF:AF),0),IFERROR(_xlfn.XLOOKUP($D16,'INT-_Manjiri'!$C:$C,'INT-_Manjiri'!AE:AE),0),IFERROR(_xlfn.XLOOKUP($D16,'USA-_Sea_shipment'!$C:$C,'USA-_Sea_shipment'!AE:AE),0),IFERROR(_xlfn.XLOOKUP($D16,Amazon_USA_Sea!$C:$C,Amazon_USA_Sea!AE:AE),0),IFERROR(_xlfn.XLOOKUP($D16,USA_Air_Shipment!$C:$C,USA_Air_Shipment!AD:AD),0),IFERROR(_xlfn.XLOOKUP($D16,Amazon_USA_Air_Shipment!$C:$C,Amazon_USA_Air_Shipment!AD:AD),0),IFERROR(_xlfn.XLOOKUP($D16,MENA!$C:$C,MENA!AD:AD),0),IFERROR(_xlfn.XLOOKUP($D16,UK!$C:$C,UK!AD:AD),0),IFERROR(_xlfn.XLOOKUP($D16,BMM_Order!$C:$C,BMM_Order!AD:AD),0),IFERROR(_xlfn.XLOOKUP($D16,'Adhoc-_Backlog'!$C:$C,'Adhoc-_Backlog'!AF:AF),0))</f>
        <v>127</v>
      </c>
      <c r="AN16" s="51">
        <f>SUM(IFERROR(_xlfn.XLOOKUP($D16,Domestic!$C:$C,Domestic!AG:AG),0),IFERROR(_xlfn.XLOOKUP($D16,'INT-_Manjiri'!$C:$C,'INT-_Manjiri'!AF:AF),0),IFERROR(_xlfn.XLOOKUP($D16,'USA-_Sea_shipment'!$C:$C,'USA-_Sea_shipment'!AF:AF),0),IFERROR(_xlfn.XLOOKUP($D16,Amazon_USA_Sea!$C:$C,Amazon_USA_Sea!AF:AF),0),IFERROR(_xlfn.XLOOKUP($D16,USA_Air_Shipment!$C:$C,USA_Air_Shipment!AE:AE),0),IFERROR(_xlfn.XLOOKUP($D16,Amazon_USA_Air_Shipment!$C:$C,Amazon_USA_Air_Shipment!AE:AE),0),IFERROR(_xlfn.XLOOKUP($D16,MENA!$C:$C,MENA!AE:AE),0),IFERROR(_xlfn.XLOOKUP($D16,UK!$C:$C,UK!AE:AE),0),IFERROR(_xlfn.XLOOKUP($D16,BMM_Order!$C:$C,BMM_Order!AE:AE),0),IFERROR(_xlfn.XLOOKUP($D16,'Adhoc-_Backlog'!$C:$C,'Adhoc-_Backlog'!AG:AG),0))</f>
        <v>0</v>
      </c>
      <c r="AO16" s="51">
        <f>SUM(IFERROR(_xlfn.XLOOKUP($D16,Domestic!$C:$C,Domestic!AH:AH),0),IFERROR(_xlfn.XLOOKUP($D16,'INT-_Manjiri'!$C:$C,'INT-_Manjiri'!AG:AG),0),IFERROR(_xlfn.XLOOKUP($D16,'USA-_Sea_shipment'!$C:$C,'USA-_Sea_shipment'!AG:AG),0),IFERROR(_xlfn.XLOOKUP($D16,Amazon_USA_Sea!$C:$C,Amazon_USA_Sea!AG:AG),0),IFERROR(_xlfn.XLOOKUP($D16,USA_Air_Shipment!$C:$C,USA_Air_Shipment!AF:AF),0),IFERROR(_xlfn.XLOOKUP($D16,Amazon_USA_Air_Shipment!$C:$C,Amazon_USA_Air_Shipment!AF:AF),0),IFERROR(_xlfn.XLOOKUP($D16,MENA!$C:$C,MENA!AF:AF),0),IFERROR(_xlfn.XLOOKUP($D16,UK!$C:$C,UK!AF:AF),0),IFERROR(_xlfn.XLOOKUP($D16,BMM_Order!$C:$C,BMM_Order!AF:AF),0),IFERROR(_xlfn.XLOOKUP($D16,'Adhoc-_Backlog'!$C:$C,'Adhoc-_Backlog'!AH:AH),0))</f>
        <v>0</v>
      </c>
      <c r="AP16" s="51">
        <f>SUM(IFERROR(_xlfn.XLOOKUP($D16,Domestic!$C:$C,Domestic!AI:AI),0),IFERROR(_xlfn.XLOOKUP($D16,'INT-_Manjiri'!$C:$C,'INT-_Manjiri'!AH:AH),0),IFERROR(_xlfn.XLOOKUP($D16,'USA-_Sea_shipment'!$C:$C,'USA-_Sea_shipment'!AH:AH),0),IFERROR(_xlfn.XLOOKUP($D16,Amazon_USA_Sea!$C:$C,Amazon_USA_Sea!AH:AH),0),IFERROR(_xlfn.XLOOKUP($D16,USA_Air_Shipment!$C:$C,USA_Air_Shipment!AG:AG),0),IFERROR(_xlfn.XLOOKUP($D16,Amazon_USA_Air_Shipment!$C:$C,Amazon_USA_Air_Shipment!AG:AG),0),IFERROR(_xlfn.XLOOKUP($D16,MENA!$C:$C,MENA!AG:AG),0),IFERROR(_xlfn.XLOOKUP($D16,UK!$C:$C,UK!AG:AG),0),IFERROR(_xlfn.XLOOKUP($D16,BMM_Order!$C:$C,BMM_Order!AG:AG),0),IFERROR(_xlfn.XLOOKUP($D16,'Adhoc-_Backlog'!$C:$C,'Adhoc-_Backlog'!AI:AI),0))</f>
        <v>0</v>
      </c>
      <c r="AQ16" s="51">
        <f>SUM(IFERROR(_xlfn.XLOOKUP($D16,Domestic!$C:$C,Domestic!AJ:AJ),0),IFERROR(_xlfn.XLOOKUP($D16,'INT-_Manjiri'!$C:$C,'INT-_Manjiri'!AI:AI),0),IFERROR(_xlfn.XLOOKUP($D16,'USA-_Sea_shipment'!$C:$C,'USA-_Sea_shipment'!AI:AI),0),IFERROR(_xlfn.XLOOKUP($D16,Amazon_USA_Sea!$C:$C,Amazon_USA_Sea!AI:AI),0),IFERROR(_xlfn.XLOOKUP($D16,USA_Air_Shipment!$C:$C,USA_Air_Shipment!AH:AH),0),IFERROR(_xlfn.XLOOKUP($D16,Amazon_USA_Air_Shipment!$C:$C,Amazon_USA_Air_Shipment!AH:AH),0),IFERROR(_xlfn.XLOOKUP($D16,MENA!$C:$C,MENA!AH:AH),0),IFERROR(_xlfn.XLOOKUP($D16,UK!$C:$C,UK!AH:AH),0),IFERROR(_xlfn.XLOOKUP($D16,BMM_Order!$C:$C,BMM_Order!AH:AH),0),IFERROR(_xlfn.XLOOKUP($D16,'Adhoc-_Backlog'!$C:$C,'Adhoc-_Backlog'!AJ:AJ),0))</f>
        <v>0</v>
      </c>
      <c r="AR16" s="51">
        <f>SUM(IFERROR(_xlfn.XLOOKUP($D16,Domestic!$C:$C,Domestic!AK:AK),0),IFERROR(_xlfn.XLOOKUP($D16,'INT-_Manjiri'!$C:$C,'INT-_Manjiri'!AJ:AJ),0),IFERROR(_xlfn.XLOOKUP($D16,'USA-_Sea_shipment'!$C:$C,'USA-_Sea_shipment'!AJ:AJ),0),IFERROR(_xlfn.XLOOKUP($D16,Amazon_USA_Sea!$C:$C,Amazon_USA_Sea!AJ:AJ),0),IFERROR(_xlfn.XLOOKUP($D16,USA_Air_Shipment!$C:$C,USA_Air_Shipment!AI:AI),0),IFERROR(_xlfn.XLOOKUP($D16,Amazon_USA_Air_Shipment!$C:$C,Amazon_USA_Air_Shipment!AI:AI),0),IFERROR(_xlfn.XLOOKUP($D16,MENA!$C:$C,MENA!AI:AI),0),IFERROR(_xlfn.XLOOKUP($D16,UK!$C:$C,UK!AI:AI),0),IFERROR(_xlfn.XLOOKUP($D16,BMM_Order!$C:$C,BMM_Order!AI:AI),0),IFERROR(_xlfn.XLOOKUP($D16,'Adhoc-_Backlog'!$C:$C,'Adhoc-_Backlog'!AK:AK),0))</f>
        <v>0</v>
      </c>
      <c r="AS16" s="51">
        <f>SUM(IFERROR(_xlfn.XLOOKUP($D16,Domestic!$C:$C,Domestic!AL:AL),0),IFERROR(_xlfn.XLOOKUP($D16,'INT-_Manjiri'!$C:$C,'INT-_Manjiri'!AK:AK),0),IFERROR(_xlfn.XLOOKUP($D16,'USA-_Sea_shipment'!$C:$C,'USA-_Sea_shipment'!AK:AK),0),IFERROR(_xlfn.XLOOKUP($D16,Amazon_USA_Sea!$C:$C,Amazon_USA_Sea!AK:AK),0),IFERROR(_xlfn.XLOOKUP($D16,USA_Air_Shipment!$C:$C,USA_Air_Shipment!AJ:AJ),0),IFERROR(_xlfn.XLOOKUP($D16,Amazon_USA_Air_Shipment!$C:$C,Amazon_USA_Air_Shipment!AJ:AJ),0),IFERROR(_xlfn.XLOOKUP($D16,MENA!$C:$C,MENA!AJ:AJ),0),IFERROR(_xlfn.XLOOKUP($D16,UK!$C:$C,UK!AJ:AJ),0),IFERROR(_xlfn.XLOOKUP($D16,BMM_Order!$C:$C,BMM_Order!AJ:AJ),0),IFERROR(_xlfn.XLOOKUP($D16,'Adhoc-_Backlog'!$C:$C,'Adhoc-_Backlog'!AL:AL),0))</f>
        <v>0</v>
      </c>
      <c r="AT16" s="51">
        <f>SUM(IFERROR(_xlfn.XLOOKUP($D16,Domestic!$C:$C,Domestic!AM:AM),0),IFERROR(_xlfn.XLOOKUP($D16,'INT-_Manjiri'!$C:$C,'INT-_Manjiri'!AL:AL),0),IFERROR(_xlfn.XLOOKUP($D16,'USA-_Sea_shipment'!$C:$C,'USA-_Sea_shipment'!AL:AL),0),IFERROR(_xlfn.XLOOKUP($D16,Amazon_USA_Sea!$C:$C,Amazon_USA_Sea!AL:AL),0),IFERROR(_xlfn.XLOOKUP($D16,USA_Air_Shipment!$C:$C,USA_Air_Shipment!AK:AK),0),IFERROR(_xlfn.XLOOKUP($D16,Amazon_USA_Air_Shipment!$C:$C,Amazon_USA_Air_Shipment!AK:AK),0),IFERROR(_xlfn.XLOOKUP($D16,MENA!$C:$C,MENA!AK:AK),0),IFERROR(_xlfn.XLOOKUP($D16,UK!$C:$C,UK!AK:AK),0),IFERROR(_xlfn.XLOOKUP($D16,BMM_Order!$C:$C,BMM_Order!AK:AK),0),IFERROR(_xlfn.XLOOKUP($D16,'Adhoc-_Backlog'!$C:$C,'Adhoc-_Backlog'!AM:AM),0))</f>
        <v>20</v>
      </c>
      <c r="AU16" s="51">
        <f>SUM(IFERROR(_xlfn.XLOOKUP($D16,Domestic!$C:$C,Domestic!AN:AN),0),IFERROR(_xlfn.XLOOKUP($D16,'INT-_Manjiri'!$C:$C,'INT-_Manjiri'!AM:AM),0),IFERROR(_xlfn.XLOOKUP($D16,'USA-_Sea_shipment'!$C:$C,'USA-_Sea_shipment'!AM:AM),0),IFERROR(_xlfn.XLOOKUP($D16,Amazon_USA_Sea!$C:$C,Amazon_USA_Sea!AM:AM),0),IFERROR(_xlfn.XLOOKUP($D16,USA_Air_Shipment!$C:$C,USA_Air_Shipment!AL:AL),0),IFERROR(_xlfn.XLOOKUP($D16,Amazon_USA_Air_Shipment!$C:$C,Amazon_USA_Air_Shipment!AL:AL),0),IFERROR(_xlfn.XLOOKUP($D16,MENA!$C:$C,MENA!AL:AL),0),IFERROR(_xlfn.XLOOKUP($D16,UK!$C:$C,UK!AL:AL),0),IFERROR(_xlfn.XLOOKUP($D16,BMM_Order!$C:$C,BMM_Order!AL:AL),0),IFERROR(_xlfn.XLOOKUP($D16,'Adhoc-_Backlog'!$C:$C,'Adhoc-_Backlog'!AN:AN),0))</f>
        <v>0</v>
      </c>
      <c r="AV16" s="51">
        <f>SUM(IFERROR(_xlfn.XLOOKUP($D16,Domestic!$C:$C,Domestic!AO:AO),0),IFERROR(_xlfn.XLOOKUP($D16,'INT-_Manjiri'!$C:$C,'INT-_Manjiri'!AN:AN),0),IFERROR(_xlfn.XLOOKUP($D16,'USA-_Sea_shipment'!$C:$C,'USA-_Sea_shipment'!AN:AN),0),IFERROR(_xlfn.XLOOKUP($D16,Amazon_USA_Sea!$C:$C,Amazon_USA_Sea!AN:AN),0),IFERROR(_xlfn.XLOOKUP($D16,USA_Air_Shipment!$C:$C,USA_Air_Shipment!AM:AM),0),IFERROR(_xlfn.XLOOKUP($D16,Amazon_USA_Air_Shipment!$C:$C,Amazon_USA_Air_Shipment!AM:AM),0),IFERROR(_xlfn.XLOOKUP($D16,MENA!$C:$C,MENA!AM:AM),0),IFERROR(_xlfn.XLOOKUP($D16,UK!$C:$C,UK!AM:AM),0),IFERROR(_xlfn.XLOOKUP($D16,BMM_Order!$C:$C,BMM_Order!AM:AM),0),IFERROR(_xlfn.XLOOKUP($D16,'Adhoc-_Backlog'!$C:$C,'Adhoc-_Backlog'!AO:AO),0))</f>
        <v>0</v>
      </c>
      <c r="AW16" s="51">
        <f>SUM(IFERROR(_xlfn.XLOOKUP($D16,Domestic!$C:$C,Domestic!AP:AP),0),IFERROR(_xlfn.XLOOKUP($D16,'INT-_Manjiri'!$C:$C,'INT-_Manjiri'!AO:AO),0),IFERROR(_xlfn.XLOOKUP($D16,'USA-_Sea_shipment'!$C:$C,'USA-_Sea_shipment'!AO:AO),0),IFERROR(_xlfn.XLOOKUP($D16,Amazon_USA_Sea!$C:$C,Amazon_USA_Sea!AO:AO),0),IFERROR(_xlfn.XLOOKUP($D16,USA_Air_Shipment!$C:$C,USA_Air_Shipment!AN:AN),0),IFERROR(_xlfn.XLOOKUP($D16,Amazon_USA_Air_Shipment!$C:$C,Amazon_USA_Air_Shipment!AN:AN),0),IFERROR(_xlfn.XLOOKUP($D16,MENA!$C:$C,MENA!AN:AN),0),IFERROR(_xlfn.XLOOKUP($D16,UK!$C:$C,UK!AN:AN),0),IFERROR(_xlfn.XLOOKUP($D16,BMM_Order!$C:$C,BMM_Order!AN:AN),0),IFERROR(_xlfn.XLOOKUP($D16,'Adhoc-_Backlog'!$C:$C,'Adhoc-_Backlog'!AP:AP),0))</f>
        <v>0</v>
      </c>
      <c r="AX16" s="51">
        <f>SUM(IFERROR(_xlfn.XLOOKUP($D16,Domestic!$C:$C,Domestic!AQ:AQ),0),IFERROR(_xlfn.XLOOKUP($D16,'INT-_Manjiri'!$C:$C,'INT-_Manjiri'!AP:AP),0),IFERROR(_xlfn.XLOOKUP($D16,'USA-_Sea_shipment'!$C:$C,'USA-_Sea_shipment'!AP:AP),0),IFERROR(_xlfn.XLOOKUP($D16,Amazon_USA_Sea!$C:$C,Amazon_USA_Sea!AP:AP),0),IFERROR(_xlfn.XLOOKUP($D16,USA_Air_Shipment!$C:$C,USA_Air_Shipment!AO:AO),0),IFERROR(_xlfn.XLOOKUP($D16,Amazon_USA_Air_Shipment!$C:$C,Amazon_USA_Air_Shipment!AO:AO),0),IFERROR(_xlfn.XLOOKUP($D16,MENA!$C:$C,MENA!AO:AO),0),IFERROR(_xlfn.XLOOKUP($D16,UK!$C:$C,UK!AO:AO),0),IFERROR(_xlfn.XLOOKUP($D16,BMM_Order!$C:$C,BMM_Order!AO:AO),0),IFERROR(_xlfn.XLOOKUP($D16,'Adhoc-_Backlog'!$C:$C,'Adhoc-_Backlog'!AQ:AQ),0))</f>
        <v>0</v>
      </c>
      <c r="AY16" s="51">
        <f>SUM(IFERROR(_xlfn.XLOOKUP($D16,Domestic!$C:$C,Domestic!AR:AR),0),IFERROR(_xlfn.XLOOKUP($D16,'INT-_Manjiri'!$C:$C,'INT-_Manjiri'!AQ:AQ),0),IFERROR(_xlfn.XLOOKUP($D16,'USA-_Sea_shipment'!$C:$C,'USA-_Sea_shipment'!AQ:AQ),0),IFERROR(_xlfn.XLOOKUP($D16,Amazon_USA_Sea!$C:$C,Amazon_USA_Sea!AQ:AQ),0),IFERROR(_xlfn.XLOOKUP($D16,USA_Air_Shipment!$C:$C,USA_Air_Shipment!AP:AP),0),IFERROR(_xlfn.XLOOKUP($D16,Amazon_USA_Air_Shipment!$C:$C,Amazon_USA_Air_Shipment!AP:AP),0),IFERROR(_xlfn.XLOOKUP($D16,MENA!$C:$C,MENA!AP:AP),0),IFERROR(_xlfn.XLOOKUP($D16,UK!$C:$C,UK!AP:AP),0),IFERROR(_xlfn.XLOOKUP($D16,BMM_Order!$C:$C,BMM_Order!AP:AP),0),IFERROR(_xlfn.XLOOKUP($D16,'Adhoc-_Backlog'!$C:$C,'Adhoc-_Backlog'!AR:AR),0))</f>
        <v>30</v>
      </c>
      <c r="AZ16" s="51">
        <f>SUM(IFERROR(_xlfn.XLOOKUP($D16,Domestic!$C:$C,Domestic!AS:AS),0),IFERROR(_xlfn.XLOOKUP($D16,'INT-_Manjiri'!$C:$C,'INT-_Manjiri'!AR:AR),0),IFERROR(_xlfn.XLOOKUP($D16,'USA-_Sea_shipment'!$C:$C,'USA-_Sea_shipment'!AR:AR),0),IFERROR(_xlfn.XLOOKUP($D16,Amazon_USA_Sea!$C:$C,Amazon_USA_Sea!AR:AR),0),IFERROR(_xlfn.XLOOKUP($D16,USA_Air_Shipment!$C:$C,USA_Air_Shipment!AQ:AQ),0),IFERROR(_xlfn.XLOOKUP($D16,Amazon_USA_Air_Shipment!$C:$C,Amazon_USA_Air_Shipment!AQ:AQ),0),IFERROR(_xlfn.XLOOKUP($D16,MENA!$C:$C,MENA!AQ:AQ),0),IFERROR(_xlfn.XLOOKUP($D16,UK!$C:$C,UK!AQ:AQ),0),IFERROR(_xlfn.XLOOKUP($D16,BMM_Order!$C:$C,BMM_Order!AQ:AQ),0),IFERROR(_xlfn.XLOOKUP($D16,'Adhoc-_Backlog'!$C:$C,'Adhoc-_Backlog'!AS:AS),0))</f>
        <v>0</v>
      </c>
      <c r="BA16" s="51">
        <f>SUM(IFERROR(_xlfn.XLOOKUP($D16,Domestic!$C:$C,Domestic!AT:AT),0),IFERROR(_xlfn.XLOOKUP($D16,'INT-_Manjiri'!$C:$C,'INT-_Manjiri'!AS:AS),0),IFERROR(_xlfn.XLOOKUP($D16,'USA-_Sea_shipment'!$C:$C,'USA-_Sea_shipment'!AS:AS),0),IFERROR(_xlfn.XLOOKUP($D16,Amazon_USA_Sea!$C:$C,Amazon_USA_Sea!AS:AS),0),IFERROR(_xlfn.XLOOKUP($D16,USA_Air_Shipment!$C:$C,USA_Air_Shipment!AR:AR),0),IFERROR(_xlfn.XLOOKUP($D16,Amazon_USA_Air_Shipment!$C:$C,Amazon_USA_Air_Shipment!AR:AR),0),IFERROR(_xlfn.XLOOKUP($D16,MENA!$C:$C,MENA!AR:AR),0),IFERROR(_xlfn.XLOOKUP($D16,UK!$C:$C,UK!AR:AR),0),IFERROR(_xlfn.XLOOKUP($D16,BMM_Order!$C:$C,BMM_Order!AR:AR),0),IFERROR(_xlfn.XLOOKUP($D16,'Adhoc-_Backlog'!$C:$C,'Adhoc-_Backlog'!AT:AT),0))</f>
        <v>0</v>
      </c>
      <c r="BB16" s="52">
        <f t="shared" si="2"/>
        <v>370</v>
      </c>
      <c r="BC16" s="53">
        <f t="shared" si="3"/>
        <v>370</v>
      </c>
      <c r="BD16" s="51">
        <f t="shared" si="4"/>
        <v>43.050000000000011</v>
      </c>
      <c r="BE16" s="53">
        <f t="shared" si="5"/>
        <v>43.050000000000011</v>
      </c>
      <c r="BF16" s="54">
        <f t="shared" si="6"/>
        <v>0.89577532986321262</v>
      </c>
      <c r="BG16" s="55" t="str">
        <f>_xlfn.TEXTJOIN(" | ",TRUE,IFERROR(_xlfn.XLOOKUP($D16,Domestic!$C:$C,Domestic!$BG:$BG,""),""),IFERROR(_xlfn.XLOOKUP($D16,'INT-_Manjiri'!$C:$C,'INT-_Manjiri'!$AY:$AY,""),""),IFERROR(_xlfn.XLOOKUP($D16,'USA-_Sea_shipment'!$C:$C,'USA-_Sea_shipment'!#REF!,""),""),IFERROR(_xlfn.XLOOKUP($D16,Amazon_USA_Sea!$C:$C,Amazon_USA_Sea!$AY:$AY,""),""),IFERROR(_xlfn.XLOOKUP($D16,USA_Air_Shipment!$C:$C,USA_Air_Shipment!$AW:$AW,""),""),IFERROR(_xlfn.XLOOKUP($D16,Amazon_USA_Air_Shipment!$C:$C,Amazon_USA_Air_Shipment!$AW:$AW,""),""),IFERROR(_xlfn.XLOOKUP($D16,MENA!$C:$C,MENA!$AW:$AW,""),""),IFERROR(_xlfn.XLOOKUP($D16,UK!$C:$C,UK!$BA:$BA,""),""),IFERROR(_xlfn.XLOOKUP($D16,BMM_Order!$C:$C,BMM_Order!$BA:$BA,""),""),IFERROR(_xlfn.XLOOKUP($D16,'Adhoc-_Backlog'!$C:$C,'Adhoc-_Backlog'!$BD:$BD,""),""))</f>
        <v/>
      </c>
      <c r="BH16" s="55">
        <f>_xlfn.XLOOKUP(D16,Raw_Data!A:A,Raw_Data!B:B)</f>
        <v>16</v>
      </c>
      <c r="BI16" s="56">
        <f t="shared" si="7"/>
        <v>1.1620869144171406</v>
      </c>
      <c r="BJ16" s="55">
        <f t="shared" si="8"/>
        <v>10</v>
      </c>
      <c r="BK16" s="57" t="str">
        <f t="shared" si="9"/>
        <v>P1 – Critical</v>
      </c>
    </row>
    <row r="17" spans="1:64" ht="13">
      <c r="A17" s="58">
        <f>2</f>
        <v>2</v>
      </c>
      <c r="B17" s="45" t="s">
        <v>12</v>
      </c>
      <c r="C17" s="59"/>
      <c r="D17" s="60" t="str">
        <f>Projection_!A5</f>
        <v>FG00562</v>
      </c>
      <c r="E17" s="61" t="str">
        <f>Projection_!B5</f>
        <v>A2 Cultured Ghee - 250 ml</v>
      </c>
      <c r="F17" s="62">
        <v>0.25</v>
      </c>
      <c r="G17" s="63">
        <f>IFERROR(_xlfn.XLOOKUP($D17,Projection_!$A:$A,Projection_!$J:$J),0)</f>
        <v>20236.7</v>
      </c>
      <c r="H17" s="63">
        <f>IFERROR(_xlfn.XLOOKUP($D17,Projection_!$A:$A,Projection_!$K:$K),0)</f>
        <v>0</v>
      </c>
      <c r="I17" s="63">
        <f>IFERROR(_xlfn.XLOOKUP($D17,Projection_!$A:$A,Projection_!$L:$L),0)</f>
        <v>0</v>
      </c>
      <c r="J17" s="63">
        <f>IFERROR(_xlfn.XLOOKUP($D17,Projection_!$A:$A,Projection_!$M:$M),0)</f>
        <v>0</v>
      </c>
      <c r="K17" s="63">
        <f>IFERROR(_xlfn.XLOOKUP($D17,Projection_!$A:$A,Projection_!$Q:$Q),0)</f>
        <v>0</v>
      </c>
      <c r="L17" s="63">
        <f>IFERROR(_xlfn.XLOOKUP($D17,Projection_!$A:$A,Projection_!$R:$R),0)</f>
        <v>0</v>
      </c>
      <c r="M17" s="63">
        <f>IFERROR(_xlfn.XLOOKUP($D17,Projection_!$A:$A,Projection_!$O:$O),0)</f>
        <v>0</v>
      </c>
      <c r="N17" s="63">
        <f>IFERROR(_xlfn.XLOOKUP($D17,Projection_!$A:$A,Projection_!$P:$P),0)</f>
        <v>0</v>
      </c>
      <c r="O17" s="50">
        <f t="shared" si="1"/>
        <v>20236.7</v>
      </c>
      <c r="P17" s="51">
        <f>SUM(IFERROR(_xlfn.XLOOKUP($D17,Domestic!$C:$C,Domestic!I:I),0),IFERROR(_xlfn.XLOOKUP($D17,'INT-_Manjiri'!$C:$C,'INT-_Manjiri'!H:H),0),IFERROR(_xlfn.XLOOKUP($D17,'USA-_Sea_shipment'!$C:$C,'USA-_Sea_shipment'!H:H),0),IFERROR(_xlfn.XLOOKUP($D17,Amazon_USA_Sea!$C:$C,Amazon_USA_Sea!H:H),0),IFERROR(_xlfn.XLOOKUP($D17,USA_Air_Shipment!$C:$C,USA_Air_Shipment!G:G),0),IFERROR(_xlfn.XLOOKUP($D17,Amazon_USA_Air_Shipment!$C:$C,Amazon_USA_Air_Shipment!G:G),0),IFERROR(_xlfn.XLOOKUP($D17,MENA!$C:$C,MENA!G:G),0),IFERROR(_xlfn.XLOOKUP($D17,UK!$C:$C,UK!G:G),0),IFERROR(_xlfn.XLOOKUP($D17,BMM_Order!$C:$C,BMM_Order!G:G),0),IFERROR(_xlfn.XLOOKUP($D17,'Adhoc-_Backlog'!$C:$C,'Adhoc-_Backlog'!I:I),0))</f>
        <v>0</v>
      </c>
      <c r="Q17" s="51">
        <f>SUM(IFERROR(_xlfn.XLOOKUP($D17,Domestic!$C:$C,Domestic!J:J),0),IFERROR(_xlfn.XLOOKUP($D17,'INT-_Manjiri'!$C:$C,'INT-_Manjiri'!I:I),0),IFERROR(_xlfn.XLOOKUP($D17,'USA-_Sea_shipment'!$C:$C,'USA-_Sea_shipment'!I:I),0),IFERROR(_xlfn.XLOOKUP($D17,Amazon_USA_Sea!$C:$C,Amazon_USA_Sea!I:I),0),IFERROR(_xlfn.XLOOKUP($D17,USA_Air_Shipment!$C:$C,USA_Air_Shipment!H:H),0),IFERROR(_xlfn.XLOOKUP($D17,Amazon_USA_Air_Shipment!$C:$C,Amazon_USA_Air_Shipment!H:H),0),IFERROR(_xlfn.XLOOKUP($D17,MENA!$C:$C,MENA!H:H),0),IFERROR(_xlfn.XLOOKUP($D17,UK!$C:$C,UK!H:H),0),IFERROR(_xlfn.XLOOKUP($D17,BMM_Order!$C:$C,BMM_Order!H:H),0),IFERROR(_xlfn.XLOOKUP($D17,'Adhoc-_Backlog'!$C:$C,'Adhoc-_Backlog'!J:J),0))</f>
        <v>1975</v>
      </c>
      <c r="R17" s="51">
        <f>SUM(IFERROR(_xlfn.XLOOKUP($D17,Domestic!$C:$C,Domestic!K:K),0),IFERROR(_xlfn.XLOOKUP($D17,'INT-_Manjiri'!$C:$C,'INT-_Manjiri'!J:J),0),IFERROR(_xlfn.XLOOKUP($D17,'USA-_Sea_shipment'!$C:$C,'USA-_Sea_shipment'!J:J),0),IFERROR(_xlfn.XLOOKUP($D17,Amazon_USA_Sea!$C:$C,Amazon_USA_Sea!J:J),0),IFERROR(_xlfn.XLOOKUP($D17,USA_Air_Shipment!$C:$C,USA_Air_Shipment!I:I),0),IFERROR(_xlfn.XLOOKUP($D17,Amazon_USA_Air_Shipment!$C:$C,Amazon_USA_Air_Shipment!I:I),0),IFERROR(_xlfn.XLOOKUP($D17,MENA!$C:$C,MENA!I:I),0),IFERROR(_xlfn.XLOOKUP($D17,UK!$C:$C,UK!I:I),0),IFERROR(_xlfn.XLOOKUP($D17,BMM_Order!$C:$C,BMM_Order!I:I),0),IFERROR(_xlfn.XLOOKUP($D17,'Adhoc-_Backlog'!$C:$C,'Adhoc-_Backlog'!K:K),0))</f>
        <v>731</v>
      </c>
      <c r="S17" s="51">
        <f>SUM(IFERROR(_xlfn.XLOOKUP($D17,Domestic!$C:$C,Domestic!L:L),0),IFERROR(_xlfn.XLOOKUP($D17,'INT-_Manjiri'!$C:$C,'INT-_Manjiri'!K:K),0),IFERROR(_xlfn.XLOOKUP($D17,'USA-_Sea_shipment'!$C:$C,'USA-_Sea_shipment'!K:K),0),IFERROR(_xlfn.XLOOKUP($D17,Amazon_USA_Sea!$C:$C,Amazon_USA_Sea!K:K),0),IFERROR(_xlfn.XLOOKUP($D17,USA_Air_Shipment!$C:$C,USA_Air_Shipment!J:J),0),IFERROR(_xlfn.XLOOKUP($D17,Amazon_USA_Air_Shipment!$C:$C,Amazon_USA_Air_Shipment!J:J),0),IFERROR(_xlfn.XLOOKUP($D17,MENA!$C:$C,MENA!J:J),0),IFERROR(_xlfn.XLOOKUP($D17,UK!$C:$C,UK!J:J),0),IFERROR(_xlfn.XLOOKUP($D17,BMM_Order!$C:$C,BMM_Order!J:J),0),IFERROR(_xlfn.XLOOKUP($D17,'Adhoc-_Backlog'!$C:$C,'Adhoc-_Backlog'!L:L),0))</f>
        <v>2011</v>
      </c>
      <c r="T17" s="51">
        <f>SUM(IFERROR(_xlfn.XLOOKUP($D17,Domestic!$C:$C,Domestic!M:M),0),IFERROR(_xlfn.XLOOKUP($D17,'INT-_Manjiri'!$C:$C,'INT-_Manjiri'!L:L),0),IFERROR(_xlfn.XLOOKUP($D17,'USA-_Sea_shipment'!$C:$C,'USA-_Sea_shipment'!L:L),0),IFERROR(_xlfn.XLOOKUP($D17,Amazon_USA_Sea!$C:$C,Amazon_USA_Sea!L:L),0),IFERROR(_xlfn.XLOOKUP($D17,USA_Air_Shipment!$C:$C,USA_Air_Shipment!K:K),0),IFERROR(_xlfn.XLOOKUP($D17,Amazon_USA_Air_Shipment!$C:$C,Amazon_USA_Air_Shipment!K:K),0),IFERROR(_xlfn.XLOOKUP($D17,MENA!$C:$C,MENA!K:K),0),IFERROR(_xlfn.XLOOKUP($D17,UK!$C:$C,UK!K:K),0),IFERROR(_xlfn.XLOOKUP($D17,BMM_Order!$C:$C,BMM_Order!K:K),0),IFERROR(_xlfn.XLOOKUP($D17,'Adhoc-_Backlog'!$C:$C,'Adhoc-_Backlog'!M:M),0))</f>
        <v>0</v>
      </c>
      <c r="U17" s="51">
        <f>SUM(IFERROR(_xlfn.XLOOKUP($D17,Domestic!$C:$C,Domestic!N:N),0),IFERROR(_xlfn.XLOOKUP($D17,'INT-_Manjiri'!$C:$C,'INT-_Manjiri'!M:M),0),IFERROR(_xlfn.XLOOKUP($D17,'USA-_Sea_shipment'!$C:$C,'USA-_Sea_shipment'!M:M),0),IFERROR(_xlfn.XLOOKUP($D17,Amazon_USA_Sea!$C:$C,Amazon_USA_Sea!M:M),0),IFERROR(_xlfn.XLOOKUP($D17,USA_Air_Shipment!$C:$C,USA_Air_Shipment!L:L),0),IFERROR(_xlfn.XLOOKUP($D17,Amazon_USA_Air_Shipment!$C:$C,Amazon_USA_Air_Shipment!L:L),0),IFERROR(_xlfn.XLOOKUP($D17,MENA!$C:$C,MENA!L:L),0),IFERROR(_xlfn.XLOOKUP($D17,UK!$C:$C,UK!L:L),0),IFERROR(_xlfn.XLOOKUP($D17,BMM_Order!$C:$C,BMM_Order!L:L),0),IFERROR(_xlfn.XLOOKUP($D17,'Adhoc-_Backlog'!$C:$C,'Adhoc-_Backlog'!N:N),0))</f>
        <v>0</v>
      </c>
      <c r="V17" s="51">
        <f>SUM(IFERROR(_xlfn.XLOOKUP($D17,Domestic!$C:$C,Domestic!O:O),0),IFERROR(_xlfn.XLOOKUP($D17,'INT-_Manjiri'!$C:$C,'INT-_Manjiri'!N:N),0),IFERROR(_xlfn.XLOOKUP($D17,'USA-_Sea_shipment'!$C:$C,'USA-_Sea_shipment'!N:N),0),IFERROR(_xlfn.XLOOKUP($D17,Amazon_USA_Sea!$C:$C,Amazon_USA_Sea!N:N),0),IFERROR(_xlfn.XLOOKUP($D17,USA_Air_Shipment!$C:$C,USA_Air_Shipment!M:M),0),IFERROR(_xlfn.XLOOKUP($D17,Amazon_USA_Air_Shipment!$C:$C,Amazon_USA_Air_Shipment!M:M),0),IFERROR(_xlfn.XLOOKUP($D17,MENA!$C:$C,MENA!M:M),0),IFERROR(_xlfn.XLOOKUP($D17,UK!$C:$C,UK!M:M),0),IFERROR(_xlfn.XLOOKUP($D17,BMM_Order!$C:$C,BMM_Order!M:M),0),IFERROR(_xlfn.XLOOKUP($D17,'Adhoc-_Backlog'!$C:$C,'Adhoc-_Backlog'!O:O),0))</f>
        <v>876</v>
      </c>
      <c r="W17" s="51">
        <f>SUM(IFERROR(_xlfn.XLOOKUP($D17,Domestic!$C:$C,Domestic!P:P),0),IFERROR(_xlfn.XLOOKUP($D17,'INT-_Manjiri'!$C:$C,'INT-_Manjiri'!O:O),0),IFERROR(_xlfn.XLOOKUP($D17,'USA-_Sea_shipment'!$C:$C,'USA-_Sea_shipment'!O:O),0),IFERROR(_xlfn.XLOOKUP($D17,Amazon_USA_Sea!$C:$C,Amazon_USA_Sea!O:O),0),IFERROR(_xlfn.XLOOKUP($D17,USA_Air_Shipment!$C:$C,USA_Air_Shipment!N:N),0),IFERROR(_xlfn.XLOOKUP($D17,Amazon_USA_Air_Shipment!$C:$C,Amazon_USA_Air_Shipment!N:N),0),IFERROR(_xlfn.XLOOKUP($D17,MENA!$C:$C,MENA!N:N),0),IFERROR(_xlfn.XLOOKUP($D17,UK!$C:$C,UK!N:N),0),IFERROR(_xlfn.XLOOKUP($D17,BMM_Order!$C:$C,BMM_Order!N:N),0),IFERROR(_xlfn.XLOOKUP($D17,'Adhoc-_Backlog'!$C:$C,'Adhoc-_Backlog'!P:P),0))</f>
        <v>0</v>
      </c>
      <c r="X17" s="51">
        <f>SUM(IFERROR(_xlfn.XLOOKUP($D17,Domestic!$C:$C,Domestic!Q:Q),0),IFERROR(_xlfn.XLOOKUP($D17,'INT-_Manjiri'!$C:$C,'INT-_Manjiri'!P:P),0),IFERROR(_xlfn.XLOOKUP($D17,'USA-_Sea_shipment'!$C:$C,'USA-_Sea_shipment'!P:P),0),IFERROR(_xlfn.XLOOKUP($D17,Amazon_USA_Sea!$C:$C,Amazon_USA_Sea!P:P),0),IFERROR(_xlfn.XLOOKUP($D17,USA_Air_Shipment!$C:$C,USA_Air_Shipment!O:O),0),IFERROR(_xlfn.XLOOKUP($D17,Amazon_USA_Air_Shipment!$C:$C,Amazon_USA_Air_Shipment!O:O),0),IFERROR(_xlfn.XLOOKUP($D17,MENA!$C:$C,MENA!O:O),0),IFERROR(_xlfn.XLOOKUP($D17,UK!$C:$C,UK!O:O),0),IFERROR(_xlfn.XLOOKUP($D17,BMM_Order!$C:$C,BMM_Order!O:O),0),IFERROR(_xlfn.XLOOKUP($D17,'Adhoc-_Backlog'!$C:$C,'Adhoc-_Backlog'!Q:Q),0))</f>
        <v>581</v>
      </c>
      <c r="Y17" s="51">
        <f>SUM(IFERROR(_xlfn.XLOOKUP($D17,Domestic!$C:$C,Domestic!R:R),0),IFERROR(_xlfn.XLOOKUP($D17,'INT-_Manjiri'!$C:$C,'INT-_Manjiri'!Q:Q),0),IFERROR(_xlfn.XLOOKUP($D17,'USA-_Sea_shipment'!$C:$C,'USA-_Sea_shipment'!Q:Q),0),IFERROR(_xlfn.XLOOKUP($D17,Amazon_USA_Sea!$C:$C,Amazon_USA_Sea!Q:Q),0),IFERROR(_xlfn.XLOOKUP($D17,USA_Air_Shipment!$C:$C,USA_Air_Shipment!P:P),0),IFERROR(_xlfn.XLOOKUP($D17,Amazon_USA_Air_Shipment!$C:$C,Amazon_USA_Air_Shipment!P:P),0),IFERROR(_xlfn.XLOOKUP($D17,MENA!$C:$C,MENA!P:P),0),IFERROR(_xlfn.XLOOKUP($D17,UK!$C:$C,UK!P:P),0),IFERROR(_xlfn.XLOOKUP($D17,BMM_Order!$C:$C,BMM_Order!P:P),0),IFERROR(_xlfn.XLOOKUP($D17,'Adhoc-_Backlog'!$C:$C,'Adhoc-_Backlog'!R:R),0))</f>
        <v>0</v>
      </c>
      <c r="Z17" s="51">
        <f>SUM(IFERROR(_xlfn.XLOOKUP($D17,Domestic!$C:$C,Domestic!S:S),0),IFERROR(_xlfn.XLOOKUP($D17,'INT-_Manjiri'!$C:$C,'INT-_Manjiri'!R:R),0),IFERROR(_xlfn.XLOOKUP($D17,'USA-_Sea_shipment'!$C:$C,'USA-_Sea_shipment'!R:R),0),IFERROR(_xlfn.XLOOKUP($D17,Amazon_USA_Sea!$C:$C,Amazon_USA_Sea!R:R),0),IFERROR(_xlfn.XLOOKUP($D17,USA_Air_Shipment!$C:$C,USA_Air_Shipment!Q:Q),0),IFERROR(_xlfn.XLOOKUP($D17,Amazon_USA_Air_Shipment!$C:$C,Amazon_USA_Air_Shipment!Q:Q),0),IFERROR(_xlfn.XLOOKUP($D17,MENA!$C:$C,MENA!Q:Q),0),IFERROR(_xlfn.XLOOKUP($D17,UK!$C:$C,UK!Q:Q),0),IFERROR(_xlfn.XLOOKUP($D17,BMM_Order!$C:$C,BMM_Order!Q:Q),0),IFERROR(_xlfn.XLOOKUP($D17,'Adhoc-_Backlog'!$C:$C,'Adhoc-_Backlog'!S:S),0))</f>
        <v>578</v>
      </c>
      <c r="AA17" s="51">
        <f>SUM(IFERROR(_xlfn.XLOOKUP($D17,Domestic!$C:$C,Domestic!T:T),0),IFERROR(_xlfn.XLOOKUP($D17,'INT-_Manjiri'!$C:$C,'INT-_Manjiri'!S:S),0),IFERROR(_xlfn.XLOOKUP($D17,'USA-_Sea_shipment'!$C:$C,'USA-_Sea_shipment'!S:S),0),IFERROR(_xlfn.XLOOKUP($D17,Amazon_USA_Sea!$C:$C,Amazon_USA_Sea!S:S),0),IFERROR(_xlfn.XLOOKUP($D17,USA_Air_Shipment!$C:$C,USA_Air_Shipment!R:R),0),IFERROR(_xlfn.XLOOKUP($D17,Amazon_USA_Air_Shipment!$C:$C,Amazon_USA_Air_Shipment!R:R),0),IFERROR(_xlfn.XLOOKUP($D17,MENA!$C:$C,MENA!R:R),0),IFERROR(_xlfn.XLOOKUP($D17,UK!$C:$C,UK!R:R),0),IFERROR(_xlfn.XLOOKUP($D17,BMM_Order!$C:$C,BMM_Order!R:R),0),IFERROR(_xlfn.XLOOKUP($D17,'Adhoc-_Backlog'!$C:$C,'Adhoc-_Backlog'!T:T),0))</f>
        <v>0</v>
      </c>
      <c r="AB17" s="51">
        <f>SUM(IFERROR(_xlfn.XLOOKUP($D17,Domestic!$C:$C,Domestic!U:U),0),IFERROR(_xlfn.XLOOKUP($D17,'INT-_Manjiri'!$C:$C,'INT-_Manjiri'!T:T),0),IFERROR(_xlfn.XLOOKUP($D17,'USA-_Sea_shipment'!$C:$C,'USA-_Sea_shipment'!T:T),0),IFERROR(_xlfn.XLOOKUP($D17,Amazon_USA_Sea!$C:$C,Amazon_USA_Sea!T:T),0),IFERROR(_xlfn.XLOOKUP($D17,USA_Air_Shipment!$C:$C,USA_Air_Shipment!S:S),0),IFERROR(_xlfn.XLOOKUP($D17,Amazon_USA_Air_Shipment!$C:$C,Amazon_USA_Air_Shipment!S:S),0),IFERROR(_xlfn.XLOOKUP($D17,MENA!$C:$C,MENA!S:S),0),IFERROR(_xlfn.XLOOKUP($D17,UK!$C:$C,UK!S:S),0),IFERROR(_xlfn.XLOOKUP($D17,BMM_Order!$C:$C,BMM_Order!S:S),0),IFERROR(_xlfn.XLOOKUP($D17,'Adhoc-_Backlog'!$C:$C,'Adhoc-_Backlog'!U:U),0))</f>
        <v>0</v>
      </c>
      <c r="AC17" s="51">
        <f>SUM(IFERROR(_xlfn.XLOOKUP($D17,Domestic!$C:$C,Domestic!V:V),0),IFERROR(_xlfn.XLOOKUP($D17,'INT-_Manjiri'!$C:$C,'INT-_Manjiri'!U:U),0),IFERROR(_xlfn.XLOOKUP($D17,'USA-_Sea_shipment'!$C:$C,'USA-_Sea_shipment'!U:U),0),IFERROR(_xlfn.XLOOKUP($D17,Amazon_USA_Sea!$C:$C,Amazon_USA_Sea!U:U),0),IFERROR(_xlfn.XLOOKUP($D17,USA_Air_Shipment!$C:$C,USA_Air_Shipment!T:T),0),IFERROR(_xlfn.XLOOKUP($D17,Amazon_USA_Air_Shipment!$C:$C,Amazon_USA_Air_Shipment!T:T),0),IFERROR(_xlfn.XLOOKUP($D17,MENA!$C:$C,MENA!T:T),0),IFERROR(_xlfn.XLOOKUP($D17,UK!$C:$C,UK!T:T),0),IFERROR(_xlfn.XLOOKUP($D17,BMM_Order!$C:$C,BMM_Order!T:T),0),IFERROR(_xlfn.XLOOKUP($D17,'Adhoc-_Backlog'!$C:$C,'Adhoc-_Backlog'!V:V),0))</f>
        <v>0</v>
      </c>
      <c r="AD17" s="51">
        <f>SUM(IFERROR(_xlfn.XLOOKUP($D17,Domestic!$C:$C,Domestic!W:W),0),IFERROR(_xlfn.XLOOKUP($D17,'INT-_Manjiri'!$C:$C,'INT-_Manjiri'!V:V),0),IFERROR(_xlfn.XLOOKUP($D17,'USA-_Sea_shipment'!$C:$C,'USA-_Sea_shipment'!V:V),0),IFERROR(_xlfn.XLOOKUP($D17,Amazon_USA_Sea!$C:$C,Amazon_USA_Sea!V:V),0),IFERROR(_xlfn.XLOOKUP($D17,USA_Air_Shipment!$C:$C,USA_Air_Shipment!U:U),0),IFERROR(_xlfn.XLOOKUP($D17,Amazon_USA_Air_Shipment!$C:$C,Amazon_USA_Air_Shipment!U:U),0),IFERROR(_xlfn.XLOOKUP($D17,MENA!$C:$C,MENA!U:U),0),IFERROR(_xlfn.XLOOKUP($D17,UK!$C:$C,UK!U:U),0),IFERROR(_xlfn.XLOOKUP($D17,BMM_Order!$C:$C,BMM_Order!U:U),0),IFERROR(_xlfn.XLOOKUP($D17,'Adhoc-_Backlog'!$C:$C,'Adhoc-_Backlog'!W:W),0))</f>
        <v>0</v>
      </c>
      <c r="AE17" s="51">
        <f>SUM(IFERROR(_xlfn.XLOOKUP($D17,Domestic!$C:$C,Domestic!X:X),0),IFERROR(_xlfn.XLOOKUP($D17,'INT-_Manjiri'!$C:$C,'INT-_Manjiri'!W:W),0),IFERROR(_xlfn.XLOOKUP($D17,'USA-_Sea_shipment'!$C:$C,'USA-_Sea_shipment'!W:W),0),IFERROR(_xlfn.XLOOKUP($D17,Amazon_USA_Sea!$C:$C,Amazon_USA_Sea!W:W),0),IFERROR(_xlfn.XLOOKUP($D17,USA_Air_Shipment!$C:$C,USA_Air_Shipment!V:V),0),IFERROR(_xlfn.XLOOKUP($D17,Amazon_USA_Air_Shipment!$C:$C,Amazon_USA_Air_Shipment!V:V),0),IFERROR(_xlfn.XLOOKUP($D17,MENA!$C:$C,MENA!V:V),0),IFERROR(_xlfn.XLOOKUP($D17,UK!$C:$C,UK!V:V),0),IFERROR(_xlfn.XLOOKUP($D17,BMM_Order!$C:$C,BMM_Order!V:V),0),IFERROR(_xlfn.XLOOKUP($D17,'Adhoc-_Backlog'!$C:$C,'Adhoc-_Backlog'!X:X),0))</f>
        <v>0</v>
      </c>
      <c r="AF17" s="51">
        <f>SUM(IFERROR(_xlfn.XLOOKUP($D17,Domestic!$C:$C,Domestic!Y:Y),0),IFERROR(_xlfn.XLOOKUP($D17,'INT-_Manjiri'!$C:$C,'INT-_Manjiri'!X:X),0),IFERROR(_xlfn.XLOOKUP($D17,'USA-_Sea_shipment'!$C:$C,'USA-_Sea_shipment'!X:X),0),IFERROR(_xlfn.XLOOKUP($D17,Amazon_USA_Sea!$C:$C,Amazon_USA_Sea!X:X),0),IFERROR(_xlfn.XLOOKUP($D17,USA_Air_Shipment!$C:$C,USA_Air_Shipment!W:W),0),IFERROR(_xlfn.XLOOKUP($D17,Amazon_USA_Air_Shipment!$C:$C,Amazon_USA_Air_Shipment!W:W),0),IFERROR(_xlfn.XLOOKUP($D17,MENA!$C:$C,MENA!W:W),0),IFERROR(_xlfn.XLOOKUP($D17,UK!$C:$C,UK!W:W),0),IFERROR(_xlfn.XLOOKUP($D17,BMM_Order!$C:$C,BMM_Order!W:W),0),IFERROR(_xlfn.XLOOKUP($D17,'Adhoc-_Backlog'!$C:$C,'Adhoc-_Backlog'!Y:Y),0))</f>
        <v>0</v>
      </c>
      <c r="AG17" s="51">
        <f>SUM(IFERROR(_xlfn.XLOOKUP($D17,Domestic!$C:$C,Domestic!Z:Z),0),IFERROR(_xlfn.XLOOKUP($D17,'INT-_Manjiri'!$C:$C,'INT-_Manjiri'!Y:Y),0),IFERROR(_xlfn.XLOOKUP($D17,'USA-_Sea_shipment'!$C:$C,'USA-_Sea_shipment'!Y:Y),0),IFERROR(_xlfn.XLOOKUP($D17,Amazon_USA_Sea!$C:$C,Amazon_USA_Sea!Y:Y),0),IFERROR(_xlfn.XLOOKUP($D17,USA_Air_Shipment!$C:$C,USA_Air_Shipment!X:X),0),IFERROR(_xlfn.XLOOKUP($D17,Amazon_USA_Air_Shipment!$C:$C,Amazon_USA_Air_Shipment!X:X),0),IFERROR(_xlfn.XLOOKUP($D17,MENA!$C:$C,MENA!X:X),0),IFERROR(_xlfn.XLOOKUP($D17,UK!$C:$C,UK!X:X),0),IFERROR(_xlfn.XLOOKUP($D17,BMM_Order!$C:$C,BMM_Order!X:X),0),IFERROR(_xlfn.XLOOKUP($D17,'Adhoc-_Backlog'!$C:$C,'Adhoc-_Backlog'!Z:Z),0))</f>
        <v>662</v>
      </c>
      <c r="AH17" s="51">
        <f>SUM(IFERROR(_xlfn.XLOOKUP($D17,Domestic!$C:$C,Domestic!AA:AA),0),IFERROR(_xlfn.XLOOKUP($D17,'INT-_Manjiri'!$C:$C,'INT-_Manjiri'!Z:Z),0),IFERROR(_xlfn.XLOOKUP($D17,'USA-_Sea_shipment'!$C:$C,'USA-_Sea_shipment'!Z:Z),0),IFERROR(_xlfn.XLOOKUP($D17,Amazon_USA_Sea!$C:$C,Amazon_USA_Sea!Z:Z),0),IFERROR(_xlfn.XLOOKUP($D17,USA_Air_Shipment!$C:$C,USA_Air_Shipment!Y:Y),0),IFERROR(_xlfn.XLOOKUP($D17,Amazon_USA_Air_Shipment!$C:$C,Amazon_USA_Air_Shipment!Y:Y),0),IFERROR(_xlfn.XLOOKUP($D17,MENA!$C:$C,MENA!Y:Y),0),IFERROR(_xlfn.XLOOKUP($D17,UK!$C:$C,UK!Y:Y),0),IFERROR(_xlfn.XLOOKUP($D17,BMM_Order!$C:$C,BMM_Order!Y:Y),0),IFERROR(_xlfn.XLOOKUP($D17,'Adhoc-_Backlog'!$C:$C,'Adhoc-_Backlog'!AA:AA),0))</f>
        <v>0</v>
      </c>
      <c r="AI17" s="51">
        <f>SUM(IFERROR(_xlfn.XLOOKUP($D17,Domestic!$C:$C,Domestic!AB:AB),0),IFERROR(_xlfn.XLOOKUP($D17,'INT-_Manjiri'!$C:$C,'INT-_Manjiri'!AA:AA),0),IFERROR(_xlfn.XLOOKUP($D17,'USA-_Sea_shipment'!$C:$C,'USA-_Sea_shipment'!AA:AA),0),IFERROR(_xlfn.XLOOKUP($D17,Amazon_USA_Sea!$C:$C,Amazon_USA_Sea!AA:AA),0),IFERROR(_xlfn.XLOOKUP($D17,USA_Air_Shipment!$C:$C,USA_Air_Shipment!Z:Z),0),IFERROR(_xlfn.XLOOKUP($D17,Amazon_USA_Air_Shipment!$C:$C,Amazon_USA_Air_Shipment!Z:Z),0),IFERROR(_xlfn.XLOOKUP($D17,MENA!$C:$C,MENA!Z:Z),0),IFERROR(_xlfn.XLOOKUP($D17,UK!$C:$C,UK!Z:Z),0),IFERROR(_xlfn.XLOOKUP($D17,BMM_Order!$C:$C,BMM_Order!Z:Z),0),IFERROR(_xlfn.XLOOKUP($D17,'Adhoc-_Backlog'!$C:$C,'Adhoc-_Backlog'!AB:AB),0))</f>
        <v>1476</v>
      </c>
      <c r="AJ17" s="51">
        <f>SUM(IFERROR(_xlfn.XLOOKUP($D17,Domestic!$C:$C,Domestic!AC:AC),0),IFERROR(_xlfn.XLOOKUP($D17,'INT-_Manjiri'!$C:$C,'INT-_Manjiri'!AB:AB),0),IFERROR(_xlfn.XLOOKUP($D17,'USA-_Sea_shipment'!$C:$C,'USA-_Sea_shipment'!AB:AB),0),IFERROR(_xlfn.XLOOKUP($D17,Amazon_USA_Sea!$C:$C,Amazon_USA_Sea!AB:AB),0),IFERROR(_xlfn.XLOOKUP($D17,USA_Air_Shipment!$C:$C,USA_Air_Shipment!AA:AA),0),IFERROR(_xlfn.XLOOKUP($D17,Amazon_USA_Air_Shipment!$C:$C,Amazon_USA_Air_Shipment!AA:AA),0),IFERROR(_xlfn.XLOOKUP($D17,MENA!$C:$C,MENA!AA:AA),0),IFERROR(_xlfn.XLOOKUP($D17,UK!$C:$C,UK!AA:AA),0),IFERROR(_xlfn.XLOOKUP($D17,BMM_Order!$C:$C,BMM_Order!AA:AA),0),IFERROR(_xlfn.XLOOKUP($D17,'Adhoc-_Backlog'!$C:$C,'Adhoc-_Backlog'!AC:AC),0))</f>
        <v>1672</v>
      </c>
      <c r="AK17" s="51">
        <f>SUM(IFERROR(_xlfn.XLOOKUP($D17,Domestic!$C:$C,Domestic!AD:AD),0),IFERROR(_xlfn.XLOOKUP($D17,'INT-_Manjiri'!$C:$C,'INT-_Manjiri'!AC:AC),0),IFERROR(_xlfn.XLOOKUP($D17,'USA-_Sea_shipment'!$C:$C,'USA-_Sea_shipment'!AC:AC),0),IFERROR(_xlfn.XLOOKUP($D17,Amazon_USA_Sea!$C:$C,Amazon_USA_Sea!AC:AC),0),IFERROR(_xlfn.XLOOKUP($D17,USA_Air_Shipment!$C:$C,USA_Air_Shipment!AB:AB),0),IFERROR(_xlfn.XLOOKUP($D17,Amazon_USA_Air_Shipment!$C:$C,Amazon_USA_Air_Shipment!AB:AB),0),IFERROR(_xlfn.XLOOKUP($D17,MENA!$C:$C,MENA!AB:AB),0),IFERROR(_xlfn.XLOOKUP($D17,UK!$C:$C,UK!AB:AB),0),IFERROR(_xlfn.XLOOKUP($D17,BMM_Order!$C:$C,BMM_Order!AB:AB),0),IFERROR(_xlfn.XLOOKUP($D17,'Adhoc-_Backlog'!$C:$C,'Adhoc-_Backlog'!AD:AD),0))</f>
        <v>0</v>
      </c>
      <c r="AL17" s="51">
        <f>SUM(IFERROR(_xlfn.XLOOKUP($D17,Domestic!$C:$C,Domestic!AE:AE),0),IFERROR(_xlfn.XLOOKUP($D17,'INT-_Manjiri'!$C:$C,'INT-_Manjiri'!AD:AD),0),IFERROR(_xlfn.XLOOKUP($D17,'USA-_Sea_shipment'!$C:$C,'USA-_Sea_shipment'!AD:AD),0),IFERROR(_xlfn.XLOOKUP($D17,Amazon_USA_Sea!$C:$C,Amazon_USA_Sea!AD:AD),0),IFERROR(_xlfn.XLOOKUP($D17,USA_Air_Shipment!$C:$C,USA_Air_Shipment!AC:AC),0),IFERROR(_xlfn.XLOOKUP($D17,Amazon_USA_Air_Shipment!$C:$C,Amazon_USA_Air_Shipment!AC:AC),0),IFERROR(_xlfn.XLOOKUP($D17,MENA!$C:$C,MENA!AC:AC),0),IFERROR(_xlfn.XLOOKUP($D17,UK!$C:$C,UK!AC:AC),0),IFERROR(_xlfn.XLOOKUP($D17,BMM_Order!$C:$C,BMM_Order!AC:AC),0),IFERROR(_xlfn.XLOOKUP($D17,'Adhoc-_Backlog'!$C:$C,'Adhoc-_Backlog'!AE:AE),0))</f>
        <v>0</v>
      </c>
      <c r="AM17" s="51">
        <f>SUM(IFERROR(_xlfn.XLOOKUP($D17,Domestic!$C:$C,Domestic!AF:AF),0),IFERROR(_xlfn.XLOOKUP($D17,'INT-_Manjiri'!$C:$C,'INT-_Manjiri'!AE:AE),0),IFERROR(_xlfn.XLOOKUP($D17,'USA-_Sea_shipment'!$C:$C,'USA-_Sea_shipment'!AE:AE),0),IFERROR(_xlfn.XLOOKUP($D17,Amazon_USA_Sea!$C:$C,Amazon_USA_Sea!AE:AE),0),IFERROR(_xlfn.XLOOKUP($D17,USA_Air_Shipment!$C:$C,USA_Air_Shipment!AD:AD),0),IFERROR(_xlfn.XLOOKUP($D17,Amazon_USA_Air_Shipment!$C:$C,Amazon_USA_Air_Shipment!AD:AD),0),IFERROR(_xlfn.XLOOKUP($D17,MENA!$C:$C,MENA!AD:AD),0),IFERROR(_xlfn.XLOOKUP($D17,UK!$C:$C,UK!AD:AD),0),IFERROR(_xlfn.XLOOKUP($D17,BMM_Order!$C:$C,BMM_Order!AD:AD),0),IFERROR(_xlfn.XLOOKUP($D17,'Adhoc-_Backlog'!$C:$C,'Adhoc-_Backlog'!AF:AF),0))</f>
        <v>480</v>
      </c>
      <c r="AN17" s="51">
        <f>SUM(IFERROR(_xlfn.XLOOKUP($D17,Domestic!$C:$C,Domestic!AG:AG),0),IFERROR(_xlfn.XLOOKUP($D17,'INT-_Manjiri'!$C:$C,'INT-_Manjiri'!AF:AF),0),IFERROR(_xlfn.XLOOKUP($D17,'USA-_Sea_shipment'!$C:$C,'USA-_Sea_shipment'!AF:AF),0),IFERROR(_xlfn.XLOOKUP($D17,Amazon_USA_Sea!$C:$C,Amazon_USA_Sea!AF:AF),0),IFERROR(_xlfn.XLOOKUP($D17,USA_Air_Shipment!$C:$C,USA_Air_Shipment!AE:AE),0),IFERROR(_xlfn.XLOOKUP($D17,Amazon_USA_Air_Shipment!$C:$C,Amazon_USA_Air_Shipment!AE:AE),0),IFERROR(_xlfn.XLOOKUP($D17,MENA!$C:$C,MENA!AE:AE),0),IFERROR(_xlfn.XLOOKUP($D17,UK!$C:$C,UK!AE:AE),0),IFERROR(_xlfn.XLOOKUP($D17,BMM_Order!$C:$C,BMM_Order!AE:AE),0),IFERROR(_xlfn.XLOOKUP($D17,'Adhoc-_Backlog'!$C:$C,'Adhoc-_Backlog'!AG:AG),0))</f>
        <v>912</v>
      </c>
      <c r="AO17" s="51">
        <f>SUM(IFERROR(_xlfn.XLOOKUP($D17,Domestic!$C:$C,Domestic!AH:AH),0),IFERROR(_xlfn.XLOOKUP($D17,'INT-_Manjiri'!$C:$C,'INT-_Manjiri'!AG:AG),0),IFERROR(_xlfn.XLOOKUP($D17,'USA-_Sea_shipment'!$C:$C,'USA-_Sea_shipment'!AG:AG),0),IFERROR(_xlfn.XLOOKUP($D17,Amazon_USA_Sea!$C:$C,Amazon_USA_Sea!AG:AG),0),IFERROR(_xlfn.XLOOKUP($D17,USA_Air_Shipment!$C:$C,USA_Air_Shipment!AF:AF),0),IFERROR(_xlfn.XLOOKUP($D17,Amazon_USA_Air_Shipment!$C:$C,Amazon_USA_Air_Shipment!AF:AF),0),IFERROR(_xlfn.XLOOKUP($D17,MENA!$C:$C,MENA!AF:AF),0),IFERROR(_xlfn.XLOOKUP($D17,UK!$C:$C,UK!AF:AF),0),IFERROR(_xlfn.XLOOKUP($D17,BMM_Order!$C:$C,BMM_Order!AF:AF),0),IFERROR(_xlfn.XLOOKUP($D17,'Adhoc-_Backlog'!$C:$C,'Adhoc-_Backlog'!AH:AH),0))</f>
        <v>131</v>
      </c>
      <c r="AP17" s="51">
        <f>SUM(IFERROR(_xlfn.XLOOKUP($D17,Domestic!$C:$C,Domestic!AI:AI),0),IFERROR(_xlfn.XLOOKUP($D17,'INT-_Manjiri'!$C:$C,'INT-_Manjiri'!AH:AH),0),IFERROR(_xlfn.XLOOKUP($D17,'USA-_Sea_shipment'!$C:$C,'USA-_Sea_shipment'!AH:AH),0),IFERROR(_xlfn.XLOOKUP($D17,Amazon_USA_Sea!$C:$C,Amazon_USA_Sea!AH:AH),0),IFERROR(_xlfn.XLOOKUP($D17,USA_Air_Shipment!$C:$C,USA_Air_Shipment!AG:AG),0),IFERROR(_xlfn.XLOOKUP($D17,Amazon_USA_Air_Shipment!$C:$C,Amazon_USA_Air_Shipment!AG:AG),0),IFERROR(_xlfn.XLOOKUP($D17,MENA!$C:$C,MENA!AG:AG),0),IFERROR(_xlfn.XLOOKUP($D17,UK!$C:$C,UK!AG:AG),0),IFERROR(_xlfn.XLOOKUP($D17,BMM_Order!$C:$C,BMM_Order!AG:AG),0),IFERROR(_xlfn.XLOOKUP($D17,'Adhoc-_Backlog'!$C:$C,'Adhoc-_Backlog'!AI:AI),0))</f>
        <v>0</v>
      </c>
      <c r="AQ17" s="51">
        <f>SUM(IFERROR(_xlfn.XLOOKUP($D17,Domestic!$C:$C,Domestic!AJ:AJ),0),IFERROR(_xlfn.XLOOKUP($D17,'INT-_Manjiri'!$C:$C,'INT-_Manjiri'!AI:AI),0),IFERROR(_xlfn.XLOOKUP($D17,'USA-_Sea_shipment'!$C:$C,'USA-_Sea_shipment'!AI:AI),0),IFERROR(_xlfn.XLOOKUP($D17,Amazon_USA_Sea!$C:$C,Amazon_USA_Sea!AI:AI),0),IFERROR(_xlfn.XLOOKUP($D17,USA_Air_Shipment!$C:$C,USA_Air_Shipment!AH:AH),0),IFERROR(_xlfn.XLOOKUP($D17,Amazon_USA_Air_Shipment!$C:$C,Amazon_USA_Air_Shipment!AH:AH),0),IFERROR(_xlfn.XLOOKUP($D17,MENA!$C:$C,MENA!AH:AH),0),IFERROR(_xlfn.XLOOKUP($D17,UK!$C:$C,UK!AH:AH),0),IFERROR(_xlfn.XLOOKUP($D17,BMM_Order!$C:$C,BMM_Order!AH:AH),0),IFERROR(_xlfn.XLOOKUP($D17,'Adhoc-_Backlog'!$C:$C,'Adhoc-_Backlog'!AJ:AJ),0))</f>
        <v>0</v>
      </c>
      <c r="AR17" s="51">
        <f>SUM(IFERROR(_xlfn.XLOOKUP($D17,Domestic!$C:$C,Domestic!AK:AK),0),IFERROR(_xlfn.XLOOKUP($D17,'INT-_Manjiri'!$C:$C,'INT-_Manjiri'!AJ:AJ),0),IFERROR(_xlfn.XLOOKUP($D17,'USA-_Sea_shipment'!$C:$C,'USA-_Sea_shipment'!AJ:AJ),0),IFERROR(_xlfn.XLOOKUP($D17,Amazon_USA_Sea!$C:$C,Amazon_USA_Sea!AJ:AJ),0),IFERROR(_xlfn.XLOOKUP($D17,USA_Air_Shipment!$C:$C,USA_Air_Shipment!AI:AI),0),IFERROR(_xlfn.XLOOKUP($D17,Amazon_USA_Air_Shipment!$C:$C,Amazon_USA_Air_Shipment!AI:AI),0),IFERROR(_xlfn.XLOOKUP($D17,MENA!$C:$C,MENA!AI:AI),0),IFERROR(_xlfn.XLOOKUP($D17,UK!$C:$C,UK!AI:AI),0),IFERROR(_xlfn.XLOOKUP($D17,BMM_Order!$C:$C,BMM_Order!AI:AI),0),IFERROR(_xlfn.XLOOKUP($D17,'Adhoc-_Backlog'!$C:$C,'Adhoc-_Backlog'!AK:AK),0))</f>
        <v>0</v>
      </c>
      <c r="AS17" s="51">
        <f>SUM(IFERROR(_xlfn.XLOOKUP($D17,Domestic!$C:$C,Domestic!AL:AL),0),IFERROR(_xlfn.XLOOKUP($D17,'INT-_Manjiri'!$C:$C,'INT-_Manjiri'!AK:AK),0),IFERROR(_xlfn.XLOOKUP($D17,'USA-_Sea_shipment'!$C:$C,'USA-_Sea_shipment'!AK:AK),0),IFERROR(_xlfn.XLOOKUP($D17,Amazon_USA_Sea!$C:$C,Amazon_USA_Sea!AK:AK),0),IFERROR(_xlfn.XLOOKUP($D17,USA_Air_Shipment!$C:$C,USA_Air_Shipment!AJ:AJ),0),IFERROR(_xlfn.XLOOKUP($D17,Amazon_USA_Air_Shipment!$C:$C,Amazon_USA_Air_Shipment!AJ:AJ),0),IFERROR(_xlfn.XLOOKUP($D17,MENA!$C:$C,MENA!AJ:AJ),0),IFERROR(_xlfn.XLOOKUP($D17,UK!$C:$C,UK!AJ:AJ),0),IFERROR(_xlfn.XLOOKUP($D17,BMM_Order!$C:$C,BMM_Order!AJ:AJ),0),IFERROR(_xlfn.XLOOKUP($D17,'Adhoc-_Backlog'!$C:$C,'Adhoc-_Backlog'!AL:AL),0))</f>
        <v>425</v>
      </c>
      <c r="AT17" s="51">
        <f>SUM(IFERROR(_xlfn.XLOOKUP($D17,Domestic!$C:$C,Domestic!AM:AM),0),IFERROR(_xlfn.XLOOKUP($D17,'INT-_Manjiri'!$C:$C,'INT-_Manjiri'!AL:AL),0),IFERROR(_xlfn.XLOOKUP($D17,'USA-_Sea_shipment'!$C:$C,'USA-_Sea_shipment'!AL:AL),0),IFERROR(_xlfn.XLOOKUP($D17,Amazon_USA_Sea!$C:$C,Amazon_USA_Sea!AL:AL),0),IFERROR(_xlfn.XLOOKUP($D17,USA_Air_Shipment!$C:$C,USA_Air_Shipment!AK:AK),0),IFERROR(_xlfn.XLOOKUP($D17,Amazon_USA_Air_Shipment!$C:$C,Amazon_USA_Air_Shipment!AK:AK),0),IFERROR(_xlfn.XLOOKUP($D17,MENA!$C:$C,MENA!AK:AK),0),IFERROR(_xlfn.XLOOKUP($D17,UK!$C:$C,UK!AK:AK),0),IFERROR(_xlfn.XLOOKUP($D17,BMM_Order!$C:$C,BMM_Order!AK:AK),0),IFERROR(_xlfn.XLOOKUP($D17,'Adhoc-_Backlog'!$C:$C,'Adhoc-_Backlog'!AM:AM),0))</f>
        <v>1185</v>
      </c>
      <c r="AU17" s="51">
        <f>SUM(IFERROR(_xlfn.XLOOKUP($D17,Domestic!$C:$C,Domestic!AN:AN),0),IFERROR(_xlfn.XLOOKUP($D17,'INT-_Manjiri'!$C:$C,'INT-_Manjiri'!AM:AM),0),IFERROR(_xlfn.XLOOKUP($D17,'USA-_Sea_shipment'!$C:$C,'USA-_Sea_shipment'!AM:AM),0),IFERROR(_xlfn.XLOOKUP($D17,Amazon_USA_Sea!$C:$C,Amazon_USA_Sea!AM:AM),0),IFERROR(_xlfn.XLOOKUP($D17,USA_Air_Shipment!$C:$C,USA_Air_Shipment!AL:AL),0),IFERROR(_xlfn.XLOOKUP($D17,Amazon_USA_Air_Shipment!$C:$C,Amazon_USA_Air_Shipment!AL:AL),0),IFERROR(_xlfn.XLOOKUP($D17,MENA!$C:$C,MENA!AL:AL),0),IFERROR(_xlfn.XLOOKUP($D17,UK!$C:$C,UK!AL:AL),0),IFERROR(_xlfn.XLOOKUP($D17,BMM_Order!$C:$C,BMM_Order!AL:AL),0),IFERROR(_xlfn.XLOOKUP($D17,'Adhoc-_Backlog'!$C:$C,'Adhoc-_Backlog'!AN:AN),0))</f>
        <v>0</v>
      </c>
      <c r="AV17" s="51">
        <f>SUM(IFERROR(_xlfn.XLOOKUP($D17,Domestic!$C:$C,Domestic!AO:AO),0),IFERROR(_xlfn.XLOOKUP($D17,'INT-_Manjiri'!$C:$C,'INT-_Manjiri'!AN:AN),0),IFERROR(_xlfn.XLOOKUP($D17,'USA-_Sea_shipment'!$C:$C,'USA-_Sea_shipment'!AN:AN),0),IFERROR(_xlfn.XLOOKUP($D17,Amazon_USA_Sea!$C:$C,Amazon_USA_Sea!AN:AN),0),IFERROR(_xlfn.XLOOKUP($D17,USA_Air_Shipment!$C:$C,USA_Air_Shipment!AM:AM),0),IFERROR(_xlfn.XLOOKUP($D17,Amazon_USA_Air_Shipment!$C:$C,Amazon_USA_Air_Shipment!AM:AM),0),IFERROR(_xlfn.XLOOKUP($D17,MENA!$C:$C,MENA!AM:AM),0),IFERROR(_xlfn.XLOOKUP($D17,UK!$C:$C,UK!AM:AM),0),IFERROR(_xlfn.XLOOKUP($D17,BMM_Order!$C:$C,BMM_Order!AM:AM),0),IFERROR(_xlfn.XLOOKUP($D17,'Adhoc-_Backlog'!$C:$C,'Adhoc-_Backlog'!AO:AO),0))</f>
        <v>0</v>
      </c>
      <c r="AW17" s="51">
        <f>SUM(IFERROR(_xlfn.XLOOKUP($D17,Domestic!$C:$C,Domestic!AP:AP),0),IFERROR(_xlfn.XLOOKUP($D17,'INT-_Manjiri'!$C:$C,'INT-_Manjiri'!AO:AO),0),IFERROR(_xlfn.XLOOKUP($D17,'USA-_Sea_shipment'!$C:$C,'USA-_Sea_shipment'!AO:AO),0),IFERROR(_xlfn.XLOOKUP($D17,Amazon_USA_Sea!$C:$C,Amazon_USA_Sea!AO:AO),0),IFERROR(_xlfn.XLOOKUP($D17,USA_Air_Shipment!$C:$C,USA_Air_Shipment!AN:AN),0),IFERROR(_xlfn.XLOOKUP($D17,Amazon_USA_Air_Shipment!$C:$C,Amazon_USA_Air_Shipment!AN:AN),0),IFERROR(_xlfn.XLOOKUP($D17,MENA!$C:$C,MENA!AN:AN),0),IFERROR(_xlfn.XLOOKUP($D17,UK!$C:$C,UK!AN:AN),0),IFERROR(_xlfn.XLOOKUP($D17,BMM_Order!$C:$C,BMM_Order!AN:AN),0),IFERROR(_xlfn.XLOOKUP($D17,'Adhoc-_Backlog'!$C:$C,'Adhoc-_Backlog'!AP:AP),0))</f>
        <v>0</v>
      </c>
      <c r="AX17" s="51">
        <f>SUM(IFERROR(_xlfn.XLOOKUP($D17,Domestic!$C:$C,Domestic!AQ:AQ),0),IFERROR(_xlfn.XLOOKUP($D17,'INT-_Manjiri'!$C:$C,'INT-_Manjiri'!AP:AP),0),IFERROR(_xlfn.XLOOKUP($D17,'USA-_Sea_shipment'!$C:$C,'USA-_Sea_shipment'!AP:AP),0),IFERROR(_xlfn.XLOOKUP($D17,Amazon_USA_Sea!$C:$C,Amazon_USA_Sea!AP:AP),0),IFERROR(_xlfn.XLOOKUP($D17,USA_Air_Shipment!$C:$C,USA_Air_Shipment!AO:AO),0),IFERROR(_xlfn.XLOOKUP($D17,Amazon_USA_Air_Shipment!$C:$C,Amazon_USA_Air_Shipment!AO:AO),0),IFERROR(_xlfn.XLOOKUP($D17,MENA!$C:$C,MENA!AO:AO),0),IFERROR(_xlfn.XLOOKUP($D17,UK!$C:$C,UK!AO:AO),0),IFERROR(_xlfn.XLOOKUP($D17,BMM_Order!$C:$C,BMM_Order!AO:AO),0),IFERROR(_xlfn.XLOOKUP($D17,'Adhoc-_Backlog'!$C:$C,'Adhoc-_Backlog'!AQ:AQ),0))</f>
        <v>0</v>
      </c>
      <c r="AY17" s="51">
        <f>SUM(IFERROR(_xlfn.XLOOKUP($D17,Domestic!$C:$C,Domestic!AR:AR),0),IFERROR(_xlfn.XLOOKUP($D17,'INT-_Manjiri'!$C:$C,'INT-_Manjiri'!AQ:AQ),0),IFERROR(_xlfn.XLOOKUP($D17,'USA-_Sea_shipment'!$C:$C,'USA-_Sea_shipment'!AQ:AQ),0),IFERROR(_xlfn.XLOOKUP($D17,Amazon_USA_Sea!$C:$C,Amazon_USA_Sea!AQ:AQ),0),IFERROR(_xlfn.XLOOKUP($D17,USA_Air_Shipment!$C:$C,USA_Air_Shipment!AP:AP),0),IFERROR(_xlfn.XLOOKUP($D17,Amazon_USA_Air_Shipment!$C:$C,Amazon_USA_Air_Shipment!AP:AP),0),IFERROR(_xlfn.XLOOKUP($D17,MENA!$C:$C,MENA!AP:AP),0),IFERROR(_xlfn.XLOOKUP($D17,UK!$C:$C,UK!AP:AP),0),IFERROR(_xlfn.XLOOKUP($D17,BMM_Order!$C:$C,BMM_Order!AP:AP),0),IFERROR(_xlfn.XLOOKUP($D17,'Adhoc-_Backlog'!$C:$C,'Adhoc-_Backlog'!AR:AR),0))</f>
        <v>0</v>
      </c>
      <c r="AZ17" s="51">
        <f>SUM(IFERROR(_xlfn.XLOOKUP($D17,Domestic!$C:$C,Domestic!AS:AS),0),IFERROR(_xlfn.XLOOKUP($D17,'INT-_Manjiri'!$C:$C,'INT-_Manjiri'!AR:AR),0),IFERROR(_xlfn.XLOOKUP($D17,'USA-_Sea_shipment'!$C:$C,'USA-_Sea_shipment'!AR:AR),0),IFERROR(_xlfn.XLOOKUP($D17,Amazon_USA_Sea!$C:$C,Amazon_USA_Sea!AR:AR),0),IFERROR(_xlfn.XLOOKUP($D17,USA_Air_Shipment!$C:$C,USA_Air_Shipment!AQ:AQ),0),IFERROR(_xlfn.XLOOKUP($D17,Amazon_USA_Air_Shipment!$C:$C,Amazon_USA_Air_Shipment!AQ:AQ),0),IFERROR(_xlfn.XLOOKUP($D17,MENA!$C:$C,MENA!AQ:AQ),0),IFERROR(_xlfn.XLOOKUP($D17,UK!$C:$C,UK!AQ:AQ),0),IFERROR(_xlfn.XLOOKUP($D17,BMM_Order!$C:$C,BMM_Order!AQ:AQ),0),IFERROR(_xlfn.XLOOKUP($D17,'Adhoc-_Backlog'!$C:$C,'Adhoc-_Backlog'!AS:AS),0))</f>
        <v>0</v>
      </c>
      <c r="BA17" s="51">
        <f>SUM(IFERROR(_xlfn.XLOOKUP($D17,Domestic!$C:$C,Domestic!AT:AT),0),IFERROR(_xlfn.XLOOKUP($D17,'INT-_Manjiri'!$C:$C,'INT-_Manjiri'!AS:AS),0),IFERROR(_xlfn.XLOOKUP($D17,'USA-_Sea_shipment'!$C:$C,'USA-_Sea_shipment'!AS:AS),0),IFERROR(_xlfn.XLOOKUP($D17,Amazon_USA_Sea!$C:$C,Amazon_USA_Sea!AS:AS),0),IFERROR(_xlfn.XLOOKUP($D17,USA_Air_Shipment!$C:$C,USA_Air_Shipment!AR:AR),0),IFERROR(_xlfn.XLOOKUP($D17,Amazon_USA_Air_Shipment!$C:$C,Amazon_USA_Air_Shipment!AR:AR),0),IFERROR(_xlfn.XLOOKUP($D17,MENA!$C:$C,MENA!AR:AR),0),IFERROR(_xlfn.XLOOKUP($D17,UK!$C:$C,UK!AR:AR),0),IFERROR(_xlfn.XLOOKUP($D17,BMM_Order!$C:$C,BMM_Order!AR:AR),0),IFERROR(_xlfn.XLOOKUP($D17,'Adhoc-_Backlog'!$C:$C,'Adhoc-_Backlog'!AT:AT),0))</f>
        <v>0</v>
      </c>
      <c r="BB17" s="52">
        <f t="shared" si="2"/>
        <v>13695</v>
      </c>
      <c r="BC17" s="64">
        <f t="shared" si="3"/>
        <v>3423.75</v>
      </c>
      <c r="BD17" s="65">
        <f t="shared" si="4"/>
        <v>6541.7000000000007</v>
      </c>
      <c r="BE17" s="64">
        <f t="shared" si="5"/>
        <v>1635.4250000000002</v>
      </c>
      <c r="BF17" s="66">
        <f t="shared" si="6"/>
        <v>0.67674077295211177</v>
      </c>
      <c r="BG17" s="67" t="str">
        <f>_xlfn.TEXTJOIN(" | ",TRUE,IFERROR(_xlfn.XLOOKUP($D17,Domestic!$C:$C,Domestic!$BG:$BG,""),""),IFERROR(_xlfn.XLOOKUP($D17,'INT-_Manjiri'!$C:$C,'INT-_Manjiri'!$AY:$AY,""),""),IFERROR(_xlfn.XLOOKUP($D17,'USA-_Sea_shipment'!$C:$C,'USA-_Sea_shipment'!#REF!,""),""),IFERROR(_xlfn.XLOOKUP($D17,Amazon_USA_Sea!$C:$C,Amazon_USA_Sea!$AY:$AY,""),""),IFERROR(_xlfn.XLOOKUP($D17,USA_Air_Shipment!$C:$C,USA_Air_Shipment!$AW:$AW,""),""),IFERROR(_xlfn.XLOOKUP($D17,Amazon_USA_Air_Shipment!$C:$C,Amazon_USA_Air_Shipment!$AW:$AW,""),""),IFERROR(_xlfn.XLOOKUP($D17,MENA!$C:$C,MENA!$AW:$AW,""),""),IFERROR(_xlfn.XLOOKUP($D17,UK!$C:$C,UK!$BA:$BA,""),""),IFERROR(_xlfn.XLOOKUP($D17,BMM_Order!$C:$C,BMM_Order!$BA:$BA,""),""),IFERROR(_xlfn.XLOOKUP($D17,'Adhoc-_Backlog'!$C:$C,'Adhoc-_Backlog'!$BD:$BD,""),""))</f>
        <v/>
      </c>
      <c r="BH17" s="67">
        <f>_xlfn.XLOOKUP(D17,Raw_Data!A:A,Raw_Data!B:B)</f>
        <v>2754</v>
      </c>
      <c r="BI17" s="68">
        <f t="shared" si="7"/>
        <v>4.0826814648633416</v>
      </c>
      <c r="BJ17" s="67">
        <f t="shared" si="8"/>
        <v>10</v>
      </c>
      <c r="BK17" s="57" t="str">
        <f t="shared" si="9"/>
        <v>P1 – Critical</v>
      </c>
    </row>
    <row r="18" spans="1:64" ht="13">
      <c r="A18" s="44">
        <f>3</f>
        <v>3</v>
      </c>
      <c r="B18" s="45" t="s">
        <v>12</v>
      </c>
      <c r="C18" s="45"/>
      <c r="D18" s="46" t="str">
        <f>Projection_!A6</f>
        <v>FG00703</v>
      </c>
      <c r="E18" s="47" t="str">
        <f>Projection_!B6</f>
        <v>A2 Cultured Ghee - 100 ml</v>
      </c>
      <c r="F18" s="48">
        <v>0.1</v>
      </c>
      <c r="G18" s="49">
        <f>IFERROR(_xlfn.XLOOKUP($D18,Projection_!$A:$A,Projection_!$J:$J),0)</f>
        <v>13966.7</v>
      </c>
      <c r="H18" s="49">
        <f>IFERROR(_xlfn.XLOOKUP($D18,Projection_!$A:$A,Projection_!$K:$K),0)</f>
        <v>0</v>
      </c>
      <c r="I18" s="49">
        <f>IFERROR(_xlfn.XLOOKUP($D18,Projection_!$A:$A,Projection_!$L:$L),0)</f>
        <v>0</v>
      </c>
      <c r="J18" s="49">
        <f>IFERROR(_xlfn.XLOOKUP($D18,Projection_!$A:$A,Projection_!$M:$M),0)</f>
        <v>0</v>
      </c>
      <c r="K18" s="49">
        <f>IFERROR(_xlfn.XLOOKUP($D18,Projection_!$A:$A,Projection_!$Q:$Q),0)</f>
        <v>0</v>
      </c>
      <c r="L18" s="49">
        <f>IFERROR(_xlfn.XLOOKUP($D18,Projection_!$A:$A,Projection_!$R:$R),0)</f>
        <v>0</v>
      </c>
      <c r="M18" s="49">
        <f>IFERROR(_xlfn.XLOOKUP($D18,Projection_!$A:$A,Projection_!$O:$O),0)</f>
        <v>0</v>
      </c>
      <c r="N18" s="49">
        <f>IFERROR(_xlfn.XLOOKUP($D18,Projection_!$A:$A,Projection_!$P:$P),0)</f>
        <v>111</v>
      </c>
      <c r="O18" s="50">
        <f t="shared" si="1"/>
        <v>14077.7</v>
      </c>
      <c r="P18" s="51">
        <f>SUM(IFERROR(_xlfn.XLOOKUP($D18,Domestic!$C:$C,Domestic!I:I),0),IFERROR(_xlfn.XLOOKUP($D18,'INT-_Manjiri'!$C:$C,'INT-_Manjiri'!H:H),0),IFERROR(_xlfn.XLOOKUP($D18,'USA-_Sea_shipment'!$C:$C,'USA-_Sea_shipment'!H:H),0),IFERROR(_xlfn.XLOOKUP($D18,Amazon_USA_Sea!$C:$C,Amazon_USA_Sea!H:H),0),IFERROR(_xlfn.XLOOKUP($D18,USA_Air_Shipment!$C:$C,USA_Air_Shipment!G:G),0),IFERROR(_xlfn.XLOOKUP($D18,Amazon_USA_Air_Shipment!$C:$C,Amazon_USA_Air_Shipment!G:G),0),IFERROR(_xlfn.XLOOKUP($D18,MENA!$C:$C,MENA!G:G),0),IFERROR(_xlfn.XLOOKUP($D18,UK!$C:$C,UK!G:G),0),IFERROR(_xlfn.XLOOKUP($D18,BMM_Order!$C:$C,BMM_Order!G:G),0),IFERROR(_xlfn.XLOOKUP($D18,'Adhoc-_Backlog'!$C:$C,'Adhoc-_Backlog'!I:I),0))</f>
        <v>0</v>
      </c>
      <c r="Q18" s="51">
        <f>SUM(IFERROR(_xlfn.XLOOKUP($D18,Domestic!$C:$C,Domestic!J:J),0),IFERROR(_xlfn.XLOOKUP($D18,'INT-_Manjiri'!$C:$C,'INT-_Manjiri'!I:I),0),IFERROR(_xlfn.XLOOKUP($D18,'USA-_Sea_shipment'!$C:$C,'USA-_Sea_shipment'!I:I),0),IFERROR(_xlfn.XLOOKUP($D18,Amazon_USA_Sea!$C:$C,Amazon_USA_Sea!I:I),0),IFERROR(_xlfn.XLOOKUP($D18,USA_Air_Shipment!$C:$C,USA_Air_Shipment!H:H),0),IFERROR(_xlfn.XLOOKUP($D18,Amazon_USA_Air_Shipment!$C:$C,Amazon_USA_Air_Shipment!H:H),0),IFERROR(_xlfn.XLOOKUP($D18,MENA!$C:$C,MENA!H:H),0),IFERROR(_xlfn.XLOOKUP($D18,UK!$C:$C,UK!H:H),0),IFERROR(_xlfn.XLOOKUP($D18,BMM_Order!$C:$C,BMM_Order!H:H),0),IFERROR(_xlfn.XLOOKUP($D18,'Adhoc-_Backlog'!$C:$C,'Adhoc-_Backlog'!J:J),0))</f>
        <v>0</v>
      </c>
      <c r="R18" s="51">
        <f>SUM(IFERROR(_xlfn.XLOOKUP($D18,Domestic!$C:$C,Domestic!K:K),0),IFERROR(_xlfn.XLOOKUP($D18,'INT-_Manjiri'!$C:$C,'INT-_Manjiri'!J:J),0),IFERROR(_xlfn.XLOOKUP($D18,'USA-_Sea_shipment'!$C:$C,'USA-_Sea_shipment'!J:J),0),IFERROR(_xlfn.XLOOKUP($D18,Amazon_USA_Sea!$C:$C,Amazon_USA_Sea!J:J),0),IFERROR(_xlfn.XLOOKUP($D18,USA_Air_Shipment!$C:$C,USA_Air_Shipment!I:I),0),IFERROR(_xlfn.XLOOKUP($D18,Amazon_USA_Air_Shipment!$C:$C,Amazon_USA_Air_Shipment!I:I),0),IFERROR(_xlfn.XLOOKUP($D18,MENA!$C:$C,MENA!I:I),0),IFERROR(_xlfn.XLOOKUP($D18,UK!$C:$C,UK!I:I),0),IFERROR(_xlfn.XLOOKUP($D18,BMM_Order!$C:$C,BMM_Order!I:I),0),IFERROR(_xlfn.XLOOKUP($D18,'Adhoc-_Backlog'!$C:$C,'Adhoc-_Backlog'!K:K),0))</f>
        <v>0</v>
      </c>
      <c r="S18" s="51">
        <f>SUM(IFERROR(_xlfn.XLOOKUP($D18,Domestic!$C:$C,Domestic!L:L),0),IFERROR(_xlfn.XLOOKUP($D18,'INT-_Manjiri'!$C:$C,'INT-_Manjiri'!K:K),0),IFERROR(_xlfn.XLOOKUP($D18,'USA-_Sea_shipment'!$C:$C,'USA-_Sea_shipment'!K:K),0),IFERROR(_xlfn.XLOOKUP($D18,Amazon_USA_Sea!$C:$C,Amazon_USA_Sea!K:K),0),IFERROR(_xlfn.XLOOKUP($D18,USA_Air_Shipment!$C:$C,USA_Air_Shipment!J:J),0),IFERROR(_xlfn.XLOOKUP($D18,Amazon_USA_Air_Shipment!$C:$C,Amazon_USA_Air_Shipment!J:J),0),IFERROR(_xlfn.XLOOKUP($D18,MENA!$C:$C,MENA!J:J),0),IFERROR(_xlfn.XLOOKUP($D18,UK!$C:$C,UK!J:J),0),IFERROR(_xlfn.XLOOKUP($D18,BMM_Order!$C:$C,BMM_Order!J:J),0),IFERROR(_xlfn.XLOOKUP($D18,'Adhoc-_Backlog'!$C:$C,'Adhoc-_Backlog'!L:L),0))</f>
        <v>0</v>
      </c>
      <c r="T18" s="51">
        <f>SUM(IFERROR(_xlfn.XLOOKUP($D18,Domestic!$C:$C,Domestic!M:M),0),IFERROR(_xlfn.XLOOKUP($D18,'INT-_Manjiri'!$C:$C,'INT-_Manjiri'!L:L),0),IFERROR(_xlfn.XLOOKUP($D18,'USA-_Sea_shipment'!$C:$C,'USA-_Sea_shipment'!L:L),0),IFERROR(_xlfn.XLOOKUP($D18,Amazon_USA_Sea!$C:$C,Amazon_USA_Sea!L:L),0),IFERROR(_xlfn.XLOOKUP($D18,USA_Air_Shipment!$C:$C,USA_Air_Shipment!K:K),0),IFERROR(_xlfn.XLOOKUP($D18,Amazon_USA_Air_Shipment!$C:$C,Amazon_USA_Air_Shipment!K:K),0),IFERROR(_xlfn.XLOOKUP($D18,MENA!$C:$C,MENA!K:K),0),IFERROR(_xlfn.XLOOKUP($D18,UK!$C:$C,UK!K:K),0),IFERROR(_xlfn.XLOOKUP($D18,BMM_Order!$C:$C,BMM_Order!K:K),0),IFERROR(_xlfn.XLOOKUP($D18,'Adhoc-_Backlog'!$C:$C,'Adhoc-_Backlog'!M:M),0))</f>
        <v>0</v>
      </c>
      <c r="U18" s="51">
        <f>SUM(IFERROR(_xlfn.XLOOKUP($D18,Domestic!$C:$C,Domestic!N:N),0),IFERROR(_xlfn.XLOOKUP($D18,'INT-_Manjiri'!$C:$C,'INT-_Manjiri'!M:M),0),IFERROR(_xlfn.XLOOKUP($D18,'USA-_Sea_shipment'!$C:$C,'USA-_Sea_shipment'!M:M),0),IFERROR(_xlfn.XLOOKUP($D18,Amazon_USA_Sea!$C:$C,Amazon_USA_Sea!M:M),0),IFERROR(_xlfn.XLOOKUP($D18,USA_Air_Shipment!$C:$C,USA_Air_Shipment!L:L),0),IFERROR(_xlfn.XLOOKUP($D18,Amazon_USA_Air_Shipment!$C:$C,Amazon_USA_Air_Shipment!L:L),0),IFERROR(_xlfn.XLOOKUP($D18,MENA!$C:$C,MENA!L:L),0),IFERROR(_xlfn.XLOOKUP($D18,UK!$C:$C,UK!L:L),0),IFERROR(_xlfn.XLOOKUP($D18,BMM_Order!$C:$C,BMM_Order!L:L),0),IFERROR(_xlfn.XLOOKUP($D18,'Adhoc-_Backlog'!$C:$C,'Adhoc-_Backlog'!N:N),0))</f>
        <v>0</v>
      </c>
      <c r="V18" s="51">
        <f>SUM(IFERROR(_xlfn.XLOOKUP($D18,Domestic!$C:$C,Domestic!O:O),0),IFERROR(_xlfn.XLOOKUP($D18,'INT-_Manjiri'!$C:$C,'INT-_Manjiri'!N:N),0),IFERROR(_xlfn.XLOOKUP($D18,'USA-_Sea_shipment'!$C:$C,'USA-_Sea_shipment'!N:N),0),IFERROR(_xlfn.XLOOKUP($D18,Amazon_USA_Sea!$C:$C,Amazon_USA_Sea!N:N),0),IFERROR(_xlfn.XLOOKUP($D18,USA_Air_Shipment!$C:$C,USA_Air_Shipment!M:M),0),IFERROR(_xlfn.XLOOKUP($D18,Amazon_USA_Air_Shipment!$C:$C,Amazon_USA_Air_Shipment!M:M),0),IFERROR(_xlfn.XLOOKUP($D18,MENA!$C:$C,MENA!M:M),0),IFERROR(_xlfn.XLOOKUP($D18,UK!$C:$C,UK!M:M),0),IFERROR(_xlfn.XLOOKUP($D18,BMM_Order!$C:$C,BMM_Order!M:M),0),IFERROR(_xlfn.XLOOKUP($D18,'Adhoc-_Backlog'!$C:$C,'Adhoc-_Backlog'!O:O),0))</f>
        <v>0</v>
      </c>
      <c r="W18" s="51">
        <f>SUM(IFERROR(_xlfn.XLOOKUP($D18,Domestic!$C:$C,Domestic!P:P),0),IFERROR(_xlfn.XLOOKUP($D18,'INT-_Manjiri'!$C:$C,'INT-_Manjiri'!O:O),0),IFERROR(_xlfn.XLOOKUP($D18,'USA-_Sea_shipment'!$C:$C,'USA-_Sea_shipment'!O:O),0),IFERROR(_xlfn.XLOOKUP($D18,Amazon_USA_Sea!$C:$C,Amazon_USA_Sea!O:O),0),IFERROR(_xlfn.XLOOKUP($D18,USA_Air_Shipment!$C:$C,USA_Air_Shipment!N:N),0),IFERROR(_xlfn.XLOOKUP($D18,Amazon_USA_Air_Shipment!$C:$C,Amazon_USA_Air_Shipment!N:N),0),IFERROR(_xlfn.XLOOKUP($D18,MENA!$C:$C,MENA!N:N),0),IFERROR(_xlfn.XLOOKUP($D18,UK!$C:$C,UK!N:N),0),IFERROR(_xlfn.XLOOKUP($D18,BMM_Order!$C:$C,BMM_Order!N:N),0),IFERROR(_xlfn.XLOOKUP($D18,'Adhoc-_Backlog'!$C:$C,'Adhoc-_Backlog'!P:P),0))</f>
        <v>0</v>
      </c>
      <c r="X18" s="51">
        <f>SUM(IFERROR(_xlfn.XLOOKUP($D18,Domestic!$C:$C,Domestic!Q:Q),0),IFERROR(_xlfn.XLOOKUP($D18,'INT-_Manjiri'!$C:$C,'INT-_Manjiri'!P:P),0),IFERROR(_xlfn.XLOOKUP($D18,'USA-_Sea_shipment'!$C:$C,'USA-_Sea_shipment'!P:P),0),IFERROR(_xlfn.XLOOKUP($D18,Amazon_USA_Sea!$C:$C,Amazon_USA_Sea!P:P),0),IFERROR(_xlfn.XLOOKUP($D18,USA_Air_Shipment!$C:$C,USA_Air_Shipment!O:O),0),IFERROR(_xlfn.XLOOKUP($D18,Amazon_USA_Air_Shipment!$C:$C,Amazon_USA_Air_Shipment!O:O),0),IFERROR(_xlfn.XLOOKUP($D18,MENA!$C:$C,MENA!O:O),0),IFERROR(_xlfn.XLOOKUP($D18,UK!$C:$C,UK!O:O),0),IFERROR(_xlfn.XLOOKUP($D18,BMM_Order!$C:$C,BMM_Order!O:O),0),IFERROR(_xlfn.XLOOKUP($D18,'Adhoc-_Backlog'!$C:$C,'Adhoc-_Backlog'!Q:Q),0))</f>
        <v>0</v>
      </c>
      <c r="Y18" s="51">
        <f>SUM(IFERROR(_xlfn.XLOOKUP($D18,Domestic!$C:$C,Domestic!R:R),0),IFERROR(_xlfn.XLOOKUP($D18,'INT-_Manjiri'!$C:$C,'INT-_Manjiri'!Q:Q),0),IFERROR(_xlfn.XLOOKUP($D18,'USA-_Sea_shipment'!$C:$C,'USA-_Sea_shipment'!Q:Q),0),IFERROR(_xlfn.XLOOKUP($D18,Amazon_USA_Sea!$C:$C,Amazon_USA_Sea!Q:Q),0),IFERROR(_xlfn.XLOOKUP($D18,USA_Air_Shipment!$C:$C,USA_Air_Shipment!P:P),0),IFERROR(_xlfn.XLOOKUP($D18,Amazon_USA_Air_Shipment!$C:$C,Amazon_USA_Air_Shipment!P:P),0),IFERROR(_xlfn.XLOOKUP($D18,MENA!$C:$C,MENA!P:P),0),IFERROR(_xlfn.XLOOKUP($D18,UK!$C:$C,UK!P:P),0),IFERROR(_xlfn.XLOOKUP($D18,BMM_Order!$C:$C,BMM_Order!P:P),0),IFERROR(_xlfn.XLOOKUP($D18,'Adhoc-_Backlog'!$C:$C,'Adhoc-_Backlog'!R:R),0))</f>
        <v>0</v>
      </c>
      <c r="Z18" s="51">
        <f>SUM(IFERROR(_xlfn.XLOOKUP($D18,Domestic!$C:$C,Domestic!S:S),0),IFERROR(_xlfn.XLOOKUP($D18,'INT-_Manjiri'!$C:$C,'INT-_Manjiri'!R:R),0),IFERROR(_xlfn.XLOOKUP($D18,'USA-_Sea_shipment'!$C:$C,'USA-_Sea_shipment'!R:R),0),IFERROR(_xlfn.XLOOKUP($D18,Amazon_USA_Sea!$C:$C,Amazon_USA_Sea!R:R),0),IFERROR(_xlfn.XLOOKUP($D18,USA_Air_Shipment!$C:$C,USA_Air_Shipment!Q:Q),0),IFERROR(_xlfn.XLOOKUP($D18,Amazon_USA_Air_Shipment!$C:$C,Amazon_USA_Air_Shipment!Q:Q),0),IFERROR(_xlfn.XLOOKUP($D18,MENA!$C:$C,MENA!Q:Q),0),IFERROR(_xlfn.XLOOKUP($D18,UK!$C:$C,UK!Q:Q),0),IFERROR(_xlfn.XLOOKUP($D18,BMM_Order!$C:$C,BMM_Order!Q:Q),0),IFERROR(_xlfn.XLOOKUP($D18,'Adhoc-_Backlog'!$C:$C,'Adhoc-_Backlog'!S:S),0))</f>
        <v>0</v>
      </c>
      <c r="AA18" s="51">
        <f>SUM(IFERROR(_xlfn.XLOOKUP($D18,Domestic!$C:$C,Domestic!T:T),0),IFERROR(_xlfn.XLOOKUP($D18,'INT-_Manjiri'!$C:$C,'INT-_Manjiri'!S:S),0),IFERROR(_xlfn.XLOOKUP($D18,'USA-_Sea_shipment'!$C:$C,'USA-_Sea_shipment'!S:S),0),IFERROR(_xlfn.XLOOKUP($D18,Amazon_USA_Sea!$C:$C,Amazon_USA_Sea!S:S),0),IFERROR(_xlfn.XLOOKUP($D18,USA_Air_Shipment!$C:$C,USA_Air_Shipment!R:R),0),IFERROR(_xlfn.XLOOKUP($D18,Amazon_USA_Air_Shipment!$C:$C,Amazon_USA_Air_Shipment!R:R),0),IFERROR(_xlfn.XLOOKUP($D18,MENA!$C:$C,MENA!R:R),0),IFERROR(_xlfn.XLOOKUP($D18,UK!$C:$C,UK!R:R),0),IFERROR(_xlfn.XLOOKUP($D18,BMM_Order!$C:$C,BMM_Order!R:R),0),IFERROR(_xlfn.XLOOKUP($D18,'Adhoc-_Backlog'!$C:$C,'Adhoc-_Backlog'!T:T),0))</f>
        <v>0</v>
      </c>
      <c r="AB18" s="51">
        <f>SUM(IFERROR(_xlfn.XLOOKUP($D18,Domestic!$C:$C,Domestic!U:U),0),IFERROR(_xlfn.XLOOKUP($D18,'INT-_Manjiri'!$C:$C,'INT-_Manjiri'!T:T),0),IFERROR(_xlfn.XLOOKUP($D18,'USA-_Sea_shipment'!$C:$C,'USA-_Sea_shipment'!T:T),0),IFERROR(_xlfn.XLOOKUP($D18,Amazon_USA_Sea!$C:$C,Amazon_USA_Sea!T:T),0),IFERROR(_xlfn.XLOOKUP($D18,USA_Air_Shipment!$C:$C,USA_Air_Shipment!S:S),0),IFERROR(_xlfn.XLOOKUP($D18,Amazon_USA_Air_Shipment!$C:$C,Amazon_USA_Air_Shipment!S:S),0),IFERROR(_xlfn.XLOOKUP($D18,MENA!$C:$C,MENA!S:S),0),IFERROR(_xlfn.XLOOKUP($D18,UK!$C:$C,UK!S:S),0),IFERROR(_xlfn.XLOOKUP($D18,BMM_Order!$C:$C,BMM_Order!S:S),0),IFERROR(_xlfn.XLOOKUP($D18,'Adhoc-_Backlog'!$C:$C,'Adhoc-_Backlog'!U:U),0))</f>
        <v>0</v>
      </c>
      <c r="AC18" s="51">
        <f>SUM(IFERROR(_xlfn.XLOOKUP($D18,Domestic!$C:$C,Domestic!V:V),0),IFERROR(_xlfn.XLOOKUP($D18,'INT-_Manjiri'!$C:$C,'INT-_Manjiri'!U:U),0),IFERROR(_xlfn.XLOOKUP($D18,'USA-_Sea_shipment'!$C:$C,'USA-_Sea_shipment'!U:U),0),IFERROR(_xlfn.XLOOKUP($D18,Amazon_USA_Sea!$C:$C,Amazon_USA_Sea!U:U),0),IFERROR(_xlfn.XLOOKUP($D18,USA_Air_Shipment!$C:$C,USA_Air_Shipment!T:T),0),IFERROR(_xlfn.XLOOKUP($D18,Amazon_USA_Air_Shipment!$C:$C,Amazon_USA_Air_Shipment!T:T),0),IFERROR(_xlfn.XLOOKUP($D18,MENA!$C:$C,MENA!T:T),0),IFERROR(_xlfn.XLOOKUP($D18,UK!$C:$C,UK!T:T),0),IFERROR(_xlfn.XLOOKUP($D18,BMM_Order!$C:$C,BMM_Order!T:T),0),IFERROR(_xlfn.XLOOKUP($D18,'Adhoc-_Backlog'!$C:$C,'Adhoc-_Backlog'!V:V),0))</f>
        <v>0</v>
      </c>
      <c r="AD18" s="51">
        <f>SUM(IFERROR(_xlfn.XLOOKUP($D18,Domestic!$C:$C,Domestic!W:W),0),IFERROR(_xlfn.XLOOKUP($D18,'INT-_Manjiri'!$C:$C,'INT-_Manjiri'!V:V),0),IFERROR(_xlfn.XLOOKUP($D18,'USA-_Sea_shipment'!$C:$C,'USA-_Sea_shipment'!V:V),0),IFERROR(_xlfn.XLOOKUP($D18,Amazon_USA_Sea!$C:$C,Amazon_USA_Sea!V:V),0),IFERROR(_xlfn.XLOOKUP($D18,USA_Air_Shipment!$C:$C,USA_Air_Shipment!U:U),0),IFERROR(_xlfn.XLOOKUP($D18,Amazon_USA_Air_Shipment!$C:$C,Amazon_USA_Air_Shipment!U:U),0),IFERROR(_xlfn.XLOOKUP($D18,MENA!$C:$C,MENA!U:U),0),IFERROR(_xlfn.XLOOKUP($D18,UK!$C:$C,UK!U:U),0),IFERROR(_xlfn.XLOOKUP($D18,BMM_Order!$C:$C,BMM_Order!U:U),0),IFERROR(_xlfn.XLOOKUP($D18,'Adhoc-_Backlog'!$C:$C,'Adhoc-_Backlog'!W:W),0))</f>
        <v>0</v>
      </c>
      <c r="AE18" s="51">
        <f>SUM(IFERROR(_xlfn.XLOOKUP($D18,Domestic!$C:$C,Domestic!X:X),0),IFERROR(_xlfn.XLOOKUP($D18,'INT-_Manjiri'!$C:$C,'INT-_Manjiri'!W:W),0),IFERROR(_xlfn.XLOOKUP($D18,'USA-_Sea_shipment'!$C:$C,'USA-_Sea_shipment'!W:W),0),IFERROR(_xlfn.XLOOKUP($D18,Amazon_USA_Sea!$C:$C,Amazon_USA_Sea!W:W),0),IFERROR(_xlfn.XLOOKUP($D18,USA_Air_Shipment!$C:$C,USA_Air_Shipment!V:V),0),IFERROR(_xlfn.XLOOKUP($D18,Amazon_USA_Air_Shipment!$C:$C,Amazon_USA_Air_Shipment!V:V),0),IFERROR(_xlfn.XLOOKUP($D18,MENA!$C:$C,MENA!V:V),0),IFERROR(_xlfn.XLOOKUP($D18,UK!$C:$C,UK!V:V),0),IFERROR(_xlfn.XLOOKUP($D18,BMM_Order!$C:$C,BMM_Order!V:V),0),IFERROR(_xlfn.XLOOKUP($D18,'Adhoc-_Backlog'!$C:$C,'Adhoc-_Backlog'!X:X),0))</f>
        <v>3101</v>
      </c>
      <c r="AF18" s="51">
        <f>SUM(IFERROR(_xlfn.XLOOKUP($D18,Domestic!$C:$C,Domestic!Y:Y),0),IFERROR(_xlfn.XLOOKUP($D18,'INT-_Manjiri'!$C:$C,'INT-_Manjiri'!X:X),0),IFERROR(_xlfn.XLOOKUP($D18,'USA-_Sea_shipment'!$C:$C,'USA-_Sea_shipment'!X:X),0),IFERROR(_xlfn.XLOOKUP($D18,Amazon_USA_Sea!$C:$C,Amazon_USA_Sea!X:X),0),IFERROR(_xlfn.XLOOKUP($D18,USA_Air_Shipment!$C:$C,USA_Air_Shipment!W:W),0),IFERROR(_xlfn.XLOOKUP($D18,Amazon_USA_Air_Shipment!$C:$C,Amazon_USA_Air_Shipment!W:W),0),IFERROR(_xlfn.XLOOKUP($D18,MENA!$C:$C,MENA!W:W),0),IFERROR(_xlfn.XLOOKUP($D18,UK!$C:$C,UK!W:W),0),IFERROR(_xlfn.XLOOKUP($D18,BMM_Order!$C:$C,BMM_Order!W:W),0),IFERROR(_xlfn.XLOOKUP($D18,'Adhoc-_Backlog'!$C:$C,'Adhoc-_Backlog'!Y:Y),0))</f>
        <v>1548</v>
      </c>
      <c r="AG18" s="51">
        <f>SUM(IFERROR(_xlfn.XLOOKUP($D18,Domestic!$C:$C,Domestic!Z:Z),0),IFERROR(_xlfn.XLOOKUP($D18,'INT-_Manjiri'!$C:$C,'INT-_Manjiri'!Y:Y),0),IFERROR(_xlfn.XLOOKUP($D18,'USA-_Sea_shipment'!$C:$C,'USA-_Sea_shipment'!Y:Y),0),IFERROR(_xlfn.XLOOKUP($D18,Amazon_USA_Sea!$C:$C,Amazon_USA_Sea!Y:Y),0),IFERROR(_xlfn.XLOOKUP($D18,USA_Air_Shipment!$C:$C,USA_Air_Shipment!X:X),0),IFERROR(_xlfn.XLOOKUP($D18,Amazon_USA_Air_Shipment!$C:$C,Amazon_USA_Air_Shipment!X:X),0),IFERROR(_xlfn.XLOOKUP($D18,MENA!$C:$C,MENA!X:X),0),IFERROR(_xlfn.XLOOKUP($D18,UK!$C:$C,UK!X:X),0),IFERROR(_xlfn.XLOOKUP($D18,BMM_Order!$C:$C,BMM_Order!X:X),0),IFERROR(_xlfn.XLOOKUP($D18,'Adhoc-_Backlog'!$C:$C,'Adhoc-_Backlog'!Z:Z),0))</f>
        <v>400</v>
      </c>
      <c r="AH18" s="51">
        <f>SUM(IFERROR(_xlfn.XLOOKUP($D18,Domestic!$C:$C,Domestic!AA:AA),0),IFERROR(_xlfn.XLOOKUP($D18,'INT-_Manjiri'!$C:$C,'INT-_Manjiri'!Z:Z),0),IFERROR(_xlfn.XLOOKUP($D18,'USA-_Sea_shipment'!$C:$C,'USA-_Sea_shipment'!Z:Z),0),IFERROR(_xlfn.XLOOKUP($D18,Amazon_USA_Sea!$C:$C,Amazon_USA_Sea!Z:Z),0),IFERROR(_xlfn.XLOOKUP($D18,USA_Air_Shipment!$C:$C,USA_Air_Shipment!Y:Y),0),IFERROR(_xlfn.XLOOKUP($D18,Amazon_USA_Air_Shipment!$C:$C,Amazon_USA_Air_Shipment!Y:Y),0),IFERROR(_xlfn.XLOOKUP($D18,MENA!$C:$C,MENA!Y:Y),0),IFERROR(_xlfn.XLOOKUP($D18,UK!$C:$C,UK!Y:Y),0),IFERROR(_xlfn.XLOOKUP($D18,BMM_Order!$C:$C,BMM_Order!Y:Y),0),IFERROR(_xlfn.XLOOKUP($D18,'Adhoc-_Backlog'!$C:$C,'Adhoc-_Backlog'!AA:AA),0))</f>
        <v>1236</v>
      </c>
      <c r="AI18" s="51">
        <f>SUM(IFERROR(_xlfn.XLOOKUP($D18,Domestic!$C:$C,Domestic!AB:AB),0),IFERROR(_xlfn.XLOOKUP($D18,'INT-_Manjiri'!$C:$C,'INT-_Manjiri'!AA:AA),0),IFERROR(_xlfn.XLOOKUP($D18,'USA-_Sea_shipment'!$C:$C,'USA-_Sea_shipment'!AA:AA),0),IFERROR(_xlfn.XLOOKUP($D18,Amazon_USA_Sea!$C:$C,Amazon_USA_Sea!AA:AA),0),IFERROR(_xlfn.XLOOKUP($D18,USA_Air_Shipment!$C:$C,USA_Air_Shipment!Z:Z),0),IFERROR(_xlfn.XLOOKUP($D18,Amazon_USA_Air_Shipment!$C:$C,Amazon_USA_Air_Shipment!Z:Z),0),IFERROR(_xlfn.XLOOKUP($D18,MENA!$C:$C,MENA!Z:Z),0),IFERROR(_xlfn.XLOOKUP($D18,UK!$C:$C,UK!Z:Z),0),IFERROR(_xlfn.XLOOKUP($D18,BMM_Order!$C:$C,BMM_Order!Z:Z),0),IFERROR(_xlfn.XLOOKUP($D18,'Adhoc-_Backlog'!$C:$C,'Adhoc-_Backlog'!AB:AB),0))</f>
        <v>1050</v>
      </c>
      <c r="AJ18" s="51">
        <f>SUM(IFERROR(_xlfn.XLOOKUP($D18,Domestic!$C:$C,Domestic!AC:AC),0),IFERROR(_xlfn.XLOOKUP($D18,'INT-_Manjiri'!$C:$C,'INT-_Manjiri'!AB:AB),0),IFERROR(_xlfn.XLOOKUP($D18,'USA-_Sea_shipment'!$C:$C,'USA-_Sea_shipment'!AB:AB),0),IFERROR(_xlfn.XLOOKUP($D18,Amazon_USA_Sea!$C:$C,Amazon_USA_Sea!AB:AB),0),IFERROR(_xlfn.XLOOKUP($D18,USA_Air_Shipment!$C:$C,USA_Air_Shipment!AA:AA),0),IFERROR(_xlfn.XLOOKUP($D18,Amazon_USA_Air_Shipment!$C:$C,Amazon_USA_Air_Shipment!AA:AA),0),IFERROR(_xlfn.XLOOKUP($D18,MENA!$C:$C,MENA!AA:AA),0),IFERROR(_xlfn.XLOOKUP($D18,UK!$C:$C,UK!AA:AA),0),IFERROR(_xlfn.XLOOKUP($D18,BMM_Order!$C:$C,BMM_Order!AA:AA),0),IFERROR(_xlfn.XLOOKUP($D18,'Adhoc-_Backlog'!$C:$C,'Adhoc-_Backlog'!AC:AC),0))</f>
        <v>0</v>
      </c>
      <c r="AK18" s="51">
        <f>SUM(IFERROR(_xlfn.XLOOKUP($D18,Domestic!$C:$C,Domestic!AD:AD),0),IFERROR(_xlfn.XLOOKUP($D18,'INT-_Manjiri'!$C:$C,'INT-_Manjiri'!AC:AC),0),IFERROR(_xlfn.XLOOKUP($D18,'USA-_Sea_shipment'!$C:$C,'USA-_Sea_shipment'!AC:AC),0),IFERROR(_xlfn.XLOOKUP($D18,Amazon_USA_Sea!$C:$C,Amazon_USA_Sea!AC:AC),0),IFERROR(_xlfn.XLOOKUP($D18,USA_Air_Shipment!$C:$C,USA_Air_Shipment!AB:AB),0),IFERROR(_xlfn.XLOOKUP($D18,Amazon_USA_Air_Shipment!$C:$C,Amazon_USA_Air_Shipment!AB:AB),0),IFERROR(_xlfn.XLOOKUP($D18,MENA!$C:$C,MENA!AB:AB),0),IFERROR(_xlfn.XLOOKUP($D18,UK!$C:$C,UK!AB:AB),0),IFERROR(_xlfn.XLOOKUP($D18,BMM_Order!$C:$C,BMM_Order!AB:AB),0),IFERROR(_xlfn.XLOOKUP($D18,'Adhoc-_Backlog'!$C:$C,'Adhoc-_Backlog'!AD:AD),0))</f>
        <v>0</v>
      </c>
      <c r="AL18" s="51">
        <f>SUM(IFERROR(_xlfn.XLOOKUP($D18,Domestic!$C:$C,Domestic!AE:AE),0),IFERROR(_xlfn.XLOOKUP($D18,'INT-_Manjiri'!$C:$C,'INT-_Manjiri'!AD:AD),0),IFERROR(_xlfn.XLOOKUP($D18,'USA-_Sea_shipment'!$C:$C,'USA-_Sea_shipment'!AD:AD),0),IFERROR(_xlfn.XLOOKUP($D18,Amazon_USA_Sea!$C:$C,Amazon_USA_Sea!AD:AD),0),IFERROR(_xlfn.XLOOKUP($D18,USA_Air_Shipment!$C:$C,USA_Air_Shipment!AC:AC),0),IFERROR(_xlfn.XLOOKUP($D18,Amazon_USA_Air_Shipment!$C:$C,Amazon_USA_Air_Shipment!AC:AC),0),IFERROR(_xlfn.XLOOKUP($D18,MENA!$C:$C,MENA!AC:AC),0),IFERROR(_xlfn.XLOOKUP($D18,UK!$C:$C,UK!AC:AC),0),IFERROR(_xlfn.XLOOKUP($D18,BMM_Order!$C:$C,BMM_Order!AC:AC),0),IFERROR(_xlfn.XLOOKUP($D18,'Adhoc-_Backlog'!$C:$C,'Adhoc-_Backlog'!AE:AE),0))</f>
        <v>1620</v>
      </c>
      <c r="AM18" s="51">
        <v>1589</v>
      </c>
      <c r="AN18" s="51">
        <f>SUM(IFERROR(_xlfn.XLOOKUP($D18,Domestic!$C:$C,Domestic!AG:AG),0),IFERROR(_xlfn.XLOOKUP($D18,'INT-_Manjiri'!$C:$C,'INT-_Manjiri'!AF:AF),0),IFERROR(_xlfn.XLOOKUP($D18,'USA-_Sea_shipment'!$C:$C,'USA-_Sea_shipment'!AF:AF),0),IFERROR(_xlfn.XLOOKUP($D18,Amazon_USA_Sea!$C:$C,Amazon_USA_Sea!AF:AF),0),IFERROR(_xlfn.XLOOKUP($D18,USA_Air_Shipment!$C:$C,USA_Air_Shipment!AE:AE),0),IFERROR(_xlfn.XLOOKUP($D18,Amazon_USA_Air_Shipment!$C:$C,Amazon_USA_Air_Shipment!AE:AE),0),IFERROR(_xlfn.XLOOKUP($D18,MENA!$C:$C,MENA!AE:AE),0),IFERROR(_xlfn.XLOOKUP($D18,UK!$C:$C,UK!AE:AE),0),IFERROR(_xlfn.XLOOKUP($D18,BMM_Order!$C:$C,BMM_Order!AE:AE),0),IFERROR(_xlfn.XLOOKUP($D18,'Adhoc-_Backlog'!$C:$C,'Adhoc-_Backlog'!AG:AG),0))</f>
        <v>139</v>
      </c>
      <c r="AO18" s="51">
        <f>SUM(IFERROR(_xlfn.XLOOKUP($D18,Domestic!$C:$C,Domestic!AH:AH),0),IFERROR(_xlfn.XLOOKUP($D18,'INT-_Manjiri'!$C:$C,'INT-_Manjiri'!AG:AG),0),IFERROR(_xlfn.XLOOKUP($D18,'USA-_Sea_shipment'!$C:$C,'USA-_Sea_shipment'!AG:AG),0),IFERROR(_xlfn.XLOOKUP($D18,Amazon_USA_Sea!$C:$C,Amazon_USA_Sea!AG:AG),0),IFERROR(_xlfn.XLOOKUP($D18,USA_Air_Shipment!$C:$C,USA_Air_Shipment!AF:AF),0),IFERROR(_xlfn.XLOOKUP($D18,Amazon_USA_Air_Shipment!$C:$C,Amazon_USA_Air_Shipment!AF:AF),0),IFERROR(_xlfn.XLOOKUP($D18,MENA!$C:$C,MENA!AF:AF),0),IFERROR(_xlfn.XLOOKUP($D18,UK!$C:$C,UK!AF:AF),0),IFERROR(_xlfn.XLOOKUP($D18,BMM_Order!$C:$C,BMM_Order!AF:AF),0),IFERROR(_xlfn.XLOOKUP($D18,'Adhoc-_Backlog'!$C:$C,'Adhoc-_Backlog'!AH:AH),0))</f>
        <v>0</v>
      </c>
      <c r="AP18" s="51">
        <f>SUM(IFERROR(_xlfn.XLOOKUP($D18,Domestic!$C:$C,Domestic!AI:AI),0),IFERROR(_xlfn.XLOOKUP($D18,'INT-_Manjiri'!$C:$C,'INT-_Manjiri'!AH:AH),0),IFERROR(_xlfn.XLOOKUP($D18,'USA-_Sea_shipment'!$C:$C,'USA-_Sea_shipment'!AH:AH),0),IFERROR(_xlfn.XLOOKUP($D18,Amazon_USA_Sea!$C:$C,Amazon_USA_Sea!AH:AH),0),IFERROR(_xlfn.XLOOKUP($D18,USA_Air_Shipment!$C:$C,USA_Air_Shipment!AG:AG),0),IFERROR(_xlfn.XLOOKUP($D18,Amazon_USA_Air_Shipment!$C:$C,Amazon_USA_Air_Shipment!AG:AG),0),IFERROR(_xlfn.XLOOKUP($D18,MENA!$C:$C,MENA!AG:AG),0),IFERROR(_xlfn.XLOOKUP($D18,UK!$C:$C,UK!AG:AG),0),IFERROR(_xlfn.XLOOKUP($D18,BMM_Order!$C:$C,BMM_Order!AG:AG),0),IFERROR(_xlfn.XLOOKUP($D18,'Adhoc-_Backlog'!$C:$C,'Adhoc-_Backlog'!AI:AI),0))</f>
        <v>0</v>
      </c>
      <c r="AQ18" s="51">
        <f>SUM(IFERROR(_xlfn.XLOOKUP($D18,Domestic!$C:$C,Domestic!AJ:AJ),0),IFERROR(_xlfn.XLOOKUP($D18,'INT-_Manjiri'!$C:$C,'INT-_Manjiri'!AI:AI),0),IFERROR(_xlfn.XLOOKUP($D18,'USA-_Sea_shipment'!$C:$C,'USA-_Sea_shipment'!AI:AI),0),IFERROR(_xlfn.XLOOKUP($D18,Amazon_USA_Sea!$C:$C,Amazon_USA_Sea!AI:AI),0),IFERROR(_xlfn.XLOOKUP($D18,USA_Air_Shipment!$C:$C,USA_Air_Shipment!AH:AH),0),IFERROR(_xlfn.XLOOKUP($D18,Amazon_USA_Air_Shipment!$C:$C,Amazon_USA_Air_Shipment!AH:AH),0),IFERROR(_xlfn.XLOOKUP($D18,MENA!$C:$C,MENA!AH:AH),0),IFERROR(_xlfn.XLOOKUP($D18,UK!$C:$C,UK!AH:AH),0),IFERROR(_xlfn.XLOOKUP($D18,BMM_Order!$C:$C,BMM_Order!AH:AH),0),IFERROR(_xlfn.XLOOKUP($D18,'Adhoc-_Backlog'!$C:$C,'Adhoc-_Backlog'!AJ:AJ),0))</f>
        <v>0</v>
      </c>
      <c r="AR18" s="51">
        <f>SUM(IFERROR(_xlfn.XLOOKUP($D18,Domestic!$C:$C,Domestic!AK:AK),0),IFERROR(_xlfn.XLOOKUP($D18,'INT-_Manjiri'!$C:$C,'INT-_Manjiri'!AJ:AJ),0),IFERROR(_xlfn.XLOOKUP($D18,'USA-_Sea_shipment'!$C:$C,'USA-_Sea_shipment'!AJ:AJ),0),IFERROR(_xlfn.XLOOKUP($D18,Amazon_USA_Sea!$C:$C,Amazon_USA_Sea!AJ:AJ),0),IFERROR(_xlfn.XLOOKUP($D18,USA_Air_Shipment!$C:$C,USA_Air_Shipment!AI:AI),0),IFERROR(_xlfn.XLOOKUP($D18,Amazon_USA_Air_Shipment!$C:$C,Amazon_USA_Air_Shipment!AI:AI),0),IFERROR(_xlfn.XLOOKUP($D18,MENA!$C:$C,MENA!AI:AI),0),IFERROR(_xlfn.XLOOKUP($D18,UK!$C:$C,UK!AI:AI),0),IFERROR(_xlfn.XLOOKUP($D18,BMM_Order!$C:$C,BMM_Order!AI:AI),0),IFERROR(_xlfn.XLOOKUP($D18,'Adhoc-_Backlog'!$C:$C,'Adhoc-_Backlog'!AK:AK),0))</f>
        <v>0</v>
      </c>
      <c r="AS18" s="51">
        <f>SUM(IFERROR(_xlfn.XLOOKUP($D18,Domestic!$C:$C,Domestic!AL:AL),0),IFERROR(_xlfn.XLOOKUP($D18,'INT-_Manjiri'!$C:$C,'INT-_Manjiri'!AK:AK),0),IFERROR(_xlfn.XLOOKUP($D18,'USA-_Sea_shipment'!$C:$C,'USA-_Sea_shipment'!AK:AK),0),IFERROR(_xlfn.XLOOKUP($D18,Amazon_USA_Sea!$C:$C,Amazon_USA_Sea!AK:AK),0),IFERROR(_xlfn.XLOOKUP($D18,USA_Air_Shipment!$C:$C,USA_Air_Shipment!AJ:AJ),0),IFERROR(_xlfn.XLOOKUP($D18,Amazon_USA_Air_Shipment!$C:$C,Amazon_USA_Air_Shipment!AJ:AJ),0),IFERROR(_xlfn.XLOOKUP($D18,MENA!$C:$C,MENA!AJ:AJ),0),IFERROR(_xlfn.XLOOKUP($D18,UK!$C:$C,UK!AJ:AJ),0),IFERROR(_xlfn.XLOOKUP($D18,BMM_Order!$C:$C,BMM_Order!AJ:AJ),0),IFERROR(_xlfn.XLOOKUP($D18,'Adhoc-_Backlog'!$C:$C,'Adhoc-_Backlog'!AL:AL),0))</f>
        <v>2141</v>
      </c>
      <c r="AT18" s="51">
        <f>SUM(IFERROR(_xlfn.XLOOKUP($D18,Domestic!$C:$C,Domestic!AM:AM),0),IFERROR(_xlfn.XLOOKUP($D18,'INT-_Manjiri'!$C:$C,'INT-_Manjiri'!AL:AL),0),IFERROR(_xlfn.XLOOKUP($D18,'USA-_Sea_shipment'!$C:$C,'USA-_Sea_shipment'!AL:AL),0),IFERROR(_xlfn.XLOOKUP($D18,Amazon_USA_Sea!$C:$C,Amazon_USA_Sea!AL:AL),0),IFERROR(_xlfn.XLOOKUP($D18,USA_Air_Shipment!$C:$C,USA_Air_Shipment!AK:AK),0),IFERROR(_xlfn.XLOOKUP($D18,Amazon_USA_Air_Shipment!$C:$C,Amazon_USA_Air_Shipment!AK:AK),0),IFERROR(_xlfn.XLOOKUP($D18,MENA!$C:$C,MENA!AK:AK),0),IFERROR(_xlfn.XLOOKUP($D18,UK!$C:$C,UK!AK:AK),0),IFERROR(_xlfn.XLOOKUP($D18,BMM_Order!$C:$C,BMM_Order!AK:AK),0),IFERROR(_xlfn.XLOOKUP($D18,'Adhoc-_Backlog'!$C:$C,'Adhoc-_Backlog'!AM:AM),0))</f>
        <v>735</v>
      </c>
      <c r="AU18" s="51">
        <f>SUM(IFERROR(_xlfn.XLOOKUP($D18,Domestic!$C:$C,Domestic!AN:AN),0),IFERROR(_xlfn.XLOOKUP($D18,'INT-_Manjiri'!$C:$C,'INT-_Manjiri'!AM:AM),0),IFERROR(_xlfn.XLOOKUP($D18,'USA-_Sea_shipment'!$C:$C,'USA-_Sea_shipment'!AM:AM),0),IFERROR(_xlfn.XLOOKUP($D18,Amazon_USA_Sea!$C:$C,Amazon_USA_Sea!AM:AM),0),IFERROR(_xlfn.XLOOKUP($D18,USA_Air_Shipment!$C:$C,USA_Air_Shipment!AL:AL),0),IFERROR(_xlfn.XLOOKUP($D18,Amazon_USA_Air_Shipment!$C:$C,Amazon_USA_Air_Shipment!AL:AL),0),IFERROR(_xlfn.XLOOKUP($D18,MENA!$C:$C,MENA!AL:AL),0),IFERROR(_xlfn.XLOOKUP($D18,UK!$C:$C,UK!AL:AL),0),IFERROR(_xlfn.XLOOKUP($D18,BMM_Order!$C:$C,BMM_Order!AL:AL),0),IFERROR(_xlfn.XLOOKUP($D18,'Adhoc-_Backlog'!$C:$C,'Adhoc-_Backlog'!AN:AN),0))</f>
        <v>0</v>
      </c>
      <c r="AV18" s="51">
        <f>SUM(IFERROR(_xlfn.XLOOKUP($D18,Domestic!$C:$C,Domestic!AO:AO),0),IFERROR(_xlfn.XLOOKUP($D18,'INT-_Manjiri'!$C:$C,'INT-_Manjiri'!AN:AN),0),IFERROR(_xlfn.XLOOKUP($D18,'USA-_Sea_shipment'!$C:$C,'USA-_Sea_shipment'!AN:AN),0),IFERROR(_xlfn.XLOOKUP($D18,Amazon_USA_Sea!$C:$C,Amazon_USA_Sea!AN:AN),0),IFERROR(_xlfn.XLOOKUP($D18,USA_Air_Shipment!$C:$C,USA_Air_Shipment!AM:AM),0),IFERROR(_xlfn.XLOOKUP($D18,Amazon_USA_Air_Shipment!$C:$C,Amazon_USA_Air_Shipment!AM:AM),0),IFERROR(_xlfn.XLOOKUP($D18,MENA!$C:$C,MENA!AM:AM),0),IFERROR(_xlfn.XLOOKUP($D18,UK!$C:$C,UK!AM:AM),0),IFERROR(_xlfn.XLOOKUP($D18,BMM_Order!$C:$C,BMM_Order!AM:AM),0),IFERROR(_xlfn.XLOOKUP($D18,'Adhoc-_Backlog'!$C:$C,'Adhoc-_Backlog'!AO:AO),0))</f>
        <v>0</v>
      </c>
      <c r="AW18" s="51">
        <f>SUM(IFERROR(_xlfn.XLOOKUP($D18,Domestic!$C:$C,Domestic!AP:AP),0),IFERROR(_xlfn.XLOOKUP($D18,'INT-_Manjiri'!$C:$C,'INT-_Manjiri'!AO:AO),0),IFERROR(_xlfn.XLOOKUP($D18,'USA-_Sea_shipment'!$C:$C,'USA-_Sea_shipment'!AO:AO),0),IFERROR(_xlfn.XLOOKUP($D18,Amazon_USA_Sea!$C:$C,Amazon_USA_Sea!AO:AO),0),IFERROR(_xlfn.XLOOKUP($D18,USA_Air_Shipment!$C:$C,USA_Air_Shipment!AN:AN),0),IFERROR(_xlfn.XLOOKUP($D18,Amazon_USA_Air_Shipment!$C:$C,Amazon_USA_Air_Shipment!AN:AN),0),IFERROR(_xlfn.XLOOKUP($D18,MENA!$C:$C,MENA!AN:AN),0),IFERROR(_xlfn.XLOOKUP($D18,UK!$C:$C,UK!AN:AN),0),IFERROR(_xlfn.XLOOKUP($D18,BMM_Order!$C:$C,BMM_Order!AN:AN),0),IFERROR(_xlfn.XLOOKUP($D18,'Adhoc-_Backlog'!$C:$C,'Adhoc-_Backlog'!AP:AP),0))</f>
        <v>0</v>
      </c>
      <c r="AX18" s="51">
        <f>SUM(IFERROR(_xlfn.XLOOKUP($D18,Domestic!$C:$C,Domestic!AQ:AQ),0),IFERROR(_xlfn.XLOOKUP($D18,'INT-_Manjiri'!$C:$C,'INT-_Manjiri'!AP:AP),0),IFERROR(_xlfn.XLOOKUP($D18,'USA-_Sea_shipment'!$C:$C,'USA-_Sea_shipment'!AP:AP),0),IFERROR(_xlfn.XLOOKUP($D18,Amazon_USA_Sea!$C:$C,Amazon_USA_Sea!AP:AP),0),IFERROR(_xlfn.XLOOKUP($D18,USA_Air_Shipment!$C:$C,USA_Air_Shipment!AO:AO),0),IFERROR(_xlfn.XLOOKUP($D18,Amazon_USA_Air_Shipment!$C:$C,Amazon_USA_Air_Shipment!AO:AO),0),IFERROR(_xlfn.XLOOKUP($D18,MENA!$C:$C,MENA!AO:AO),0),IFERROR(_xlfn.XLOOKUP($D18,UK!$C:$C,UK!AO:AO),0),IFERROR(_xlfn.XLOOKUP($D18,BMM_Order!$C:$C,BMM_Order!AO:AO),0),IFERROR(_xlfn.XLOOKUP($D18,'Adhoc-_Backlog'!$C:$C,'Adhoc-_Backlog'!AQ:AQ),0))</f>
        <v>526</v>
      </c>
      <c r="AY18" s="51">
        <f>SUM(IFERROR(_xlfn.XLOOKUP($D18,Domestic!$C:$C,Domestic!AR:AR),0),IFERROR(_xlfn.XLOOKUP($D18,'INT-_Manjiri'!$C:$C,'INT-_Manjiri'!AQ:AQ),0),IFERROR(_xlfn.XLOOKUP($D18,'USA-_Sea_shipment'!$C:$C,'USA-_Sea_shipment'!AQ:AQ),0),IFERROR(_xlfn.XLOOKUP($D18,Amazon_USA_Sea!$C:$C,Amazon_USA_Sea!AQ:AQ),0),IFERROR(_xlfn.XLOOKUP($D18,USA_Air_Shipment!$C:$C,USA_Air_Shipment!AP:AP),0),IFERROR(_xlfn.XLOOKUP($D18,Amazon_USA_Air_Shipment!$C:$C,Amazon_USA_Air_Shipment!AP:AP),0),IFERROR(_xlfn.XLOOKUP($D18,MENA!$C:$C,MENA!AP:AP),0),IFERROR(_xlfn.XLOOKUP($D18,UK!$C:$C,UK!AP:AP),0),IFERROR(_xlfn.XLOOKUP($D18,BMM_Order!$C:$C,BMM_Order!AP:AP),0),IFERROR(_xlfn.XLOOKUP($D18,'Adhoc-_Backlog'!$C:$C,'Adhoc-_Backlog'!AR:AR),0))</f>
        <v>829</v>
      </c>
      <c r="AZ18" s="51">
        <f>SUM(IFERROR(_xlfn.XLOOKUP($D18,Domestic!$C:$C,Domestic!AS:AS),0),IFERROR(_xlfn.XLOOKUP($D18,'INT-_Manjiri'!$C:$C,'INT-_Manjiri'!AR:AR),0),IFERROR(_xlfn.XLOOKUP($D18,'USA-_Sea_shipment'!$C:$C,'USA-_Sea_shipment'!AR:AR),0),IFERROR(_xlfn.XLOOKUP($D18,Amazon_USA_Sea!$C:$C,Amazon_USA_Sea!AR:AR),0),IFERROR(_xlfn.XLOOKUP($D18,USA_Air_Shipment!$C:$C,USA_Air_Shipment!AQ:AQ),0),IFERROR(_xlfn.XLOOKUP($D18,Amazon_USA_Air_Shipment!$C:$C,Amazon_USA_Air_Shipment!AQ:AQ),0),IFERROR(_xlfn.XLOOKUP($D18,MENA!$C:$C,MENA!AQ:AQ),0),IFERROR(_xlfn.XLOOKUP($D18,UK!$C:$C,UK!AQ:AQ),0),IFERROR(_xlfn.XLOOKUP($D18,BMM_Order!$C:$C,BMM_Order!AQ:AQ),0),IFERROR(_xlfn.XLOOKUP($D18,'Adhoc-_Backlog'!$C:$C,'Adhoc-_Backlog'!AS:AS),0))</f>
        <v>0</v>
      </c>
      <c r="BA18" s="51">
        <f>SUM(IFERROR(_xlfn.XLOOKUP($D18,Domestic!$C:$C,Domestic!AT:AT),0),IFERROR(_xlfn.XLOOKUP($D18,'INT-_Manjiri'!$C:$C,'INT-_Manjiri'!AS:AS),0),IFERROR(_xlfn.XLOOKUP($D18,'USA-_Sea_shipment'!$C:$C,'USA-_Sea_shipment'!AS:AS),0),IFERROR(_xlfn.XLOOKUP($D18,Amazon_USA_Sea!$C:$C,Amazon_USA_Sea!AS:AS),0),IFERROR(_xlfn.XLOOKUP($D18,USA_Air_Shipment!$C:$C,USA_Air_Shipment!AR:AR),0),IFERROR(_xlfn.XLOOKUP($D18,Amazon_USA_Air_Shipment!$C:$C,Amazon_USA_Air_Shipment!AR:AR),0),IFERROR(_xlfn.XLOOKUP($D18,MENA!$C:$C,MENA!AR:AR),0),IFERROR(_xlfn.XLOOKUP($D18,UK!$C:$C,UK!AR:AR),0),IFERROR(_xlfn.XLOOKUP($D18,BMM_Order!$C:$C,BMM_Order!AR:AR),0),IFERROR(_xlfn.XLOOKUP($D18,'Adhoc-_Backlog'!$C:$C,'Adhoc-_Backlog'!AT:AT),0))</f>
        <v>0</v>
      </c>
      <c r="BB18" s="52">
        <f t="shared" si="2"/>
        <v>14914</v>
      </c>
      <c r="BC18" s="53">
        <f t="shared" si="3"/>
        <v>1491.4</v>
      </c>
      <c r="BD18" s="51">
        <f t="shared" si="4"/>
        <v>-836.29999999999927</v>
      </c>
      <c r="BE18" s="53">
        <f t="shared" si="5"/>
        <v>-83.629999999999939</v>
      </c>
      <c r="BF18" s="54">
        <f t="shared" si="6"/>
        <v>1.05940601092508</v>
      </c>
      <c r="BG18" s="55" t="str">
        <f>_xlfn.TEXTJOIN(" | ",TRUE,IFERROR(_xlfn.XLOOKUP($D18,Domestic!$C:$C,Domestic!$BG:$BG,""),""),IFERROR(_xlfn.XLOOKUP($D18,'INT-_Manjiri'!$C:$C,'INT-_Manjiri'!$AY:$AY,""),""),IFERROR(_xlfn.XLOOKUP($D18,'USA-_Sea_shipment'!$C:$C,'USA-_Sea_shipment'!#REF!,""),""),IFERROR(_xlfn.XLOOKUP($D18,Amazon_USA_Sea!$C:$C,Amazon_USA_Sea!$AY:$AY,""),""),IFERROR(_xlfn.XLOOKUP($D18,USA_Air_Shipment!$C:$C,USA_Air_Shipment!$AW:$AW,""),""),IFERROR(_xlfn.XLOOKUP($D18,Amazon_USA_Air_Shipment!$C:$C,Amazon_USA_Air_Shipment!$AW:$AW,""),""),IFERROR(_xlfn.XLOOKUP($D18,MENA!$C:$C,MENA!$AW:$AW,""),""),IFERROR(_xlfn.XLOOKUP($D18,UK!$C:$C,UK!$BA:$BA,""),""),IFERROR(_xlfn.XLOOKUP($D18,BMM_Order!$C:$C,BMM_Order!$BA:$BA,""),""),IFERROR(_xlfn.XLOOKUP($D18,'Adhoc-_Backlog'!$C:$C,'Adhoc-_Backlog'!$BD:$BD,""),""))</f>
        <v>PM Available | Done</v>
      </c>
      <c r="BH18" s="55">
        <f>_xlfn.XLOOKUP(D18,Raw_Data!A:A,Raw_Data!B:B)</f>
        <v>4201</v>
      </c>
      <c r="BI18" s="56">
        <f t="shared" si="7"/>
        <v>8.9524567223339027</v>
      </c>
      <c r="BJ18" s="55">
        <f t="shared" si="8"/>
        <v>7</v>
      </c>
      <c r="BK18" s="57" t="str">
        <f t="shared" si="9"/>
        <v>P2 – High</v>
      </c>
      <c r="BL18" t="s">
        <v>126</v>
      </c>
    </row>
    <row r="19" spans="1:64" ht="13">
      <c r="A19" s="58">
        <f>4</f>
        <v>4</v>
      </c>
      <c r="B19" s="45" t="s">
        <v>12</v>
      </c>
      <c r="C19" s="59"/>
      <c r="D19" s="60" t="str">
        <f>Projection_!A7</f>
        <v>FG00563</v>
      </c>
      <c r="E19" s="61" t="str">
        <f>Projection_!B7</f>
        <v>A2 Cultured Ghee - 1000 ml</v>
      </c>
      <c r="F19" s="62">
        <v>1</v>
      </c>
      <c r="G19" s="63">
        <f>IFERROR(_xlfn.XLOOKUP($D19,Projection_!$A:$A,Projection_!$J:$J),0)</f>
        <v>7585.6</v>
      </c>
      <c r="H19" s="63">
        <f>IFERROR(_xlfn.XLOOKUP($D19,Projection_!$A:$A,Projection_!$K:$K),0)</f>
        <v>0</v>
      </c>
      <c r="I19" s="63">
        <f>IFERROR(_xlfn.XLOOKUP($D19,Projection_!$A:$A,Projection_!$L:$L),0)</f>
        <v>0</v>
      </c>
      <c r="J19" s="63">
        <f>IFERROR(_xlfn.XLOOKUP($D19,Projection_!$A:$A,Projection_!$M:$M),0)</f>
        <v>2640</v>
      </c>
      <c r="K19" s="63">
        <f>IFERROR(_xlfn.XLOOKUP($D19,Projection_!$A:$A,Projection_!$Q:$Q),0)</f>
        <v>0</v>
      </c>
      <c r="L19" s="63">
        <f>IFERROR(_xlfn.XLOOKUP($D19,Projection_!$A:$A,Projection_!$R:$R),0)</f>
        <v>0</v>
      </c>
      <c r="M19" s="63">
        <f>IFERROR(_xlfn.XLOOKUP($D19,Projection_!$A:$A,Projection_!$O:$O),0)</f>
        <v>0</v>
      </c>
      <c r="N19" s="63">
        <f>IFERROR(_xlfn.XLOOKUP($D19,Projection_!$A:$A,Projection_!$P:$P),0)</f>
        <v>815</v>
      </c>
      <c r="O19" s="50">
        <f t="shared" si="1"/>
        <v>11040.6</v>
      </c>
      <c r="P19" s="51">
        <f>SUM(IFERROR(_xlfn.XLOOKUP($D19,Domestic!$C:$C,Domestic!I:I),0),IFERROR(_xlfn.XLOOKUP($D19,'INT-_Manjiri'!$C:$C,'INT-_Manjiri'!H:H),0),IFERROR(_xlfn.XLOOKUP($D19,'USA-_Sea_shipment'!$C:$C,'USA-_Sea_shipment'!H:H),0),IFERROR(_xlfn.XLOOKUP($D19,Amazon_USA_Sea!$C:$C,Amazon_USA_Sea!H:H),0),IFERROR(_xlfn.XLOOKUP($D19,USA_Air_Shipment!$C:$C,USA_Air_Shipment!G:G),0),IFERROR(_xlfn.XLOOKUP($D19,Amazon_USA_Air_Shipment!$C:$C,Amazon_USA_Air_Shipment!G:G),0),IFERROR(_xlfn.XLOOKUP($D19,MENA!$C:$C,MENA!G:G),0),IFERROR(_xlfn.XLOOKUP($D19,UK!$C:$C,UK!G:G),0),IFERROR(_xlfn.XLOOKUP($D19,BMM_Order!$C:$C,BMM_Order!G:G),0),IFERROR(_xlfn.XLOOKUP($D19,'Adhoc-_Backlog'!$C:$C,'Adhoc-_Backlog'!I:I),0))</f>
        <v>405</v>
      </c>
      <c r="Q19" s="51">
        <f>SUM(IFERROR(_xlfn.XLOOKUP($D19,Domestic!$C:$C,Domestic!J:J),0),IFERROR(_xlfn.XLOOKUP($D19,'INT-_Manjiri'!$C:$C,'INT-_Manjiri'!I:I),0),IFERROR(_xlfn.XLOOKUP($D19,'USA-_Sea_shipment'!$C:$C,'USA-_Sea_shipment'!I:I),0),IFERROR(_xlfn.XLOOKUP($D19,Amazon_USA_Sea!$C:$C,Amazon_USA_Sea!I:I),0),IFERROR(_xlfn.XLOOKUP($D19,USA_Air_Shipment!$C:$C,USA_Air_Shipment!H:H),0),IFERROR(_xlfn.XLOOKUP($D19,Amazon_USA_Air_Shipment!$C:$C,Amazon_USA_Air_Shipment!H:H),0),IFERROR(_xlfn.XLOOKUP($D19,MENA!$C:$C,MENA!H:H),0),IFERROR(_xlfn.XLOOKUP($D19,UK!$C:$C,UK!H:H),0),IFERROR(_xlfn.XLOOKUP($D19,BMM_Order!$C:$C,BMM_Order!H:H),0),IFERROR(_xlfn.XLOOKUP($D19,'Adhoc-_Backlog'!$C:$C,'Adhoc-_Backlog'!J:J),0))</f>
        <v>0</v>
      </c>
      <c r="R19" s="51">
        <f>SUM(IFERROR(_xlfn.XLOOKUP($D19,Domestic!$C:$C,Domestic!K:K),0),IFERROR(_xlfn.XLOOKUP($D19,'INT-_Manjiri'!$C:$C,'INT-_Manjiri'!J:J),0),IFERROR(_xlfn.XLOOKUP($D19,'USA-_Sea_shipment'!$C:$C,'USA-_Sea_shipment'!J:J),0),IFERROR(_xlfn.XLOOKUP($D19,Amazon_USA_Sea!$C:$C,Amazon_USA_Sea!J:J),0),IFERROR(_xlfn.XLOOKUP($D19,USA_Air_Shipment!$C:$C,USA_Air_Shipment!I:I),0),IFERROR(_xlfn.XLOOKUP($D19,Amazon_USA_Air_Shipment!$C:$C,Amazon_USA_Air_Shipment!I:I),0),IFERROR(_xlfn.XLOOKUP($D19,MENA!$C:$C,MENA!I:I),0),IFERROR(_xlfn.XLOOKUP($D19,UK!$C:$C,UK!I:I),0),IFERROR(_xlfn.XLOOKUP($D19,BMM_Order!$C:$C,BMM_Order!I:I),0),IFERROR(_xlfn.XLOOKUP($D19,'Adhoc-_Backlog'!$C:$C,'Adhoc-_Backlog'!K:K),0))</f>
        <v>1170</v>
      </c>
      <c r="S19" s="51">
        <f>SUM(IFERROR(_xlfn.XLOOKUP($D19,Domestic!$C:$C,Domestic!L:L),0),IFERROR(_xlfn.XLOOKUP($D19,'INT-_Manjiri'!$C:$C,'INT-_Manjiri'!K:K),0),IFERROR(_xlfn.XLOOKUP($D19,'USA-_Sea_shipment'!$C:$C,'USA-_Sea_shipment'!K:K),0),IFERROR(_xlfn.XLOOKUP($D19,Amazon_USA_Sea!$C:$C,Amazon_USA_Sea!K:K),0),IFERROR(_xlfn.XLOOKUP($D19,USA_Air_Shipment!$C:$C,USA_Air_Shipment!J:J),0),IFERROR(_xlfn.XLOOKUP($D19,Amazon_USA_Air_Shipment!$C:$C,Amazon_USA_Air_Shipment!J:J),0),IFERROR(_xlfn.XLOOKUP($D19,MENA!$C:$C,MENA!J:J),0),IFERROR(_xlfn.XLOOKUP($D19,UK!$C:$C,UK!J:J),0),IFERROR(_xlfn.XLOOKUP($D19,BMM_Order!$C:$C,BMM_Order!J:J),0),IFERROR(_xlfn.XLOOKUP($D19,'Adhoc-_Backlog'!$C:$C,'Adhoc-_Backlog'!L:L),0))</f>
        <v>0</v>
      </c>
      <c r="T19" s="51">
        <f>SUM(IFERROR(_xlfn.XLOOKUP($D19,Domestic!$C:$C,Domestic!M:M),0),IFERROR(_xlfn.XLOOKUP($D19,'INT-_Manjiri'!$C:$C,'INT-_Manjiri'!L:L),0),IFERROR(_xlfn.XLOOKUP($D19,'USA-_Sea_shipment'!$C:$C,'USA-_Sea_shipment'!L:L),0),IFERROR(_xlfn.XLOOKUP($D19,Amazon_USA_Sea!$C:$C,Amazon_USA_Sea!L:L),0),IFERROR(_xlfn.XLOOKUP($D19,USA_Air_Shipment!$C:$C,USA_Air_Shipment!K:K),0),IFERROR(_xlfn.XLOOKUP($D19,Amazon_USA_Air_Shipment!$C:$C,Amazon_USA_Air_Shipment!K:K),0),IFERROR(_xlfn.XLOOKUP($D19,MENA!$C:$C,MENA!K:K),0),IFERROR(_xlfn.XLOOKUP($D19,UK!$C:$C,UK!K:K),0),IFERROR(_xlfn.XLOOKUP($D19,BMM_Order!$C:$C,BMM_Order!K:K),0),IFERROR(_xlfn.XLOOKUP($D19,'Adhoc-_Backlog'!$C:$C,'Adhoc-_Backlog'!M:M),0))</f>
        <v>420</v>
      </c>
      <c r="U19" s="51">
        <f>SUM(IFERROR(_xlfn.XLOOKUP($D19,Domestic!$C:$C,Domestic!N:N),0),IFERROR(_xlfn.XLOOKUP($D19,'INT-_Manjiri'!$C:$C,'INT-_Manjiri'!M:M),0),IFERROR(_xlfn.XLOOKUP($D19,'USA-_Sea_shipment'!$C:$C,'USA-_Sea_shipment'!M:M),0),IFERROR(_xlfn.XLOOKUP($D19,Amazon_USA_Sea!$C:$C,Amazon_USA_Sea!M:M),0),IFERROR(_xlfn.XLOOKUP($D19,USA_Air_Shipment!$C:$C,USA_Air_Shipment!L:L),0),IFERROR(_xlfn.XLOOKUP($D19,Amazon_USA_Air_Shipment!$C:$C,Amazon_USA_Air_Shipment!L:L),0),IFERROR(_xlfn.XLOOKUP($D19,MENA!$C:$C,MENA!L:L),0),IFERROR(_xlfn.XLOOKUP($D19,UK!$C:$C,UK!L:L),0),IFERROR(_xlfn.XLOOKUP($D19,BMM_Order!$C:$C,BMM_Order!L:L),0),IFERROR(_xlfn.XLOOKUP($D19,'Adhoc-_Backlog'!$C:$C,'Adhoc-_Backlog'!N:N),0))</f>
        <v>0</v>
      </c>
      <c r="V19" s="51">
        <f>SUM(IFERROR(_xlfn.XLOOKUP($D19,Domestic!$C:$C,Domestic!O:O),0),IFERROR(_xlfn.XLOOKUP($D19,'INT-_Manjiri'!$C:$C,'INT-_Manjiri'!N:N),0),IFERROR(_xlfn.XLOOKUP($D19,'USA-_Sea_shipment'!$C:$C,'USA-_Sea_shipment'!N:N),0),IFERROR(_xlfn.XLOOKUP($D19,Amazon_USA_Sea!$C:$C,Amazon_USA_Sea!N:N),0),IFERROR(_xlfn.XLOOKUP($D19,USA_Air_Shipment!$C:$C,USA_Air_Shipment!M:M),0),IFERROR(_xlfn.XLOOKUP($D19,Amazon_USA_Air_Shipment!$C:$C,Amazon_USA_Air_Shipment!M:M),0),IFERROR(_xlfn.XLOOKUP($D19,MENA!$C:$C,MENA!M:M),0),IFERROR(_xlfn.XLOOKUP($D19,UK!$C:$C,UK!M:M),0),IFERROR(_xlfn.XLOOKUP($D19,BMM_Order!$C:$C,BMM_Order!M:M),0),IFERROR(_xlfn.XLOOKUP($D19,'Adhoc-_Backlog'!$C:$C,'Adhoc-_Backlog'!O:O),0))</f>
        <v>732</v>
      </c>
      <c r="W19" s="51">
        <f>SUM(IFERROR(_xlfn.XLOOKUP($D19,Domestic!$C:$C,Domestic!P:P),0),IFERROR(_xlfn.XLOOKUP($D19,'INT-_Manjiri'!$C:$C,'INT-_Manjiri'!O:O),0),IFERROR(_xlfn.XLOOKUP($D19,'USA-_Sea_shipment'!$C:$C,'USA-_Sea_shipment'!O:O),0),IFERROR(_xlfn.XLOOKUP($D19,Amazon_USA_Sea!$C:$C,Amazon_USA_Sea!O:O),0),IFERROR(_xlfn.XLOOKUP($D19,USA_Air_Shipment!$C:$C,USA_Air_Shipment!N:N),0),IFERROR(_xlfn.XLOOKUP($D19,Amazon_USA_Air_Shipment!$C:$C,Amazon_USA_Air_Shipment!N:N),0),IFERROR(_xlfn.XLOOKUP($D19,MENA!$C:$C,MENA!N:N),0),IFERROR(_xlfn.XLOOKUP($D19,UK!$C:$C,UK!N:N),0),IFERROR(_xlfn.XLOOKUP($D19,BMM_Order!$C:$C,BMM_Order!N:N),0),IFERROR(_xlfn.XLOOKUP($D19,'Adhoc-_Backlog'!$C:$C,'Adhoc-_Backlog'!P:P),0))</f>
        <v>232</v>
      </c>
      <c r="X19" s="51">
        <f>SUM(IFERROR(_xlfn.XLOOKUP($D19,Domestic!$C:$C,Domestic!Q:Q),0),IFERROR(_xlfn.XLOOKUP($D19,'INT-_Manjiri'!$C:$C,'INT-_Manjiri'!P:P),0),IFERROR(_xlfn.XLOOKUP($D19,'USA-_Sea_shipment'!$C:$C,'USA-_Sea_shipment'!P:P),0),IFERROR(_xlfn.XLOOKUP($D19,Amazon_USA_Sea!$C:$C,Amazon_USA_Sea!P:P),0),IFERROR(_xlfn.XLOOKUP($D19,USA_Air_Shipment!$C:$C,USA_Air_Shipment!O:O),0),IFERROR(_xlfn.XLOOKUP($D19,Amazon_USA_Air_Shipment!$C:$C,Amazon_USA_Air_Shipment!O:O),0),IFERROR(_xlfn.XLOOKUP($D19,MENA!$C:$C,MENA!O:O),0),IFERROR(_xlfn.XLOOKUP($D19,UK!$C:$C,UK!O:O),0),IFERROR(_xlfn.XLOOKUP($D19,BMM_Order!$C:$C,BMM_Order!O:O),0),IFERROR(_xlfn.XLOOKUP($D19,'Adhoc-_Backlog'!$C:$C,'Adhoc-_Backlog'!Q:Q),0))</f>
        <v>0</v>
      </c>
      <c r="Y19" s="51">
        <f>SUM(IFERROR(_xlfn.XLOOKUP($D19,Domestic!$C:$C,Domestic!R:R),0),IFERROR(_xlfn.XLOOKUP($D19,'INT-_Manjiri'!$C:$C,'INT-_Manjiri'!Q:Q),0),IFERROR(_xlfn.XLOOKUP($D19,'USA-_Sea_shipment'!$C:$C,'USA-_Sea_shipment'!Q:Q),0),IFERROR(_xlfn.XLOOKUP($D19,Amazon_USA_Sea!$C:$C,Amazon_USA_Sea!Q:Q),0),IFERROR(_xlfn.XLOOKUP($D19,USA_Air_Shipment!$C:$C,USA_Air_Shipment!P:P),0),IFERROR(_xlfn.XLOOKUP($D19,Amazon_USA_Air_Shipment!$C:$C,Amazon_USA_Air_Shipment!P:P),0),IFERROR(_xlfn.XLOOKUP($D19,MENA!$C:$C,MENA!P:P),0),IFERROR(_xlfn.XLOOKUP($D19,UK!$C:$C,UK!P:P),0),IFERROR(_xlfn.XLOOKUP($D19,BMM_Order!$C:$C,BMM_Order!P:P),0),IFERROR(_xlfn.XLOOKUP($D19,'Adhoc-_Backlog'!$C:$C,'Adhoc-_Backlog'!R:R),0))</f>
        <v>0</v>
      </c>
      <c r="Z19" s="51">
        <f>SUM(IFERROR(_xlfn.XLOOKUP($D19,Domestic!$C:$C,Domestic!S:S),0),IFERROR(_xlfn.XLOOKUP($D19,'INT-_Manjiri'!$C:$C,'INT-_Manjiri'!R:R),0),IFERROR(_xlfn.XLOOKUP($D19,'USA-_Sea_shipment'!$C:$C,'USA-_Sea_shipment'!R:R),0),IFERROR(_xlfn.XLOOKUP($D19,Amazon_USA_Sea!$C:$C,Amazon_USA_Sea!R:R),0),IFERROR(_xlfn.XLOOKUP($D19,USA_Air_Shipment!$C:$C,USA_Air_Shipment!Q:Q),0),IFERROR(_xlfn.XLOOKUP($D19,Amazon_USA_Air_Shipment!$C:$C,Amazon_USA_Air_Shipment!Q:Q),0),IFERROR(_xlfn.XLOOKUP($D19,MENA!$C:$C,MENA!Q:Q),0),IFERROR(_xlfn.XLOOKUP($D19,UK!$C:$C,UK!Q:Q),0),IFERROR(_xlfn.XLOOKUP($D19,BMM_Order!$C:$C,BMM_Order!Q:Q),0),IFERROR(_xlfn.XLOOKUP($D19,'Adhoc-_Backlog'!$C:$C,'Adhoc-_Backlog'!S:S),0))</f>
        <v>0</v>
      </c>
      <c r="AA19" s="51">
        <f>SUM(IFERROR(_xlfn.XLOOKUP($D19,Domestic!$C:$C,Domestic!T:T),0),IFERROR(_xlfn.XLOOKUP($D19,'INT-_Manjiri'!$C:$C,'INT-_Manjiri'!S:S),0),IFERROR(_xlfn.XLOOKUP($D19,'USA-_Sea_shipment'!$C:$C,'USA-_Sea_shipment'!S:S),0),IFERROR(_xlfn.XLOOKUP($D19,Amazon_USA_Sea!$C:$C,Amazon_USA_Sea!S:S),0),IFERROR(_xlfn.XLOOKUP($D19,USA_Air_Shipment!$C:$C,USA_Air_Shipment!R:R),0),IFERROR(_xlfn.XLOOKUP($D19,Amazon_USA_Air_Shipment!$C:$C,Amazon_USA_Air_Shipment!R:R),0),IFERROR(_xlfn.XLOOKUP($D19,MENA!$C:$C,MENA!R:R),0),IFERROR(_xlfn.XLOOKUP($D19,UK!$C:$C,UK!R:R),0),IFERROR(_xlfn.XLOOKUP($D19,BMM_Order!$C:$C,BMM_Order!R:R),0),IFERROR(_xlfn.XLOOKUP($D19,'Adhoc-_Backlog'!$C:$C,'Adhoc-_Backlog'!T:T),0))</f>
        <v>0</v>
      </c>
      <c r="AB19" s="51">
        <f>SUM(IFERROR(_xlfn.XLOOKUP($D19,Domestic!$C:$C,Domestic!U:U),0),IFERROR(_xlfn.XLOOKUP($D19,'INT-_Manjiri'!$C:$C,'INT-_Manjiri'!T:T),0),IFERROR(_xlfn.XLOOKUP($D19,'USA-_Sea_shipment'!$C:$C,'USA-_Sea_shipment'!T:T),0),IFERROR(_xlfn.XLOOKUP($D19,Amazon_USA_Sea!$C:$C,Amazon_USA_Sea!T:T),0),IFERROR(_xlfn.XLOOKUP($D19,USA_Air_Shipment!$C:$C,USA_Air_Shipment!S:S),0),IFERROR(_xlfn.XLOOKUP($D19,Amazon_USA_Air_Shipment!$C:$C,Amazon_USA_Air_Shipment!S:S),0),IFERROR(_xlfn.XLOOKUP($D19,MENA!$C:$C,MENA!S:S),0),IFERROR(_xlfn.XLOOKUP($D19,UK!$C:$C,UK!S:S),0),IFERROR(_xlfn.XLOOKUP($D19,BMM_Order!$C:$C,BMM_Order!S:S),0),IFERROR(_xlfn.XLOOKUP($D19,'Adhoc-_Backlog'!$C:$C,'Adhoc-_Backlog'!U:U),0))</f>
        <v>227</v>
      </c>
      <c r="AC19" s="51">
        <f>SUM(IFERROR(_xlfn.XLOOKUP($D19,Domestic!$C:$C,Domestic!V:V),0),IFERROR(_xlfn.XLOOKUP($D19,'INT-_Manjiri'!$C:$C,'INT-_Manjiri'!U:U),0),IFERROR(_xlfn.XLOOKUP($D19,'USA-_Sea_shipment'!$C:$C,'USA-_Sea_shipment'!U:U),0),IFERROR(_xlfn.XLOOKUP($D19,Amazon_USA_Sea!$C:$C,Amazon_USA_Sea!U:U),0),IFERROR(_xlfn.XLOOKUP($D19,USA_Air_Shipment!$C:$C,USA_Air_Shipment!T:T),0),IFERROR(_xlfn.XLOOKUP($D19,Amazon_USA_Air_Shipment!$C:$C,Amazon_USA_Air_Shipment!T:T),0),IFERROR(_xlfn.XLOOKUP($D19,MENA!$C:$C,MENA!T:T),0),IFERROR(_xlfn.XLOOKUP($D19,UK!$C:$C,UK!T:T),0),IFERROR(_xlfn.XLOOKUP($D19,BMM_Order!$C:$C,BMM_Order!T:T),0),IFERROR(_xlfn.XLOOKUP($D19,'Adhoc-_Backlog'!$C:$C,'Adhoc-_Backlog'!V:V),0))</f>
        <v>0</v>
      </c>
      <c r="AD19" s="51">
        <f>SUM(IFERROR(_xlfn.XLOOKUP($D19,Domestic!$C:$C,Domestic!W:W),0),IFERROR(_xlfn.XLOOKUP($D19,'INT-_Manjiri'!$C:$C,'INT-_Manjiri'!V:V),0),IFERROR(_xlfn.XLOOKUP($D19,'USA-_Sea_shipment'!$C:$C,'USA-_Sea_shipment'!V:V),0),IFERROR(_xlfn.XLOOKUP($D19,Amazon_USA_Sea!$C:$C,Amazon_USA_Sea!V:V),0),IFERROR(_xlfn.XLOOKUP($D19,USA_Air_Shipment!$C:$C,USA_Air_Shipment!U:U),0),IFERROR(_xlfn.XLOOKUP($D19,Amazon_USA_Air_Shipment!$C:$C,Amazon_USA_Air_Shipment!U:U),0),IFERROR(_xlfn.XLOOKUP($D19,MENA!$C:$C,MENA!U:U),0),IFERROR(_xlfn.XLOOKUP($D19,UK!$C:$C,UK!U:U),0),IFERROR(_xlfn.XLOOKUP($D19,BMM_Order!$C:$C,BMM_Order!U:U),0),IFERROR(_xlfn.XLOOKUP($D19,'Adhoc-_Backlog'!$C:$C,'Adhoc-_Backlog'!W:W),0))</f>
        <v>466</v>
      </c>
      <c r="AE19" s="51">
        <f>SUM(IFERROR(_xlfn.XLOOKUP($D19,Domestic!$C:$C,Domestic!X:X),0),IFERROR(_xlfn.XLOOKUP($D19,'INT-_Manjiri'!$C:$C,'INT-_Manjiri'!W:W),0),IFERROR(_xlfn.XLOOKUP($D19,'USA-_Sea_shipment'!$C:$C,'USA-_Sea_shipment'!W:W),0),IFERROR(_xlfn.XLOOKUP($D19,Amazon_USA_Sea!$C:$C,Amazon_USA_Sea!W:W),0),IFERROR(_xlfn.XLOOKUP($D19,USA_Air_Shipment!$C:$C,USA_Air_Shipment!V:V),0),IFERROR(_xlfn.XLOOKUP($D19,Amazon_USA_Air_Shipment!$C:$C,Amazon_USA_Air_Shipment!V:V),0),IFERROR(_xlfn.XLOOKUP($D19,MENA!$C:$C,MENA!V:V),0),IFERROR(_xlfn.XLOOKUP($D19,UK!$C:$C,UK!V:V),0),IFERROR(_xlfn.XLOOKUP($D19,BMM_Order!$C:$C,BMM_Order!V:V),0),IFERROR(_xlfn.XLOOKUP($D19,'Adhoc-_Backlog'!$C:$C,'Adhoc-_Backlog'!X:X),0))</f>
        <v>159</v>
      </c>
      <c r="AF19" s="51">
        <f>SUM(IFERROR(_xlfn.XLOOKUP($D19,Domestic!$C:$C,Domestic!Y:Y),0),IFERROR(_xlfn.XLOOKUP($D19,'INT-_Manjiri'!$C:$C,'INT-_Manjiri'!X:X),0),IFERROR(_xlfn.XLOOKUP($D19,'USA-_Sea_shipment'!$C:$C,'USA-_Sea_shipment'!X:X),0),IFERROR(_xlfn.XLOOKUP($D19,Amazon_USA_Sea!$C:$C,Amazon_USA_Sea!X:X),0),IFERROR(_xlfn.XLOOKUP($D19,USA_Air_Shipment!$C:$C,USA_Air_Shipment!W:W),0),IFERROR(_xlfn.XLOOKUP($D19,Amazon_USA_Air_Shipment!$C:$C,Amazon_USA_Air_Shipment!W:W),0),IFERROR(_xlfn.XLOOKUP($D19,MENA!$C:$C,MENA!W:W),0),IFERROR(_xlfn.XLOOKUP($D19,UK!$C:$C,UK!W:W),0),IFERROR(_xlfn.XLOOKUP($D19,BMM_Order!$C:$C,BMM_Order!W:W),0),IFERROR(_xlfn.XLOOKUP($D19,'Adhoc-_Backlog'!$C:$C,'Adhoc-_Backlog'!Y:Y),0))</f>
        <v>773</v>
      </c>
      <c r="AG19" s="51">
        <f>SUM(IFERROR(_xlfn.XLOOKUP($D19,Domestic!$C:$C,Domestic!Z:Z),0),IFERROR(_xlfn.XLOOKUP($D19,'INT-_Manjiri'!$C:$C,'INT-_Manjiri'!Y:Y),0),IFERROR(_xlfn.XLOOKUP($D19,'USA-_Sea_shipment'!$C:$C,'USA-_Sea_shipment'!Y:Y),0),IFERROR(_xlfn.XLOOKUP($D19,Amazon_USA_Sea!$C:$C,Amazon_USA_Sea!Y:Y),0),IFERROR(_xlfn.XLOOKUP($D19,USA_Air_Shipment!$C:$C,USA_Air_Shipment!X:X),0),IFERROR(_xlfn.XLOOKUP($D19,Amazon_USA_Air_Shipment!$C:$C,Amazon_USA_Air_Shipment!X:X),0),IFERROR(_xlfn.XLOOKUP($D19,MENA!$C:$C,MENA!X:X),0),IFERROR(_xlfn.XLOOKUP($D19,UK!$C:$C,UK!X:X),0),IFERROR(_xlfn.XLOOKUP($D19,BMM_Order!$C:$C,BMM_Order!X:X),0),IFERROR(_xlfn.XLOOKUP($D19,'Adhoc-_Backlog'!$C:$C,'Adhoc-_Backlog'!Z:Z),0))</f>
        <v>318</v>
      </c>
      <c r="AH19" s="51">
        <f>SUM(IFERROR(_xlfn.XLOOKUP($D19,Domestic!$C:$C,Domestic!AA:AA),0),IFERROR(_xlfn.XLOOKUP($D19,'INT-_Manjiri'!$C:$C,'INT-_Manjiri'!Z:Z),0),IFERROR(_xlfn.XLOOKUP($D19,'USA-_Sea_shipment'!$C:$C,'USA-_Sea_shipment'!Z:Z),0),IFERROR(_xlfn.XLOOKUP($D19,Amazon_USA_Sea!$C:$C,Amazon_USA_Sea!Z:Z),0),IFERROR(_xlfn.XLOOKUP($D19,USA_Air_Shipment!$C:$C,USA_Air_Shipment!Y:Y),0),IFERROR(_xlfn.XLOOKUP($D19,Amazon_USA_Air_Shipment!$C:$C,Amazon_USA_Air_Shipment!Y:Y),0),IFERROR(_xlfn.XLOOKUP($D19,MENA!$C:$C,MENA!Y:Y),0),IFERROR(_xlfn.XLOOKUP($D19,UK!$C:$C,UK!Y:Y),0),IFERROR(_xlfn.XLOOKUP($D19,BMM_Order!$C:$C,BMM_Order!Y:Y),0),IFERROR(_xlfn.XLOOKUP($D19,'Adhoc-_Backlog'!$C:$C,'Adhoc-_Backlog'!AA:AA),0))</f>
        <v>555</v>
      </c>
      <c r="AI19" s="51">
        <f>SUM(IFERROR(_xlfn.XLOOKUP($D19,Domestic!$C:$C,Domestic!AB:AB),0),IFERROR(_xlfn.XLOOKUP($D19,'INT-_Manjiri'!$C:$C,'INT-_Manjiri'!AA:AA),0),IFERROR(_xlfn.XLOOKUP($D19,'USA-_Sea_shipment'!$C:$C,'USA-_Sea_shipment'!AA:AA),0),IFERROR(_xlfn.XLOOKUP($D19,Amazon_USA_Sea!$C:$C,Amazon_USA_Sea!AA:AA),0),IFERROR(_xlfn.XLOOKUP($D19,USA_Air_Shipment!$C:$C,USA_Air_Shipment!Z:Z),0),IFERROR(_xlfn.XLOOKUP($D19,Amazon_USA_Air_Shipment!$C:$C,Amazon_USA_Air_Shipment!Z:Z),0),IFERROR(_xlfn.XLOOKUP($D19,MENA!$C:$C,MENA!Z:Z),0),IFERROR(_xlfn.XLOOKUP($D19,UK!$C:$C,UK!Z:Z),0),IFERROR(_xlfn.XLOOKUP($D19,BMM_Order!$C:$C,BMM_Order!Z:Z),0),IFERROR(_xlfn.XLOOKUP($D19,'Adhoc-_Backlog'!$C:$C,'Adhoc-_Backlog'!AB:AB),0))</f>
        <v>0</v>
      </c>
      <c r="AJ19" s="51">
        <f>SUM(IFERROR(_xlfn.XLOOKUP($D19,Domestic!$C:$C,Domestic!AC:AC),0),IFERROR(_xlfn.XLOOKUP($D19,'INT-_Manjiri'!$C:$C,'INT-_Manjiri'!AB:AB),0),IFERROR(_xlfn.XLOOKUP($D19,'USA-_Sea_shipment'!$C:$C,'USA-_Sea_shipment'!AB:AB),0),IFERROR(_xlfn.XLOOKUP($D19,Amazon_USA_Sea!$C:$C,Amazon_USA_Sea!AB:AB),0),IFERROR(_xlfn.XLOOKUP($D19,USA_Air_Shipment!$C:$C,USA_Air_Shipment!AA:AA),0),IFERROR(_xlfn.XLOOKUP($D19,Amazon_USA_Air_Shipment!$C:$C,Amazon_USA_Air_Shipment!AA:AA),0),IFERROR(_xlfn.XLOOKUP($D19,MENA!$C:$C,MENA!AA:AA),0),IFERROR(_xlfn.XLOOKUP($D19,UK!$C:$C,UK!AA:AA),0),IFERROR(_xlfn.XLOOKUP($D19,BMM_Order!$C:$C,BMM_Order!AA:AA),0),IFERROR(_xlfn.XLOOKUP($D19,'Adhoc-_Backlog'!$C:$C,'Adhoc-_Backlog'!AC:AC),0))</f>
        <v>491</v>
      </c>
      <c r="AK19" s="51">
        <f>SUM(IFERROR(_xlfn.XLOOKUP($D19,Domestic!$C:$C,Domestic!AD:AD),0),IFERROR(_xlfn.XLOOKUP($D19,'INT-_Manjiri'!$C:$C,'INT-_Manjiri'!AC:AC),0),IFERROR(_xlfn.XLOOKUP($D19,'USA-_Sea_shipment'!$C:$C,'USA-_Sea_shipment'!AC:AC),0),IFERROR(_xlfn.XLOOKUP($D19,Amazon_USA_Sea!$C:$C,Amazon_USA_Sea!AC:AC),0),IFERROR(_xlfn.XLOOKUP($D19,USA_Air_Shipment!$C:$C,USA_Air_Shipment!AB:AB),0),IFERROR(_xlfn.XLOOKUP($D19,Amazon_USA_Air_Shipment!$C:$C,Amazon_USA_Air_Shipment!AB:AB),0),IFERROR(_xlfn.XLOOKUP($D19,MENA!$C:$C,MENA!AB:AB),0),IFERROR(_xlfn.XLOOKUP($D19,UK!$C:$C,UK!AB:AB),0),IFERROR(_xlfn.XLOOKUP($D19,BMM_Order!$C:$C,BMM_Order!AB:AB),0),IFERROR(_xlfn.XLOOKUP($D19,'Adhoc-_Backlog'!$C:$C,'Adhoc-_Backlog'!AD:AD),0))</f>
        <v>0</v>
      </c>
      <c r="AL19" s="51">
        <f>SUM(IFERROR(_xlfn.XLOOKUP($D19,Domestic!$C:$C,Domestic!AE:AE),0),IFERROR(_xlfn.XLOOKUP($D19,'INT-_Manjiri'!$C:$C,'INT-_Manjiri'!AD:AD),0),IFERROR(_xlfn.XLOOKUP($D19,'USA-_Sea_shipment'!$C:$C,'USA-_Sea_shipment'!AD:AD),0),IFERROR(_xlfn.XLOOKUP($D19,Amazon_USA_Sea!$C:$C,Amazon_USA_Sea!AD:AD),0),IFERROR(_xlfn.XLOOKUP($D19,USA_Air_Shipment!$C:$C,USA_Air_Shipment!AC:AC),0),IFERROR(_xlfn.XLOOKUP($D19,Amazon_USA_Air_Shipment!$C:$C,Amazon_USA_Air_Shipment!AC:AC),0),IFERROR(_xlfn.XLOOKUP($D19,MENA!$C:$C,MENA!AC:AC),0),IFERROR(_xlfn.XLOOKUP($D19,UK!$C:$C,UK!AC:AC),0),IFERROR(_xlfn.XLOOKUP($D19,BMM_Order!$C:$C,BMM_Order!AC:AC),0),IFERROR(_xlfn.XLOOKUP($D19,'Adhoc-_Backlog'!$C:$C,'Adhoc-_Backlog'!AE:AE),0))</f>
        <v>0</v>
      </c>
      <c r="AM19" s="51">
        <f>SUM(IFERROR(_xlfn.XLOOKUP($D19,Domestic!$C:$C,Domestic!AF:AF),0),IFERROR(_xlfn.XLOOKUP($D19,'INT-_Manjiri'!$C:$C,'INT-_Manjiri'!AE:AE),0),IFERROR(_xlfn.XLOOKUP($D19,'USA-_Sea_shipment'!$C:$C,'USA-_Sea_shipment'!AE:AE),0),IFERROR(_xlfn.XLOOKUP($D19,Amazon_USA_Sea!$C:$C,Amazon_USA_Sea!AE:AE),0),IFERROR(_xlfn.XLOOKUP($D19,USA_Air_Shipment!$C:$C,USA_Air_Shipment!AD:AD),0),IFERROR(_xlfn.XLOOKUP($D19,Amazon_USA_Air_Shipment!$C:$C,Amazon_USA_Air_Shipment!AD:AD),0),IFERROR(_xlfn.XLOOKUP($D19,MENA!$C:$C,MENA!AD:AD),0),IFERROR(_xlfn.XLOOKUP($D19,UK!$C:$C,UK!AD:AD),0),IFERROR(_xlfn.XLOOKUP($D19,BMM_Order!$C:$C,BMM_Order!AD:AD),0),IFERROR(_xlfn.XLOOKUP($D19,'Adhoc-_Backlog'!$C:$C,'Adhoc-_Backlog'!AF:AF),0))</f>
        <v>0</v>
      </c>
      <c r="AN19" s="51">
        <f>SUM(IFERROR(_xlfn.XLOOKUP($D19,Domestic!$C:$C,Domestic!AG:AG),0),IFERROR(_xlfn.XLOOKUP($D19,'INT-_Manjiri'!$C:$C,'INT-_Manjiri'!AF:AF),0),IFERROR(_xlfn.XLOOKUP($D19,'USA-_Sea_shipment'!$C:$C,'USA-_Sea_shipment'!AF:AF),0),IFERROR(_xlfn.XLOOKUP($D19,Amazon_USA_Sea!$C:$C,Amazon_USA_Sea!AF:AF),0),IFERROR(_xlfn.XLOOKUP($D19,USA_Air_Shipment!$C:$C,USA_Air_Shipment!AE:AE),0),IFERROR(_xlfn.XLOOKUP($D19,Amazon_USA_Air_Shipment!$C:$C,Amazon_USA_Air_Shipment!AE:AE),0),IFERROR(_xlfn.XLOOKUP($D19,MENA!$C:$C,MENA!AE:AE),0),IFERROR(_xlfn.XLOOKUP($D19,UK!$C:$C,UK!AE:AE),0),IFERROR(_xlfn.XLOOKUP($D19,BMM_Order!$C:$C,BMM_Order!AE:AE),0),IFERROR(_xlfn.XLOOKUP($D19,'Adhoc-_Backlog'!$C:$C,'Adhoc-_Backlog'!AG:AG),0))</f>
        <v>0</v>
      </c>
      <c r="AO19" s="51">
        <f>SUM(IFERROR(_xlfn.XLOOKUP($D19,Domestic!$C:$C,Domestic!AH:AH),0),IFERROR(_xlfn.XLOOKUP($D19,'INT-_Manjiri'!$C:$C,'INT-_Manjiri'!AG:AG),0),IFERROR(_xlfn.XLOOKUP($D19,'USA-_Sea_shipment'!$C:$C,'USA-_Sea_shipment'!AG:AG),0),IFERROR(_xlfn.XLOOKUP($D19,Amazon_USA_Sea!$C:$C,Amazon_USA_Sea!AG:AG),0),IFERROR(_xlfn.XLOOKUP($D19,USA_Air_Shipment!$C:$C,USA_Air_Shipment!AF:AF),0),IFERROR(_xlfn.XLOOKUP($D19,Amazon_USA_Air_Shipment!$C:$C,Amazon_USA_Air_Shipment!AF:AF),0),IFERROR(_xlfn.XLOOKUP($D19,MENA!$C:$C,MENA!AF:AF),0),IFERROR(_xlfn.XLOOKUP($D19,UK!$C:$C,UK!AF:AF),0),IFERROR(_xlfn.XLOOKUP($D19,BMM_Order!$C:$C,BMM_Order!AF:AF),0),IFERROR(_xlfn.XLOOKUP($D19,'Adhoc-_Backlog'!$C:$C,'Adhoc-_Backlog'!AH:AH),0))</f>
        <v>314</v>
      </c>
      <c r="AP19" s="51">
        <f>SUM(IFERROR(_xlfn.XLOOKUP($D19,Domestic!$C:$C,Domestic!AI:AI),0),IFERROR(_xlfn.XLOOKUP($D19,'INT-_Manjiri'!$C:$C,'INT-_Manjiri'!AH:AH),0),IFERROR(_xlfn.XLOOKUP($D19,'USA-_Sea_shipment'!$C:$C,'USA-_Sea_shipment'!AH:AH),0),IFERROR(_xlfn.XLOOKUP($D19,Amazon_USA_Sea!$C:$C,Amazon_USA_Sea!AH:AH),0),IFERROR(_xlfn.XLOOKUP($D19,USA_Air_Shipment!$C:$C,USA_Air_Shipment!AG:AG),0),IFERROR(_xlfn.XLOOKUP($D19,Amazon_USA_Air_Shipment!$C:$C,Amazon_USA_Air_Shipment!AG:AG),0),IFERROR(_xlfn.XLOOKUP($D19,MENA!$C:$C,MENA!AG:AG),0),IFERROR(_xlfn.XLOOKUP($D19,UK!$C:$C,UK!AG:AG),0),IFERROR(_xlfn.XLOOKUP($D19,BMM_Order!$C:$C,BMM_Order!AG:AG),0),IFERROR(_xlfn.XLOOKUP($D19,'Adhoc-_Backlog'!$C:$C,'Adhoc-_Backlog'!AI:AI),0))</f>
        <v>0</v>
      </c>
      <c r="AQ19" s="51">
        <f>SUM(IFERROR(_xlfn.XLOOKUP($D19,Domestic!$C:$C,Domestic!AJ:AJ),0),IFERROR(_xlfn.XLOOKUP($D19,'INT-_Manjiri'!$C:$C,'INT-_Manjiri'!AI:AI),0),IFERROR(_xlfn.XLOOKUP($D19,'USA-_Sea_shipment'!$C:$C,'USA-_Sea_shipment'!AI:AI),0),IFERROR(_xlfn.XLOOKUP($D19,Amazon_USA_Sea!$C:$C,Amazon_USA_Sea!AI:AI),0),IFERROR(_xlfn.XLOOKUP($D19,USA_Air_Shipment!$C:$C,USA_Air_Shipment!AH:AH),0),IFERROR(_xlfn.XLOOKUP($D19,Amazon_USA_Air_Shipment!$C:$C,Amazon_USA_Air_Shipment!AH:AH),0),IFERROR(_xlfn.XLOOKUP($D19,MENA!$C:$C,MENA!AH:AH),0),IFERROR(_xlfn.XLOOKUP($D19,UK!$C:$C,UK!AH:AH),0),IFERROR(_xlfn.XLOOKUP($D19,BMM_Order!$C:$C,BMM_Order!AH:AH),0),IFERROR(_xlfn.XLOOKUP($D19,'Adhoc-_Backlog'!$C:$C,'Adhoc-_Backlog'!AJ:AJ),0))</f>
        <v>0</v>
      </c>
      <c r="AR19" s="51">
        <f>SUM(IFERROR(_xlfn.XLOOKUP($D19,Domestic!$C:$C,Domestic!AK:AK),0),IFERROR(_xlfn.XLOOKUP($D19,'INT-_Manjiri'!$C:$C,'INT-_Manjiri'!AJ:AJ),0),IFERROR(_xlfn.XLOOKUP($D19,'USA-_Sea_shipment'!$C:$C,'USA-_Sea_shipment'!AJ:AJ),0),IFERROR(_xlfn.XLOOKUP($D19,Amazon_USA_Sea!$C:$C,Amazon_USA_Sea!AJ:AJ),0),IFERROR(_xlfn.XLOOKUP($D19,USA_Air_Shipment!$C:$C,USA_Air_Shipment!AI:AI),0),IFERROR(_xlfn.XLOOKUP($D19,Amazon_USA_Air_Shipment!$C:$C,Amazon_USA_Air_Shipment!AI:AI),0),IFERROR(_xlfn.XLOOKUP($D19,MENA!$C:$C,MENA!AI:AI),0),IFERROR(_xlfn.XLOOKUP($D19,UK!$C:$C,UK!AI:AI),0),IFERROR(_xlfn.XLOOKUP($D19,BMM_Order!$C:$C,BMM_Order!AI:AI),0),IFERROR(_xlfn.XLOOKUP($D19,'Adhoc-_Backlog'!$C:$C,'Adhoc-_Backlog'!AK:AK),0))</f>
        <v>481</v>
      </c>
      <c r="AS19" s="51">
        <f>SUM(IFERROR(_xlfn.XLOOKUP($D19,Domestic!$C:$C,Domestic!AL:AL),0),IFERROR(_xlfn.XLOOKUP($D19,'INT-_Manjiri'!$C:$C,'INT-_Manjiri'!AK:AK),0),IFERROR(_xlfn.XLOOKUP($D19,'USA-_Sea_shipment'!$C:$C,'USA-_Sea_shipment'!AK:AK),0),IFERROR(_xlfn.XLOOKUP($D19,Amazon_USA_Sea!$C:$C,Amazon_USA_Sea!AK:AK),0),IFERROR(_xlfn.XLOOKUP($D19,USA_Air_Shipment!$C:$C,USA_Air_Shipment!AJ:AJ),0),IFERROR(_xlfn.XLOOKUP($D19,Amazon_USA_Air_Shipment!$C:$C,Amazon_USA_Air_Shipment!AJ:AJ),0),IFERROR(_xlfn.XLOOKUP($D19,MENA!$C:$C,MENA!AJ:AJ),0),IFERROR(_xlfn.XLOOKUP($D19,UK!$C:$C,UK!AJ:AJ),0),IFERROR(_xlfn.XLOOKUP($D19,BMM_Order!$C:$C,BMM_Order!AJ:AJ),0),IFERROR(_xlfn.XLOOKUP($D19,'Adhoc-_Backlog'!$C:$C,'Adhoc-_Backlog'!AL:AL),0))</f>
        <v>0</v>
      </c>
      <c r="AT19" s="51">
        <f>SUM(IFERROR(_xlfn.XLOOKUP($D19,Domestic!$C:$C,Domestic!AM:AM),0),IFERROR(_xlfn.XLOOKUP($D19,'INT-_Manjiri'!$C:$C,'INT-_Manjiri'!AL:AL),0),IFERROR(_xlfn.XLOOKUP($D19,'USA-_Sea_shipment'!$C:$C,'USA-_Sea_shipment'!AL:AL),0),IFERROR(_xlfn.XLOOKUP($D19,Amazon_USA_Sea!$C:$C,Amazon_USA_Sea!AL:AL),0),IFERROR(_xlfn.XLOOKUP($D19,USA_Air_Shipment!$C:$C,USA_Air_Shipment!AK:AK),0),IFERROR(_xlfn.XLOOKUP($D19,Amazon_USA_Air_Shipment!$C:$C,Amazon_USA_Air_Shipment!AK:AK),0),IFERROR(_xlfn.XLOOKUP($D19,MENA!$C:$C,MENA!AK:AK),0),IFERROR(_xlfn.XLOOKUP($D19,UK!$C:$C,UK!AK:AK),0),IFERROR(_xlfn.XLOOKUP($D19,BMM_Order!$C:$C,BMM_Order!AK:AK),0),IFERROR(_xlfn.XLOOKUP($D19,'Adhoc-_Backlog'!$C:$C,'Adhoc-_Backlog'!AM:AM),0))</f>
        <v>0</v>
      </c>
      <c r="AU19" s="51">
        <f>SUM(IFERROR(_xlfn.XLOOKUP($D19,Domestic!$C:$C,Domestic!AN:AN),0),IFERROR(_xlfn.XLOOKUP($D19,'INT-_Manjiri'!$C:$C,'INT-_Manjiri'!AM:AM),0),IFERROR(_xlfn.XLOOKUP($D19,'USA-_Sea_shipment'!$C:$C,'USA-_Sea_shipment'!AM:AM),0),IFERROR(_xlfn.XLOOKUP($D19,Amazon_USA_Sea!$C:$C,Amazon_USA_Sea!AM:AM),0),IFERROR(_xlfn.XLOOKUP($D19,USA_Air_Shipment!$C:$C,USA_Air_Shipment!AL:AL),0),IFERROR(_xlfn.XLOOKUP($D19,Amazon_USA_Air_Shipment!$C:$C,Amazon_USA_Air_Shipment!AL:AL),0),IFERROR(_xlfn.XLOOKUP($D19,MENA!$C:$C,MENA!AL:AL),0),IFERROR(_xlfn.XLOOKUP($D19,UK!$C:$C,UK!AL:AL),0),IFERROR(_xlfn.XLOOKUP($D19,BMM_Order!$C:$C,BMM_Order!AL:AL),0),IFERROR(_xlfn.XLOOKUP($D19,'Adhoc-_Backlog'!$C:$C,'Adhoc-_Backlog'!AN:AN),0))</f>
        <v>0</v>
      </c>
      <c r="AV19" s="51">
        <f>SUM(IFERROR(_xlfn.XLOOKUP($D19,Domestic!$C:$C,Domestic!AO:AO),0),IFERROR(_xlfn.XLOOKUP($D19,'INT-_Manjiri'!$C:$C,'INT-_Manjiri'!AN:AN),0),IFERROR(_xlfn.XLOOKUP($D19,'USA-_Sea_shipment'!$C:$C,'USA-_Sea_shipment'!AN:AN),0),IFERROR(_xlfn.XLOOKUP($D19,Amazon_USA_Sea!$C:$C,Amazon_USA_Sea!AN:AN),0),IFERROR(_xlfn.XLOOKUP($D19,USA_Air_Shipment!$C:$C,USA_Air_Shipment!AM:AM),0),IFERROR(_xlfn.XLOOKUP($D19,Amazon_USA_Air_Shipment!$C:$C,Amazon_USA_Air_Shipment!AM:AM),0),IFERROR(_xlfn.XLOOKUP($D19,MENA!$C:$C,MENA!AM:AM),0),IFERROR(_xlfn.XLOOKUP($D19,UK!$C:$C,UK!AM:AM),0),IFERROR(_xlfn.XLOOKUP($D19,BMM_Order!$C:$C,BMM_Order!AM:AM),0),IFERROR(_xlfn.XLOOKUP($D19,'Adhoc-_Backlog'!$C:$C,'Adhoc-_Backlog'!AO:AO),0))</f>
        <v>60</v>
      </c>
      <c r="AW19" s="51">
        <f>SUM(IFERROR(_xlfn.XLOOKUP($D19,Domestic!$C:$C,Domestic!AP:AP),0),IFERROR(_xlfn.XLOOKUP($D19,'INT-_Manjiri'!$C:$C,'INT-_Manjiri'!AO:AO),0),IFERROR(_xlfn.XLOOKUP($D19,'USA-_Sea_shipment'!$C:$C,'USA-_Sea_shipment'!AO:AO),0),IFERROR(_xlfn.XLOOKUP($D19,Amazon_USA_Sea!$C:$C,Amazon_USA_Sea!AO:AO),0),IFERROR(_xlfn.XLOOKUP($D19,USA_Air_Shipment!$C:$C,USA_Air_Shipment!AN:AN),0),IFERROR(_xlfn.XLOOKUP($D19,Amazon_USA_Air_Shipment!$C:$C,Amazon_USA_Air_Shipment!AN:AN),0),IFERROR(_xlfn.XLOOKUP($D19,MENA!$C:$C,MENA!AN:AN),0),IFERROR(_xlfn.XLOOKUP($D19,UK!$C:$C,UK!AN:AN),0),IFERROR(_xlfn.XLOOKUP($D19,BMM_Order!$C:$C,BMM_Order!AN:AN),0),IFERROR(_xlfn.XLOOKUP($D19,'Adhoc-_Backlog'!$C:$C,'Adhoc-_Backlog'!AP:AP),0))</f>
        <v>380</v>
      </c>
      <c r="AX19" s="51">
        <f>SUM(IFERROR(_xlfn.XLOOKUP($D19,Domestic!$C:$C,Domestic!AQ:AQ),0),IFERROR(_xlfn.XLOOKUP($D19,'INT-_Manjiri'!$C:$C,'INT-_Manjiri'!AP:AP),0),IFERROR(_xlfn.XLOOKUP($D19,'USA-_Sea_shipment'!$C:$C,'USA-_Sea_shipment'!AP:AP),0),IFERROR(_xlfn.XLOOKUP($D19,Amazon_USA_Sea!$C:$C,Amazon_USA_Sea!AP:AP),0),IFERROR(_xlfn.XLOOKUP($D19,USA_Air_Shipment!$C:$C,USA_Air_Shipment!AO:AO),0),IFERROR(_xlfn.XLOOKUP($D19,Amazon_USA_Air_Shipment!$C:$C,Amazon_USA_Air_Shipment!AO:AO),0),IFERROR(_xlfn.XLOOKUP($D19,MENA!$C:$C,MENA!AO:AO),0),IFERROR(_xlfn.XLOOKUP($D19,UK!$C:$C,UK!AO:AO),0),IFERROR(_xlfn.XLOOKUP($D19,BMM_Order!$C:$C,BMM_Order!AO:AO),0),IFERROR(_xlfn.XLOOKUP($D19,'Adhoc-_Backlog'!$C:$C,'Adhoc-_Backlog'!AQ:AQ),0))</f>
        <v>524</v>
      </c>
      <c r="AY19" s="51">
        <f>SUM(IFERROR(_xlfn.XLOOKUP($D19,Domestic!$C:$C,Domestic!AR:AR),0),IFERROR(_xlfn.XLOOKUP($D19,'INT-_Manjiri'!$C:$C,'INT-_Manjiri'!AQ:AQ),0),IFERROR(_xlfn.XLOOKUP($D19,'USA-_Sea_shipment'!$C:$C,'USA-_Sea_shipment'!AQ:AQ),0),IFERROR(_xlfn.XLOOKUP($D19,Amazon_USA_Sea!$C:$C,Amazon_USA_Sea!AQ:AQ),0),IFERROR(_xlfn.XLOOKUP($D19,USA_Air_Shipment!$C:$C,USA_Air_Shipment!AP:AP),0),IFERROR(_xlfn.XLOOKUP($D19,Amazon_USA_Air_Shipment!$C:$C,Amazon_USA_Air_Shipment!AP:AP),0),IFERROR(_xlfn.XLOOKUP($D19,MENA!$C:$C,MENA!AP:AP),0),IFERROR(_xlfn.XLOOKUP($D19,UK!$C:$C,UK!AP:AP),0),IFERROR(_xlfn.XLOOKUP($D19,BMM_Order!$C:$C,BMM_Order!AP:AP),0),IFERROR(_xlfn.XLOOKUP($D19,'Adhoc-_Backlog'!$C:$C,'Adhoc-_Backlog'!AR:AR),0))</f>
        <v>0</v>
      </c>
      <c r="AZ19" s="51">
        <f>SUM(IFERROR(_xlfn.XLOOKUP($D19,Domestic!$C:$C,Domestic!AS:AS),0),IFERROR(_xlfn.XLOOKUP($D19,'INT-_Manjiri'!$C:$C,'INT-_Manjiri'!AR:AR),0),IFERROR(_xlfn.XLOOKUP($D19,'USA-_Sea_shipment'!$C:$C,'USA-_Sea_shipment'!AR:AR),0),IFERROR(_xlfn.XLOOKUP($D19,Amazon_USA_Sea!$C:$C,Amazon_USA_Sea!AR:AR),0),IFERROR(_xlfn.XLOOKUP($D19,USA_Air_Shipment!$C:$C,USA_Air_Shipment!AQ:AQ),0),IFERROR(_xlfn.XLOOKUP($D19,Amazon_USA_Air_Shipment!$C:$C,Amazon_USA_Air_Shipment!AQ:AQ),0),IFERROR(_xlfn.XLOOKUP($D19,MENA!$C:$C,MENA!AQ:AQ),0),IFERROR(_xlfn.XLOOKUP($D19,UK!$C:$C,UK!AQ:AQ),0),IFERROR(_xlfn.XLOOKUP($D19,BMM_Order!$C:$C,BMM_Order!AQ:AQ),0),IFERROR(_xlfn.XLOOKUP($D19,'Adhoc-_Backlog'!$C:$C,'Adhoc-_Backlog'!AS:AS),0))</f>
        <v>0</v>
      </c>
      <c r="BA19" s="51">
        <f>SUM(IFERROR(_xlfn.XLOOKUP($D19,Domestic!$C:$C,Domestic!AT:AT),0),IFERROR(_xlfn.XLOOKUP($D19,'INT-_Manjiri'!$C:$C,'INT-_Manjiri'!AS:AS),0),IFERROR(_xlfn.XLOOKUP($D19,'USA-_Sea_shipment'!$C:$C,'USA-_Sea_shipment'!AS:AS),0),IFERROR(_xlfn.XLOOKUP($D19,Amazon_USA_Sea!$C:$C,Amazon_USA_Sea!AS:AS),0),IFERROR(_xlfn.XLOOKUP($D19,USA_Air_Shipment!$C:$C,USA_Air_Shipment!AR:AR),0),IFERROR(_xlfn.XLOOKUP($D19,Amazon_USA_Air_Shipment!$C:$C,Amazon_USA_Air_Shipment!AR:AR),0),IFERROR(_xlfn.XLOOKUP($D19,MENA!$C:$C,MENA!AR:AR),0),IFERROR(_xlfn.XLOOKUP($D19,UK!$C:$C,UK!AR:AR),0),IFERROR(_xlfn.XLOOKUP($D19,BMM_Order!$C:$C,BMM_Order!AR:AR),0),IFERROR(_xlfn.XLOOKUP($D19,'Adhoc-_Backlog'!$C:$C,'Adhoc-_Backlog'!AT:AT),0))</f>
        <v>0</v>
      </c>
      <c r="BB19" s="52">
        <f t="shared" si="2"/>
        <v>7707</v>
      </c>
      <c r="BC19" s="64">
        <f t="shared" si="3"/>
        <v>7707</v>
      </c>
      <c r="BD19" s="65">
        <f t="shared" si="4"/>
        <v>3333.6000000000004</v>
      </c>
      <c r="BE19" s="64">
        <f t="shared" si="5"/>
        <v>3333.6000000000004</v>
      </c>
      <c r="BF19" s="66">
        <f t="shared" si="6"/>
        <v>0.69805988804956254</v>
      </c>
      <c r="BG19" s="67" t="str">
        <f>_xlfn.TEXTJOIN(" | ",TRUE,IFERROR(_xlfn.XLOOKUP($D19,Domestic!$C:$C,Domestic!$BG:$BG,""),""),IFERROR(_xlfn.XLOOKUP($D19,'INT-_Manjiri'!$C:$C,'INT-_Manjiri'!$AY:$AY,""),""),IFERROR(_xlfn.XLOOKUP($D19,'USA-_Sea_shipment'!$C:$C,'USA-_Sea_shipment'!#REF!,""),""),IFERROR(_xlfn.XLOOKUP($D19,Amazon_USA_Sea!$C:$C,Amazon_USA_Sea!$AY:$AY,""),""),IFERROR(_xlfn.XLOOKUP($D19,USA_Air_Shipment!$C:$C,USA_Air_Shipment!$AW:$AW,""),""),IFERROR(_xlfn.XLOOKUP($D19,Amazon_USA_Air_Shipment!$C:$C,Amazon_USA_Air_Shipment!$AW:$AW,""),""),IFERROR(_xlfn.XLOOKUP($D19,MENA!$C:$C,MENA!$AW:$AW,""),""),IFERROR(_xlfn.XLOOKUP($D19,UK!$C:$C,UK!$BA:$BA,""),""),IFERROR(_xlfn.XLOOKUP($D19,BMM_Order!$C:$C,BMM_Order!$BA:$BA,""),""),IFERROR(_xlfn.XLOOKUP($D19,'Adhoc-_Backlog'!$C:$C,'Adhoc-_Backlog'!$BD:$BD,""),""))</f>
        <v/>
      </c>
      <c r="BH19" s="67">
        <f>_xlfn.XLOOKUP(D19,Raw_Data!A:A,Raw_Data!B:B)</f>
        <v>576</v>
      </c>
      <c r="BI19" s="68">
        <f t="shared" si="7"/>
        <v>1.5651323297646866</v>
      </c>
      <c r="BJ19" s="67">
        <f t="shared" si="8"/>
        <v>10</v>
      </c>
      <c r="BK19" s="57" t="str">
        <f t="shared" si="9"/>
        <v>P1 – Critical</v>
      </c>
    </row>
    <row r="20" spans="1:64" ht="18.5">
      <c r="A20" s="77" t="s">
        <v>127</v>
      </c>
      <c r="B20" s="77"/>
      <c r="C20" s="77"/>
      <c r="D20" s="77"/>
      <c r="E20" s="77"/>
      <c r="F20" s="69"/>
      <c r="G20" s="70">
        <f t="shared" ref="G20:AL20" si="10">SUBTOTAL(9,G3:G19)</f>
        <v>113086.55</v>
      </c>
      <c r="H20" s="70">
        <f t="shared" si="10"/>
        <v>0</v>
      </c>
      <c r="I20" s="70">
        <f t="shared" si="10"/>
        <v>2171</v>
      </c>
      <c r="J20" s="70">
        <f t="shared" si="10"/>
        <v>6819</v>
      </c>
      <c r="K20" s="70">
        <f t="shared" si="10"/>
        <v>0</v>
      </c>
      <c r="L20" s="70">
        <f t="shared" si="10"/>
        <v>735</v>
      </c>
      <c r="M20" s="70">
        <f t="shared" si="10"/>
        <v>0</v>
      </c>
      <c r="N20" s="70">
        <f t="shared" si="10"/>
        <v>6995</v>
      </c>
      <c r="O20" s="71">
        <f t="shared" si="10"/>
        <v>129806.55</v>
      </c>
      <c r="P20" s="71">
        <f t="shared" si="10"/>
        <v>598</v>
      </c>
      <c r="Q20" s="71">
        <f t="shared" si="10"/>
        <v>2368</v>
      </c>
      <c r="R20" s="71">
        <f t="shared" si="10"/>
        <v>2664</v>
      </c>
      <c r="S20" s="71">
        <f t="shared" si="10"/>
        <v>2294</v>
      </c>
      <c r="T20" s="71">
        <f t="shared" si="10"/>
        <v>1418</v>
      </c>
      <c r="U20" s="71">
        <f t="shared" si="10"/>
        <v>1220</v>
      </c>
      <c r="V20" s="71">
        <f t="shared" si="10"/>
        <v>1608</v>
      </c>
      <c r="W20" s="71">
        <f t="shared" si="10"/>
        <v>1317</v>
      </c>
      <c r="X20" s="71">
        <f t="shared" si="10"/>
        <v>2022</v>
      </c>
      <c r="Y20" s="71">
        <f t="shared" si="10"/>
        <v>2051</v>
      </c>
      <c r="Z20" s="71">
        <f t="shared" si="10"/>
        <v>2659</v>
      </c>
      <c r="AA20" s="71">
        <f t="shared" si="10"/>
        <v>2285</v>
      </c>
      <c r="AB20" s="71">
        <f t="shared" si="10"/>
        <v>2084</v>
      </c>
      <c r="AC20" s="71">
        <f t="shared" si="10"/>
        <v>0</v>
      </c>
      <c r="AD20" s="71">
        <f t="shared" si="10"/>
        <v>2629</v>
      </c>
      <c r="AE20" s="71">
        <f t="shared" si="10"/>
        <v>3380</v>
      </c>
      <c r="AF20" s="71">
        <f t="shared" si="10"/>
        <v>2666</v>
      </c>
      <c r="AG20" s="71">
        <f t="shared" si="10"/>
        <v>2200</v>
      </c>
      <c r="AH20" s="71">
        <f t="shared" si="10"/>
        <v>2127</v>
      </c>
      <c r="AI20" s="71">
        <f t="shared" si="10"/>
        <v>2806</v>
      </c>
      <c r="AJ20" s="71">
        <f t="shared" si="10"/>
        <v>2587</v>
      </c>
      <c r="AK20" s="71">
        <f t="shared" si="10"/>
        <v>0</v>
      </c>
      <c r="AL20" s="71">
        <f t="shared" si="10"/>
        <v>2015</v>
      </c>
      <c r="AM20" s="71">
        <f t="shared" ref="AM20:BR20" si="11">SUBTOTAL(9,AM3:AM19)</f>
        <v>2559</v>
      </c>
      <c r="AN20" s="71">
        <f t="shared" si="11"/>
        <v>2533</v>
      </c>
      <c r="AO20" s="71">
        <f t="shared" si="11"/>
        <v>2543</v>
      </c>
      <c r="AP20" s="71">
        <f t="shared" si="11"/>
        <v>2039</v>
      </c>
      <c r="AQ20" s="71">
        <f t="shared" si="11"/>
        <v>0</v>
      </c>
      <c r="AR20" s="71">
        <f t="shared" si="11"/>
        <v>2563</v>
      </c>
      <c r="AS20" s="71">
        <f t="shared" si="11"/>
        <v>2566</v>
      </c>
      <c r="AT20" s="71">
        <f t="shared" si="11"/>
        <v>4062</v>
      </c>
      <c r="AU20" s="71">
        <f t="shared" si="11"/>
        <v>0</v>
      </c>
      <c r="AV20" s="71">
        <f t="shared" si="11"/>
        <v>2522</v>
      </c>
      <c r="AW20" s="71">
        <f t="shared" si="11"/>
        <v>2638</v>
      </c>
      <c r="AX20" s="71">
        <f t="shared" si="11"/>
        <v>2854</v>
      </c>
      <c r="AY20" s="71">
        <f t="shared" si="11"/>
        <v>1237</v>
      </c>
      <c r="AZ20" s="71">
        <f t="shared" si="11"/>
        <v>0</v>
      </c>
      <c r="BA20" s="71">
        <f t="shared" si="11"/>
        <v>0</v>
      </c>
      <c r="BB20" s="71">
        <f t="shared" si="11"/>
        <v>73114</v>
      </c>
      <c r="BC20" s="72">
        <f t="shared" si="11"/>
        <v>34555.699999999997</v>
      </c>
      <c r="BD20" s="71">
        <f t="shared" si="11"/>
        <v>56692.549999999996</v>
      </c>
      <c r="BE20" s="72">
        <f t="shared" si="11"/>
        <v>32050.42</v>
      </c>
      <c r="BF20" s="73">
        <f>IFERROR(BB20/O20,0)</f>
        <v>0.56325354922382576</v>
      </c>
      <c r="BG20" s="74"/>
      <c r="BH20" s="74"/>
      <c r="BI20" s="75"/>
      <c r="BJ20" s="74"/>
      <c r="BK20" s="76"/>
    </row>
  </sheetData>
  <autoFilter ref="A2:BL2" xr:uid="{84DAC96C-1790-4354-895C-39B3B7B66706}"/>
  <mergeCells count="1">
    <mergeCell ref="A20:E20"/>
  </mergeCells>
  <conditionalFormatting sqref="BK3:BK19">
    <cfRule type="expression" dxfId="19" priority="4" stopIfTrue="1">
      <formula>NOT(ISERROR(SEARCH("critical",BK3)))</formula>
    </cfRule>
  </conditionalFormatting>
  <conditionalFormatting sqref="BK3:BK19">
    <cfRule type="expression" dxfId="18" priority="3" stopIfTrue="1">
      <formula>NOT(ISERROR(SEARCH("high",BK3)))</formula>
    </cfRule>
  </conditionalFormatting>
  <conditionalFormatting sqref="BK3:BK19">
    <cfRule type="expression" dxfId="17" priority="5" stopIfTrue="1">
      <formula>NOT(ISERROR(SEARCH("normal",BK3)))</formula>
    </cfRule>
  </conditionalFormatting>
  <pageMargins left="0.70000000000000007" right="0.70000000000000007" top="0.75" bottom="0.75" header="0.30000000000000004" footer="0.30000000000000004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69C36-455A-46D7-93A9-58EB2E56FF5A}">
  <sheetPr>
    <pageSetUpPr fitToPage="1"/>
  </sheetPr>
  <dimension ref="A1:BS20"/>
  <sheetViews>
    <sheetView workbookViewId="0"/>
  </sheetViews>
  <sheetFormatPr defaultColWidth="12" defaultRowHeight="15.75" customHeight="1"/>
  <cols>
    <col min="1" max="1" width="7.7265625" customWidth="1"/>
    <col min="2" max="2" width="8.26953125" customWidth="1"/>
    <col min="3" max="3" width="11.81640625" customWidth="1"/>
    <col min="4" max="4" width="40.453125" bestFit="1" customWidth="1"/>
    <col min="5" max="5" width="5.81640625" bestFit="1" customWidth="1"/>
    <col min="6" max="6" width="6.26953125" bestFit="1" customWidth="1"/>
    <col min="7" max="7" width="11.54296875" bestFit="1" customWidth="1"/>
    <col min="8" max="8" width="10.6328125" bestFit="1" customWidth="1"/>
    <col min="9" max="10" width="8.81640625" customWidth="1"/>
    <col min="11" max="11" width="7.7265625" customWidth="1"/>
    <col min="12" max="12" width="8.26953125" customWidth="1"/>
    <col min="13" max="16" width="7.7265625" customWidth="1"/>
    <col min="17" max="23" width="9.26953125" customWidth="1"/>
    <col min="24" max="24" width="8.26953125" customWidth="1"/>
    <col min="25" max="25" width="7.7265625" customWidth="1"/>
    <col min="26" max="36" width="8.26953125" customWidth="1"/>
    <col min="37" max="46" width="9.26953125" customWidth="1"/>
    <col min="47" max="47" width="15.54296875" customWidth="1"/>
    <col min="48" max="48" width="16.453125" customWidth="1"/>
    <col min="49" max="49" width="17.54296875" customWidth="1"/>
    <col min="50" max="58" width="18.36328125" customWidth="1"/>
    <col min="59" max="59" width="36" hidden="1" customWidth="1"/>
    <col min="60" max="60" width="34.08984375" hidden="1" customWidth="1"/>
    <col min="61" max="61" width="18.81640625" hidden="1" customWidth="1"/>
    <col min="62" max="62" width="19.1796875" hidden="1" customWidth="1"/>
    <col min="63" max="63" width="14.81640625" hidden="1" customWidth="1"/>
    <col min="64" max="71" width="12" hidden="1" customWidth="1"/>
    <col min="72" max="72" width="12" customWidth="1"/>
  </cols>
  <sheetData>
    <row r="1" spans="1:71" ht="22.5" customHeight="1">
      <c r="A1" s="78"/>
      <c r="B1" s="79"/>
      <c r="C1" s="79"/>
      <c r="D1" s="79"/>
      <c r="E1" s="79"/>
      <c r="F1" s="79">
        <f>SUBTOTAL(9,F3:F18)</f>
        <v>0</v>
      </c>
      <c r="G1" s="79">
        <f>SUBTOTAL(9,G3:G18)</f>
        <v>107037.55</v>
      </c>
      <c r="H1" s="79">
        <f>SUBTOTAL(9,H3:H18)</f>
        <v>107037.55</v>
      </c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78"/>
      <c r="AP1" s="78"/>
      <c r="AQ1" s="78"/>
      <c r="AR1" s="78"/>
      <c r="AS1" s="78"/>
      <c r="AT1" s="78"/>
      <c r="AU1" s="79">
        <f>SUBTOTAL(9,AU3:AU18)</f>
        <v>61008</v>
      </c>
      <c r="AV1" s="78"/>
      <c r="AW1" s="79">
        <f>SUBTOTAL(9,AW3:AW18)</f>
        <v>46029.55</v>
      </c>
      <c r="AX1" s="80">
        <f>AU1/H1</f>
        <v>0.56996820274754045</v>
      </c>
      <c r="AY1" s="80"/>
      <c r="AZ1" s="80"/>
      <c r="BA1" s="80"/>
      <c r="BB1" s="80"/>
      <c r="BC1" s="80"/>
      <c r="BD1" s="80"/>
      <c r="BE1" s="80"/>
      <c r="BF1" s="80"/>
      <c r="BG1" s="78"/>
      <c r="BH1" s="78"/>
      <c r="BI1" s="78"/>
      <c r="BJ1" s="78"/>
      <c r="BK1" s="78"/>
      <c r="BL1" s="81"/>
      <c r="BM1" s="81"/>
      <c r="BN1" s="81"/>
      <c r="BO1" s="81"/>
      <c r="BP1" s="81"/>
      <c r="BQ1" s="81"/>
      <c r="BR1" s="81"/>
      <c r="BS1" s="81"/>
    </row>
    <row r="2" spans="1:71" ht="87" customHeight="1">
      <c r="A2" s="82" t="s">
        <v>106</v>
      </c>
      <c r="B2" s="82" t="s">
        <v>6</v>
      </c>
      <c r="C2" s="83" t="s">
        <v>59</v>
      </c>
      <c r="D2" s="83" t="s">
        <v>108</v>
      </c>
      <c r="E2" s="84" t="s">
        <v>109</v>
      </c>
      <c r="F2" s="85" t="s">
        <v>128</v>
      </c>
      <c r="G2" s="83" t="s">
        <v>36</v>
      </c>
      <c r="H2" s="86" t="s">
        <v>129</v>
      </c>
      <c r="I2" s="87">
        <v>46258</v>
      </c>
      <c r="J2" s="87">
        <v>46259</v>
      </c>
      <c r="K2" s="87">
        <v>46260</v>
      </c>
      <c r="L2" s="87">
        <v>46261</v>
      </c>
      <c r="M2" s="87">
        <v>46262</v>
      </c>
      <c r="N2" s="87">
        <v>46263</v>
      </c>
      <c r="O2" s="87">
        <v>46264</v>
      </c>
      <c r="P2" s="87">
        <v>46265</v>
      </c>
      <c r="Q2" s="87">
        <v>46266</v>
      </c>
      <c r="R2" s="87">
        <v>46267</v>
      </c>
      <c r="S2" s="87">
        <v>46268</v>
      </c>
      <c r="T2" s="87">
        <v>46269</v>
      </c>
      <c r="U2" s="87">
        <v>46270</v>
      </c>
      <c r="V2" s="87">
        <v>46271</v>
      </c>
      <c r="W2" s="87">
        <v>46272</v>
      </c>
      <c r="X2" s="87">
        <v>46273</v>
      </c>
      <c r="Y2" s="87">
        <v>46274</v>
      </c>
      <c r="Z2" s="87">
        <v>46275</v>
      </c>
      <c r="AA2" s="87">
        <v>46276</v>
      </c>
      <c r="AB2" s="87">
        <v>46277</v>
      </c>
      <c r="AC2" s="87">
        <v>46278</v>
      </c>
      <c r="AD2" s="87">
        <v>46279</v>
      </c>
      <c r="AE2" s="87">
        <v>46280</v>
      </c>
      <c r="AF2" s="87">
        <v>46281</v>
      </c>
      <c r="AG2" s="87">
        <v>46282</v>
      </c>
      <c r="AH2" s="87">
        <v>46283</v>
      </c>
      <c r="AI2" s="87">
        <v>46284</v>
      </c>
      <c r="AJ2" s="87">
        <v>46285</v>
      </c>
      <c r="AK2" s="87">
        <v>46286</v>
      </c>
      <c r="AL2" s="87">
        <v>46287</v>
      </c>
      <c r="AM2" s="87">
        <v>46288</v>
      </c>
      <c r="AN2" s="87">
        <v>46289</v>
      </c>
      <c r="AO2" s="87">
        <v>46290</v>
      </c>
      <c r="AP2" s="87">
        <v>46291</v>
      </c>
      <c r="AQ2" s="87">
        <v>46292</v>
      </c>
      <c r="AR2" s="87">
        <v>46293</v>
      </c>
      <c r="AS2" s="87">
        <v>46294</v>
      </c>
      <c r="AT2" s="87">
        <v>46295</v>
      </c>
      <c r="AU2" s="88" t="s">
        <v>111</v>
      </c>
      <c r="AV2" s="88" t="s">
        <v>112</v>
      </c>
      <c r="AW2" s="88" t="s">
        <v>113</v>
      </c>
      <c r="AX2" s="88" t="s">
        <v>114</v>
      </c>
      <c r="AY2" s="88" t="s">
        <v>115</v>
      </c>
      <c r="AZ2" s="88" t="s">
        <v>63</v>
      </c>
      <c r="BA2" s="89"/>
      <c r="BB2" s="89"/>
      <c r="BC2" s="89"/>
      <c r="BD2" s="89"/>
      <c r="BE2" s="89"/>
      <c r="BF2" s="89"/>
      <c r="BG2" s="90" t="s">
        <v>63</v>
      </c>
      <c r="BH2" s="90" t="s">
        <v>130</v>
      </c>
      <c r="BI2" s="91" t="s">
        <v>131</v>
      </c>
      <c r="BJ2" s="91" t="s">
        <v>132</v>
      </c>
      <c r="BK2" s="91" t="s">
        <v>133</v>
      </c>
      <c r="BL2" s="92"/>
      <c r="BM2" s="92"/>
      <c r="BN2" s="92"/>
      <c r="BO2" s="92"/>
      <c r="BP2" s="92"/>
      <c r="BQ2" s="92"/>
      <c r="BR2" s="92"/>
      <c r="BS2" s="92"/>
    </row>
    <row r="3" spans="1:71" ht="18">
      <c r="A3" s="93">
        <v>1</v>
      </c>
      <c r="B3" s="94" t="s">
        <v>12</v>
      </c>
      <c r="C3" s="95" t="s">
        <v>79</v>
      </c>
      <c r="D3" s="95" t="s">
        <v>37</v>
      </c>
      <c r="E3" s="96">
        <v>0.5</v>
      </c>
      <c r="F3" s="97"/>
      <c r="G3" s="97">
        <f>IFERROR(_xlfn.XLOOKUP(C3, Projection_!A:A, Projection_!J:J), "")</f>
        <v>26254.250000000004</v>
      </c>
      <c r="H3" s="98">
        <f t="shared" ref="H3:H19" si="0">SUM(F3:G3)</f>
        <v>26254.250000000004</v>
      </c>
      <c r="I3" s="99"/>
      <c r="J3" s="99"/>
      <c r="K3" s="99"/>
      <c r="L3" s="99"/>
      <c r="M3" s="99">
        <f>330+668</f>
        <v>998</v>
      </c>
      <c r="N3" s="99">
        <v>210</v>
      </c>
      <c r="O3" s="99"/>
      <c r="P3" s="99"/>
      <c r="Q3" s="99">
        <v>538</v>
      </c>
      <c r="R3" s="99">
        <v>840</v>
      </c>
      <c r="S3" s="99">
        <v>1253</v>
      </c>
      <c r="T3" s="99">
        <f>1040+480+600</f>
        <v>2120</v>
      </c>
      <c r="U3" s="99"/>
      <c r="V3" s="99"/>
      <c r="W3" s="99">
        <v>1511</v>
      </c>
      <c r="X3" s="99"/>
      <c r="Y3" s="99"/>
      <c r="Z3" s="99">
        <v>280</v>
      </c>
      <c r="AA3" s="99"/>
      <c r="AB3" s="99"/>
      <c r="AC3" s="99"/>
      <c r="AD3" s="99"/>
      <c r="AE3" s="99"/>
      <c r="AF3" s="99"/>
      <c r="AG3" s="99">
        <v>441</v>
      </c>
      <c r="AH3" s="99">
        <v>1400</v>
      </c>
      <c r="AI3" s="99">
        <v>912</v>
      </c>
      <c r="AJ3" s="99"/>
      <c r="AK3" s="99">
        <v>1918</v>
      </c>
      <c r="AL3" s="99"/>
      <c r="AM3" s="99">
        <v>585</v>
      </c>
      <c r="AN3" s="99"/>
      <c r="AO3" s="99">
        <f>924+270</f>
        <v>1194</v>
      </c>
      <c r="AP3" s="99">
        <v>1803</v>
      </c>
      <c r="AQ3" s="99">
        <v>1159</v>
      </c>
      <c r="AR3" s="99"/>
      <c r="AS3" s="99"/>
      <c r="AT3" s="99"/>
      <c r="AU3" s="100">
        <f t="shared" ref="AU3:AU19" si="1">SUM($I3:$AT3)</f>
        <v>17162</v>
      </c>
      <c r="AV3" s="101">
        <f t="shared" ref="AV3:AV19" si="2">AU3*$E3</f>
        <v>8581</v>
      </c>
      <c r="AW3" s="102">
        <f t="shared" ref="AW3:AW19" si="3">$H3-AU3</f>
        <v>9092.2500000000036</v>
      </c>
      <c r="AX3" s="101">
        <f t="shared" ref="AX3:AX19" si="4">AW3*$E3</f>
        <v>4546.1250000000018</v>
      </c>
      <c r="AY3" s="103">
        <f t="shared" ref="AY3:AY20" si="5">AU3/H3</f>
        <v>0.65368464153422767</v>
      </c>
      <c r="AZ3" s="104"/>
      <c r="BA3" s="105"/>
      <c r="BB3" s="105"/>
      <c r="BC3" s="105"/>
      <c r="BD3" s="105"/>
      <c r="BE3" s="105"/>
      <c r="BF3" s="105"/>
      <c r="BG3" s="106"/>
      <c r="BH3" s="106"/>
      <c r="BI3" s="107" t="s">
        <v>134</v>
      </c>
      <c r="BJ3" s="108">
        <v>15</v>
      </c>
      <c r="BK3" s="109">
        <f t="shared" ref="BK3:BK13" si="6">H3/BJ3</f>
        <v>1750.2833333333335</v>
      </c>
      <c r="BL3" s="110"/>
      <c r="BM3" s="110"/>
      <c r="BN3" s="110"/>
      <c r="BO3" s="110"/>
      <c r="BP3" s="110"/>
      <c r="BQ3" s="110"/>
      <c r="BR3" s="110"/>
      <c r="BS3" s="110"/>
    </row>
    <row r="4" spans="1:71" ht="18">
      <c r="A4" s="93">
        <v>2</v>
      </c>
      <c r="B4" s="94" t="s">
        <v>12</v>
      </c>
      <c r="C4" s="95" t="s">
        <v>83</v>
      </c>
      <c r="D4" s="95" t="s">
        <v>48</v>
      </c>
      <c r="E4" s="96">
        <v>1</v>
      </c>
      <c r="F4" s="97"/>
      <c r="G4" s="97">
        <f>IFERROR(_xlfn.XLOOKUP(C4, Projection_!A:A, Projection_!J:J), "")</f>
        <v>7585.6</v>
      </c>
      <c r="H4" s="98">
        <f t="shared" si="0"/>
        <v>7585.6</v>
      </c>
      <c r="I4" s="99"/>
      <c r="J4" s="99"/>
      <c r="K4" s="99"/>
      <c r="L4" s="99"/>
      <c r="M4" s="99"/>
      <c r="N4" s="99"/>
      <c r="O4" s="99">
        <f>405+327</f>
        <v>732</v>
      </c>
      <c r="P4" s="99">
        <v>232</v>
      </c>
      <c r="Q4" s="99"/>
      <c r="R4" s="99"/>
      <c r="S4" s="99"/>
      <c r="T4" s="99"/>
      <c r="U4" s="99">
        <v>227</v>
      </c>
      <c r="V4" s="99"/>
      <c r="W4" s="99"/>
      <c r="X4" s="99"/>
      <c r="Y4" s="99">
        <v>773</v>
      </c>
      <c r="Z4" s="99">
        <v>318</v>
      </c>
      <c r="AA4" s="99">
        <v>535</v>
      </c>
      <c r="AB4" s="99"/>
      <c r="AC4" s="99">
        <v>491</v>
      </c>
      <c r="AD4" s="99"/>
      <c r="AE4" s="99"/>
      <c r="AF4" s="99"/>
      <c r="AG4" s="99"/>
      <c r="AH4" s="99">
        <v>314</v>
      </c>
      <c r="AI4" s="99"/>
      <c r="AJ4" s="99"/>
      <c r="AK4" s="99">
        <v>481</v>
      </c>
      <c r="AL4" s="99"/>
      <c r="AM4" s="99"/>
      <c r="AN4" s="99"/>
      <c r="AO4" s="99">
        <v>60</v>
      </c>
      <c r="AP4" s="99">
        <v>380</v>
      </c>
      <c r="AQ4" s="99">
        <v>524</v>
      </c>
      <c r="AR4" s="99"/>
      <c r="AS4" s="99"/>
      <c r="AT4" s="99"/>
      <c r="AU4" s="100">
        <f t="shared" si="1"/>
        <v>5067</v>
      </c>
      <c r="AV4" s="101">
        <f t="shared" si="2"/>
        <v>5067</v>
      </c>
      <c r="AW4" s="102">
        <f t="shared" si="3"/>
        <v>2518.6000000000004</v>
      </c>
      <c r="AX4" s="101">
        <f t="shared" si="4"/>
        <v>2518.6000000000004</v>
      </c>
      <c r="AY4" s="103">
        <f t="shared" si="5"/>
        <v>0.6679761653659565</v>
      </c>
      <c r="AZ4" s="111"/>
      <c r="BA4" s="105"/>
      <c r="BB4" s="105"/>
      <c r="BC4" s="105"/>
      <c r="BD4" s="105"/>
      <c r="BE4" s="105"/>
      <c r="BF4" s="105"/>
      <c r="BG4" s="106"/>
      <c r="BH4" s="106"/>
      <c r="BI4" s="107" t="s">
        <v>135</v>
      </c>
      <c r="BJ4" s="108">
        <v>10</v>
      </c>
      <c r="BK4" s="109">
        <f t="shared" si="6"/>
        <v>758.56000000000006</v>
      </c>
      <c r="BL4" s="110"/>
      <c r="BM4" s="110"/>
      <c r="BN4" s="110"/>
      <c r="BO4" s="110"/>
      <c r="BP4" s="110"/>
      <c r="BQ4" s="110"/>
      <c r="BR4" s="110"/>
      <c r="BS4" s="110"/>
    </row>
    <row r="5" spans="1:71" ht="18">
      <c r="A5" s="93">
        <v>3</v>
      </c>
      <c r="B5" s="94" t="s">
        <v>12</v>
      </c>
      <c r="C5" s="95" t="s">
        <v>80</v>
      </c>
      <c r="D5" s="95" t="s">
        <v>136</v>
      </c>
      <c r="E5" s="96">
        <v>5</v>
      </c>
      <c r="F5" s="97"/>
      <c r="G5" s="97">
        <f>IFERROR(_xlfn.XLOOKUP(C5, Projection_!A:A, Projection_!J:J), "")</f>
        <v>690.25</v>
      </c>
      <c r="H5" s="98">
        <f t="shared" si="0"/>
        <v>690.25</v>
      </c>
      <c r="I5" s="99"/>
      <c r="J5" s="99"/>
      <c r="K5" s="99"/>
      <c r="L5" s="99"/>
      <c r="M5" s="99"/>
      <c r="N5" s="99"/>
      <c r="O5" s="99"/>
      <c r="P5" s="99"/>
      <c r="Q5" s="99">
        <v>156</v>
      </c>
      <c r="R5" s="99">
        <v>37</v>
      </c>
      <c r="S5" s="99"/>
      <c r="T5" s="99"/>
      <c r="U5" s="99"/>
      <c r="V5" s="99"/>
      <c r="W5" s="99"/>
      <c r="X5" s="99"/>
      <c r="Y5" s="99">
        <v>48</v>
      </c>
      <c r="Z5" s="99">
        <v>29</v>
      </c>
      <c r="AA5" s="99">
        <v>93</v>
      </c>
      <c r="AB5" s="99"/>
      <c r="AC5" s="99"/>
      <c r="AD5" s="99"/>
      <c r="AE5" s="99">
        <v>69</v>
      </c>
      <c r="AF5" s="99"/>
      <c r="AG5" s="99"/>
      <c r="AH5" s="99"/>
      <c r="AI5" s="99"/>
      <c r="AJ5" s="99"/>
      <c r="AK5" s="99"/>
      <c r="AL5" s="99"/>
      <c r="AM5" s="99"/>
      <c r="AN5" s="99"/>
      <c r="AO5" s="99"/>
      <c r="AP5" s="99">
        <v>28</v>
      </c>
      <c r="AQ5" s="99"/>
      <c r="AR5" s="99">
        <v>29</v>
      </c>
      <c r="AS5" s="99"/>
      <c r="AT5" s="99"/>
      <c r="AU5" s="100">
        <f t="shared" si="1"/>
        <v>489</v>
      </c>
      <c r="AV5" s="101">
        <f t="shared" si="2"/>
        <v>2445</v>
      </c>
      <c r="AW5" s="102">
        <f t="shared" si="3"/>
        <v>201.25</v>
      </c>
      <c r="AX5" s="101">
        <f t="shared" si="4"/>
        <v>1006.25</v>
      </c>
      <c r="AY5" s="103">
        <f t="shared" si="5"/>
        <v>0.7084389713871786</v>
      </c>
      <c r="AZ5" s="111"/>
      <c r="BA5" s="105"/>
      <c r="BB5" s="105"/>
      <c r="BC5" s="105"/>
      <c r="BD5" s="105"/>
      <c r="BE5" s="105"/>
      <c r="BF5" s="105"/>
      <c r="BG5" s="106"/>
      <c r="BH5" s="106"/>
      <c r="BI5" s="107" t="s">
        <v>135</v>
      </c>
      <c r="BJ5" s="108">
        <v>4</v>
      </c>
      <c r="BK5" s="109">
        <f t="shared" si="6"/>
        <v>172.5625</v>
      </c>
      <c r="BL5" s="110"/>
      <c r="BM5" s="110"/>
      <c r="BN5" s="110"/>
      <c r="BO5" s="110"/>
      <c r="BP5" s="110"/>
      <c r="BQ5" s="110"/>
      <c r="BR5" s="110"/>
      <c r="BS5" s="110"/>
    </row>
    <row r="6" spans="1:71" ht="18">
      <c r="A6" s="93">
        <v>4</v>
      </c>
      <c r="B6" s="94" t="s">
        <v>12</v>
      </c>
      <c r="C6" s="95" t="s">
        <v>82</v>
      </c>
      <c r="D6" s="95" t="s">
        <v>44</v>
      </c>
      <c r="E6" s="96">
        <v>0.25</v>
      </c>
      <c r="F6" s="97"/>
      <c r="G6" s="97">
        <f>IFERROR(_xlfn.XLOOKUP(C6, Projection_!A:A, Projection_!J:J), "")</f>
        <v>20236.7</v>
      </c>
      <c r="H6" s="98">
        <f t="shared" si="0"/>
        <v>20236.7</v>
      </c>
      <c r="I6" s="99"/>
      <c r="J6" s="99">
        <v>1975</v>
      </c>
      <c r="K6" s="99">
        <f>303+428</f>
        <v>731</v>
      </c>
      <c r="L6" s="99">
        <f>934+1077</f>
        <v>2011</v>
      </c>
      <c r="M6" s="99"/>
      <c r="N6" s="99"/>
      <c r="O6" s="99">
        <v>876</v>
      </c>
      <c r="P6" s="99"/>
      <c r="Q6" s="99">
        <v>581</v>
      </c>
      <c r="R6" s="99"/>
      <c r="S6" s="99">
        <v>578</v>
      </c>
      <c r="T6" s="99"/>
      <c r="U6" s="99"/>
      <c r="V6" s="99"/>
      <c r="W6" s="99"/>
      <c r="X6" s="99"/>
      <c r="Y6" s="99"/>
      <c r="Z6" s="99">
        <v>662</v>
      </c>
      <c r="AA6" s="99"/>
      <c r="AB6" s="99">
        <v>1476</v>
      </c>
      <c r="AC6" s="99">
        <v>1672</v>
      </c>
      <c r="AD6" s="99"/>
      <c r="AE6" s="99"/>
      <c r="AF6" s="99">
        <v>480</v>
      </c>
      <c r="AG6" s="99">
        <v>912</v>
      </c>
      <c r="AH6" s="99">
        <v>131</v>
      </c>
      <c r="AI6" s="99"/>
      <c r="AJ6" s="99"/>
      <c r="AK6" s="99"/>
      <c r="AL6" s="99">
        <v>425</v>
      </c>
      <c r="AM6" s="99">
        <v>1185</v>
      </c>
      <c r="AN6" s="99"/>
      <c r="AO6" s="99"/>
      <c r="AP6" s="99"/>
      <c r="AQ6" s="99"/>
      <c r="AR6" s="99"/>
      <c r="AS6" s="99"/>
      <c r="AT6" s="99"/>
      <c r="AU6" s="100">
        <f t="shared" si="1"/>
        <v>13695</v>
      </c>
      <c r="AV6" s="101">
        <f t="shared" si="2"/>
        <v>3423.75</v>
      </c>
      <c r="AW6" s="102">
        <f t="shared" si="3"/>
        <v>6541.7000000000007</v>
      </c>
      <c r="AX6" s="101">
        <f t="shared" si="4"/>
        <v>1635.4250000000002</v>
      </c>
      <c r="AY6" s="103">
        <f t="shared" si="5"/>
        <v>0.67674077295211177</v>
      </c>
      <c r="AZ6" s="111"/>
      <c r="BA6" s="105"/>
      <c r="BB6" s="105"/>
      <c r="BC6" s="105"/>
      <c r="BD6" s="105"/>
      <c r="BE6" s="105"/>
      <c r="BF6" s="105"/>
      <c r="BG6" s="106"/>
      <c r="BH6" s="106"/>
      <c r="BI6" s="107" t="s">
        <v>134</v>
      </c>
      <c r="BJ6" s="108">
        <v>15</v>
      </c>
      <c r="BK6" s="109">
        <f t="shared" si="6"/>
        <v>1349.1133333333335</v>
      </c>
      <c r="BL6" s="110"/>
      <c r="BM6" s="110"/>
      <c r="BN6" s="110"/>
      <c r="BO6" s="110"/>
      <c r="BP6" s="110"/>
      <c r="BQ6" s="110"/>
      <c r="BR6" s="110"/>
      <c r="BS6" s="110"/>
    </row>
    <row r="7" spans="1:71" ht="18">
      <c r="A7" s="93">
        <v>5</v>
      </c>
      <c r="B7" s="94" t="s">
        <v>12</v>
      </c>
      <c r="C7" s="95" t="s">
        <v>76</v>
      </c>
      <c r="D7" s="95" t="s">
        <v>26</v>
      </c>
      <c r="E7" s="96">
        <v>0.5</v>
      </c>
      <c r="F7" s="97"/>
      <c r="G7" s="97">
        <f>IFERROR(_xlfn.XLOOKUP(C7, Projection_!A:A, Projection_!J:J), "")</f>
        <v>2357.3000000000002</v>
      </c>
      <c r="H7" s="98">
        <f t="shared" si="0"/>
        <v>2357.3000000000002</v>
      </c>
      <c r="I7" s="99"/>
      <c r="J7" s="99">
        <v>153</v>
      </c>
      <c r="K7" s="99"/>
      <c r="L7" s="99"/>
      <c r="M7" s="99"/>
      <c r="N7" s="99"/>
      <c r="O7" s="99"/>
      <c r="P7" s="99"/>
      <c r="Q7" s="99"/>
      <c r="R7" s="99"/>
      <c r="S7" s="99"/>
      <c r="T7" s="99"/>
      <c r="U7" s="99">
        <v>80</v>
      </c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>
        <v>729</v>
      </c>
      <c r="AH7" s="99">
        <v>132</v>
      </c>
      <c r="AI7" s="99"/>
      <c r="AJ7" s="99"/>
      <c r="AK7" s="99"/>
      <c r="AL7" s="99"/>
      <c r="AM7" s="99"/>
      <c r="AN7" s="99"/>
      <c r="AO7" s="99"/>
      <c r="AP7" s="99"/>
      <c r="AQ7" s="99"/>
      <c r="AR7" s="99"/>
      <c r="AS7" s="99"/>
      <c r="AT7" s="99"/>
      <c r="AU7" s="100">
        <f t="shared" si="1"/>
        <v>1094</v>
      </c>
      <c r="AV7" s="101">
        <f t="shared" si="2"/>
        <v>547</v>
      </c>
      <c r="AW7" s="102">
        <f t="shared" si="3"/>
        <v>1263.3000000000002</v>
      </c>
      <c r="AX7" s="101">
        <f t="shared" si="4"/>
        <v>631.65000000000009</v>
      </c>
      <c r="AY7" s="103">
        <f t="shared" si="5"/>
        <v>0.46409027276969411</v>
      </c>
      <c r="AZ7" s="104"/>
      <c r="BA7" s="105"/>
      <c r="BB7" s="105"/>
      <c r="BC7" s="105"/>
      <c r="BD7" s="105"/>
      <c r="BE7" s="105"/>
      <c r="BF7" s="105"/>
      <c r="BG7" s="106"/>
      <c r="BH7" s="106"/>
      <c r="BI7" s="107" t="s">
        <v>135</v>
      </c>
      <c r="BJ7" s="108">
        <v>10</v>
      </c>
      <c r="BK7" s="109">
        <f t="shared" si="6"/>
        <v>235.73000000000002</v>
      </c>
      <c r="BL7" s="110"/>
      <c r="BM7" s="110"/>
      <c r="BN7" s="110"/>
      <c r="BO7" s="110"/>
      <c r="BP7" s="110"/>
      <c r="BQ7" s="110"/>
      <c r="BR7" s="110"/>
      <c r="BS7" s="110"/>
    </row>
    <row r="8" spans="1:71" ht="18">
      <c r="A8" s="93">
        <v>6</v>
      </c>
      <c r="B8" s="94" t="s">
        <v>12</v>
      </c>
      <c r="C8" s="95" t="s">
        <v>73</v>
      </c>
      <c r="D8" s="95" t="s">
        <v>23</v>
      </c>
      <c r="E8" s="96">
        <v>0.5</v>
      </c>
      <c r="F8" s="97"/>
      <c r="G8" s="97">
        <f>IFERROR(_xlfn.XLOOKUP(C8, Projection_!A:A, Projection_!J:J), "")</f>
        <v>22726</v>
      </c>
      <c r="H8" s="98">
        <f t="shared" si="0"/>
        <v>22726</v>
      </c>
      <c r="I8" s="99"/>
      <c r="J8" s="99">
        <v>240</v>
      </c>
      <c r="K8" s="99">
        <v>763</v>
      </c>
      <c r="L8" s="99"/>
      <c r="M8" s="99"/>
      <c r="N8" s="99"/>
      <c r="O8" s="99"/>
      <c r="P8" s="99"/>
      <c r="Q8" s="99"/>
      <c r="R8" s="99">
        <v>1174</v>
      </c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>
        <v>1050</v>
      </c>
      <c r="AJ8" s="99"/>
      <c r="AK8" s="99">
        <v>30</v>
      </c>
      <c r="AL8" s="99"/>
      <c r="AM8" s="99"/>
      <c r="AN8" s="99"/>
      <c r="AO8" s="99">
        <v>200</v>
      </c>
      <c r="AP8" s="99">
        <v>427</v>
      </c>
      <c r="AQ8" s="99">
        <v>252</v>
      </c>
      <c r="AR8" s="99"/>
      <c r="AS8" s="99"/>
      <c r="AT8" s="99"/>
      <c r="AU8" s="100">
        <f t="shared" si="1"/>
        <v>4136</v>
      </c>
      <c r="AV8" s="101">
        <f t="shared" si="2"/>
        <v>2068</v>
      </c>
      <c r="AW8" s="102">
        <f t="shared" si="3"/>
        <v>18590</v>
      </c>
      <c r="AX8" s="101">
        <f t="shared" si="4"/>
        <v>9295</v>
      </c>
      <c r="AY8" s="103">
        <f t="shared" si="5"/>
        <v>0.1819941916747338</v>
      </c>
      <c r="AZ8" s="104"/>
      <c r="BA8" s="105"/>
      <c r="BB8" s="105"/>
      <c r="BC8" s="105"/>
      <c r="BD8" s="105"/>
      <c r="BE8" s="105"/>
      <c r="BF8" s="105"/>
      <c r="BG8" s="106"/>
      <c r="BH8" s="106"/>
      <c r="BI8" s="107" t="s">
        <v>135</v>
      </c>
      <c r="BJ8" s="108">
        <v>4</v>
      </c>
      <c r="BK8" s="109">
        <f t="shared" si="6"/>
        <v>5681.5</v>
      </c>
      <c r="BL8" s="110"/>
      <c r="BM8" s="110"/>
      <c r="BN8" s="110"/>
      <c r="BO8" s="110"/>
      <c r="BP8" s="110"/>
      <c r="BQ8" s="110"/>
      <c r="BR8" s="110"/>
      <c r="BS8" s="110"/>
    </row>
    <row r="9" spans="1:71" ht="18">
      <c r="A9" s="93">
        <v>7</v>
      </c>
      <c r="B9" s="94" t="s">
        <v>12</v>
      </c>
      <c r="C9" s="95" t="s">
        <v>74</v>
      </c>
      <c r="D9" s="95" t="s">
        <v>137</v>
      </c>
      <c r="E9" s="112">
        <v>0.5</v>
      </c>
      <c r="F9" s="97"/>
      <c r="G9" s="97">
        <f>IFERROR(_xlfn.XLOOKUP(C9, Projection_!A:A, Projection_!J:J), "")</f>
        <v>10468.700000000001</v>
      </c>
      <c r="H9" s="98">
        <f t="shared" si="0"/>
        <v>10468.700000000001</v>
      </c>
      <c r="I9" s="99"/>
      <c r="J9" s="99"/>
      <c r="K9" s="99"/>
      <c r="L9" s="99"/>
      <c r="M9" s="99"/>
      <c r="N9" s="99">
        <v>547</v>
      </c>
      <c r="O9" s="99"/>
      <c r="P9" s="99">
        <v>267</v>
      </c>
      <c r="Q9" s="99">
        <v>232</v>
      </c>
      <c r="R9" s="99"/>
      <c r="S9" s="99">
        <v>230</v>
      </c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>
        <v>150</v>
      </c>
      <c r="AG9" s="99">
        <v>312</v>
      </c>
      <c r="AH9" s="99">
        <v>354</v>
      </c>
      <c r="AI9" s="99"/>
      <c r="AJ9" s="99"/>
      <c r="AK9" s="99"/>
      <c r="AL9" s="99"/>
      <c r="AM9" s="99">
        <v>429</v>
      </c>
      <c r="AN9" s="99"/>
      <c r="AO9" s="99">
        <v>351</v>
      </c>
      <c r="AP9" s="99"/>
      <c r="AQ9" s="99">
        <v>180</v>
      </c>
      <c r="AR9" s="99">
        <v>329</v>
      </c>
      <c r="AS9" s="99"/>
      <c r="AT9" s="99"/>
      <c r="AU9" s="100">
        <f t="shared" si="1"/>
        <v>3381</v>
      </c>
      <c r="AV9" s="101">
        <f t="shared" si="2"/>
        <v>1690.5</v>
      </c>
      <c r="AW9" s="102">
        <f t="shared" si="3"/>
        <v>7087.7000000000007</v>
      </c>
      <c r="AX9" s="101">
        <f t="shared" si="4"/>
        <v>3543.8500000000004</v>
      </c>
      <c r="AY9" s="103">
        <f t="shared" si="5"/>
        <v>0.32296273653844315</v>
      </c>
      <c r="AZ9" s="113"/>
      <c r="BA9" s="105"/>
      <c r="BB9" s="105"/>
      <c r="BC9" s="105"/>
      <c r="BD9" s="105"/>
      <c r="BE9" s="105"/>
      <c r="BF9" s="105"/>
      <c r="BG9" s="106"/>
      <c r="BH9" s="106"/>
      <c r="BI9" s="107" t="s">
        <v>134</v>
      </c>
      <c r="BJ9" s="108">
        <v>15</v>
      </c>
      <c r="BK9" s="109">
        <f t="shared" si="6"/>
        <v>697.91333333333341</v>
      </c>
      <c r="BL9" s="110"/>
      <c r="BM9" s="81"/>
      <c r="BN9" s="81"/>
      <c r="BO9" s="81"/>
      <c r="BP9" s="81"/>
      <c r="BQ9" s="81"/>
      <c r="BR9" s="81"/>
      <c r="BS9" s="81"/>
    </row>
    <row r="10" spans="1:71" ht="18">
      <c r="A10" s="93">
        <v>8</v>
      </c>
      <c r="B10" s="94" t="s">
        <v>12</v>
      </c>
      <c r="C10" s="95" t="s">
        <v>125</v>
      </c>
      <c r="D10" s="95" t="s">
        <v>46</v>
      </c>
      <c r="E10" s="96">
        <v>0.1</v>
      </c>
      <c r="F10" s="97"/>
      <c r="G10" s="97">
        <f>IFERROR(_xlfn.XLOOKUP(C10, Projection_!A:A, Projection_!J:J), "")</f>
        <v>13966.7</v>
      </c>
      <c r="H10" s="98">
        <f t="shared" si="0"/>
        <v>13966.7</v>
      </c>
      <c r="I10" s="99"/>
      <c r="J10" s="99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>
        <v>3101</v>
      </c>
      <c r="Y10" s="99">
        <v>1548</v>
      </c>
      <c r="Z10" s="99">
        <v>400</v>
      </c>
      <c r="AA10" s="99">
        <v>1236</v>
      </c>
      <c r="AB10" s="99">
        <v>1050</v>
      </c>
      <c r="AC10" s="99"/>
      <c r="AD10" s="99"/>
      <c r="AE10" s="99">
        <v>1620</v>
      </c>
      <c r="AF10" s="99">
        <v>1589</v>
      </c>
      <c r="AG10" s="99">
        <v>139</v>
      </c>
      <c r="AH10" s="99"/>
      <c r="AI10" s="99"/>
      <c r="AJ10" s="99"/>
      <c r="AK10" s="99"/>
      <c r="AL10" s="99">
        <v>2141</v>
      </c>
      <c r="AM10" s="99">
        <v>735</v>
      </c>
      <c r="AN10" s="99"/>
      <c r="AO10" s="99"/>
      <c r="AP10" s="99"/>
      <c r="AQ10" s="99">
        <v>526</v>
      </c>
      <c r="AR10" s="99">
        <v>829</v>
      </c>
      <c r="AS10" s="99"/>
      <c r="AT10" s="99"/>
      <c r="AU10" s="100">
        <f t="shared" si="1"/>
        <v>14914</v>
      </c>
      <c r="AV10" s="101">
        <f t="shared" si="2"/>
        <v>1491.4</v>
      </c>
      <c r="AW10" s="102">
        <f t="shared" si="3"/>
        <v>-947.29999999999927</v>
      </c>
      <c r="AX10" s="101">
        <f t="shared" si="4"/>
        <v>-94.729999999999933</v>
      </c>
      <c r="AY10" s="103">
        <f t="shared" si="5"/>
        <v>1.0678256137813513</v>
      </c>
      <c r="AZ10" s="111"/>
      <c r="BA10" s="105"/>
      <c r="BB10" s="105"/>
      <c r="BC10" s="105"/>
      <c r="BD10" s="105"/>
      <c r="BE10" s="105"/>
      <c r="BF10" s="105"/>
      <c r="BG10" s="106"/>
      <c r="BH10" s="106"/>
      <c r="BI10" s="107">
        <v>11</v>
      </c>
      <c r="BJ10" s="108">
        <v>28</v>
      </c>
      <c r="BK10" s="109">
        <f t="shared" si="6"/>
        <v>498.81071428571431</v>
      </c>
      <c r="BL10" s="110"/>
      <c r="BM10" s="110"/>
      <c r="BN10" s="110"/>
      <c r="BO10" s="110"/>
      <c r="BP10" s="110"/>
      <c r="BQ10" s="110"/>
      <c r="BR10" s="110"/>
      <c r="BS10" s="110"/>
    </row>
    <row r="11" spans="1:71" ht="18">
      <c r="A11" s="93">
        <v>9</v>
      </c>
      <c r="B11" s="94" t="s">
        <v>12</v>
      </c>
      <c r="C11" s="95" t="s">
        <v>81</v>
      </c>
      <c r="D11" s="95" t="s">
        <v>42</v>
      </c>
      <c r="E11" s="96">
        <v>1</v>
      </c>
      <c r="F11" s="97"/>
      <c r="G11" s="97">
        <f>IFERROR(_xlfn.XLOOKUP(C11, Projection_!A:A, Projection_!J:J), "")</f>
        <v>413.05</v>
      </c>
      <c r="H11" s="98">
        <f t="shared" si="0"/>
        <v>413.05</v>
      </c>
      <c r="I11" s="99">
        <v>193</v>
      </c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>
        <v>127</v>
      </c>
      <c r="AG11" s="99"/>
      <c r="AH11" s="99"/>
      <c r="AI11" s="99"/>
      <c r="AJ11" s="99"/>
      <c r="AK11" s="99"/>
      <c r="AL11" s="99"/>
      <c r="AM11" s="99">
        <v>20</v>
      </c>
      <c r="AN11" s="99"/>
      <c r="AO11" s="99"/>
      <c r="AP11" s="99"/>
      <c r="AQ11" s="99"/>
      <c r="AR11" s="99">
        <v>30</v>
      </c>
      <c r="AS11" s="99"/>
      <c r="AT11" s="99"/>
      <c r="AU11" s="100">
        <f t="shared" si="1"/>
        <v>370</v>
      </c>
      <c r="AV11" s="101">
        <f t="shared" si="2"/>
        <v>370</v>
      </c>
      <c r="AW11" s="102">
        <f t="shared" si="3"/>
        <v>43.050000000000011</v>
      </c>
      <c r="AX11" s="101">
        <f t="shared" si="4"/>
        <v>43.050000000000011</v>
      </c>
      <c r="AY11" s="103">
        <f t="shared" si="5"/>
        <v>0.89577532986321262</v>
      </c>
      <c r="AZ11" s="104"/>
      <c r="BA11" s="105"/>
      <c r="BB11" s="105"/>
      <c r="BC11" s="105"/>
      <c r="BD11" s="105"/>
      <c r="BE11" s="105"/>
      <c r="BF11" s="105"/>
      <c r="BG11" s="106"/>
      <c r="BH11" s="106"/>
      <c r="BI11" s="107" t="s">
        <v>135</v>
      </c>
      <c r="BJ11" s="108">
        <v>10</v>
      </c>
      <c r="BK11" s="109">
        <f t="shared" si="6"/>
        <v>41.305</v>
      </c>
      <c r="BL11" s="110"/>
      <c r="BM11" s="110"/>
      <c r="BN11" s="110"/>
      <c r="BO11" s="110"/>
      <c r="BP11" s="110"/>
      <c r="BQ11" s="110"/>
      <c r="BR11" s="110"/>
      <c r="BS11" s="110"/>
    </row>
    <row r="12" spans="1:71" ht="18">
      <c r="A12" s="93">
        <v>10</v>
      </c>
      <c r="B12" s="94" t="s">
        <v>12</v>
      </c>
      <c r="C12" s="95" t="s">
        <v>75</v>
      </c>
      <c r="D12" s="95" t="s">
        <v>25</v>
      </c>
      <c r="E12" s="96">
        <v>0.1</v>
      </c>
      <c r="F12" s="97"/>
      <c r="G12" s="97">
        <f>IFERROR(_xlfn.XLOOKUP(C12, Projection_!A:A, Projection_!J:J), "")</f>
        <v>1242</v>
      </c>
      <c r="H12" s="98">
        <f t="shared" si="0"/>
        <v>1242</v>
      </c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>
        <v>105</v>
      </c>
      <c r="U12" s="99"/>
      <c r="V12" s="99"/>
      <c r="W12" s="99"/>
      <c r="X12" s="99">
        <v>45</v>
      </c>
      <c r="Y12" s="99">
        <v>51</v>
      </c>
      <c r="Z12" s="99"/>
      <c r="AA12" s="99"/>
      <c r="AB12" s="99"/>
      <c r="AC12" s="99"/>
      <c r="AD12" s="99"/>
      <c r="AE12" s="99"/>
      <c r="AF12" s="99">
        <v>45</v>
      </c>
      <c r="AG12" s="99"/>
      <c r="AH12" s="99">
        <v>50</v>
      </c>
      <c r="AI12" s="99"/>
      <c r="AJ12" s="99"/>
      <c r="AK12" s="99">
        <v>47</v>
      </c>
      <c r="AL12" s="99"/>
      <c r="AM12" s="99"/>
      <c r="AN12" s="99"/>
      <c r="AO12" s="99"/>
      <c r="AP12" s="99"/>
      <c r="AQ12" s="99"/>
      <c r="AR12" s="99"/>
      <c r="AS12" s="99"/>
      <c r="AT12" s="99"/>
      <c r="AU12" s="100">
        <f t="shared" si="1"/>
        <v>343</v>
      </c>
      <c r="AV12" s="101">
        <f t="shared" si="2"/>
        <v>34.300000000000004</v>
      </c>
      <c r="AW12" s="102">
        <f t="shared" si="3"/>
        <v>899</v>
      </c>
      <c r="AX12" s="101">
        <f t="shared" si="4"/>
        <v>89.9</v>
      </c>
      <c r="AY12" s="103">
        <f t="shared" si="5"/>
        <v>0.27616747181964574</v>
      </c>
      <c r="AZ12" s="104"/>
      <c r="BA12" s="105"/>
      <c r="BB12" s="105"/>
      <c r="BC12" s="105"/>
      <c r="BD12" s="105"/>
      <c r="BE12" s="105"/>
      <c r="BF12" s="105"/>
      <c r="BG12" s="106"/>
      <c r="BH12" s="106"/>
      <c r="BI12" s="107" t="s">
        <v>134</v>
      </c>
      <c r="BJ12" s="108">
        <v>15</v>
      </c>
      <c r="BK12" s="109">
        <f t="shared" si="6"/>
        <v>82.8</v>
      </c>
      <c r="BL12" s="110"/>
      <c r="BM12" s="110"/>
      <c r="BN12" s="110"/>
      <c r="BO12" s="110"/>
      <c r="BP12" s="110"/>
      <c r="BQ12" s="110"/>
      <c r="BR12" s="110"/>
      <c r="BS12" s="110"/>
    </row>
    <row r="13" spans="1:71" ht="18">
      <c r="A13" s="93">
        <v>12</v>
      </c>
      <c r="B13" s="94" t="s">
        <v>12</v>
      </c>
      <c r="C13" s="95" t="s">
        <v>68</v>
      </c>
      <c r="D13" s="95" t="s">
        <v>13</v>
      </c>
      <c r="E13" s="96">
        <v>0.2</v>
      </c>
      <c r="F13" s="97"/>
      <c r="G13" s="97">
        <f>IFERROR(_xlfn.XLOOKUP(C13, Projection_!A:A, Projection_!J:J), "")</f>
        <v>218</v>
      </c>
      <c r="H13" s="98">
        <f t="shared" si="0"/>
        <v>218</v>
      </c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/>
      <c r="AM13" s="99"/>
      <c r="AN13" s="99"/>
      <c r="AO13" s="99"/>
      <c r="AP13" s="99"/>
      <c r="AQ13" s="99"/>
      <c r="AR13" s="99">
        <v>20</v>
      </c>
      <c r="AS13" s="99"/>
      <c r="AT13" s="99"/>
      <c r="AU13" s="100">
        <f t="shared" si="1"/>
        <v>20</v>
      </c>
      <c r="AV13" s="101">
        <f t="shared" si="2"/>
        <v>4</v>
      </c>
      <c r="AW13" s="102">
        <f t="shared" si="3"/>
        <v>198</v>
      </c>
      <c r="AX13" s="101">
        <f t="shared" si="4"/>
        <v>39.6</v>
      </c>
      <c r="AY13" s="103">
        <f t="shared" si="5"/>
        <v>9.1743119266055051E-2</v>
      </c>
      <c r="AZ13" s="111"/>
      <c r="BA13" s="105"/>
      <c r="BB13" s="105"/>
      <c r="BC13" s="105"/>
      <c r="BD13" s="105"/>
      <c r="BE13" s="105"/>
      <c r="BF13" s="105"/>
      <c r="BG13" s="106"/>
      <c r="BH13" s="106"/>
      <c r="BI13" s="107" t="s">
        <v>138</v>
      </c>
      <c r="BJ13" s="108">
        <v>24</v>
      </c>
      <c r="BK13" s="109">
        <f t="shared" si="6"/>
        <v>9.0833333333333339</v>
      </c>
      <c r="BL13" s="110"/>
      <c r="BM13" s="110"/>
      <c r="BN13" s="110"/>
      <c r="BO13" s="110"/>
      <c r="BP13" s="110"/>
      <c r="BQ13" s="110"/>
      <c r="BR13" s="110"/>
      <c r="BS13" s="110"/>
    </row>
    <row r="14" spans="1:71" ht="18">
      <c r="A14" s="93">
        <v>13</v>
      </c>
      <c r="B14" s="94" t="s">
        <v>12</v>
      </c>
      <c r="C14" s="95" t="s">
        <v>78</v>
      </c>
      <c r="D14" s="95" t="s">
        <v>35</v>
      </c>
      <c r="E14" s="96">
        <v>0.2</v>
      </c>
      <c r="F14" s="97"/>
      <c r="G14" s="97">
        <f>IFERROR(_xlfn.XLOOKUP(C14, Projection_!A:A, Projection_!J:J), "")</f>
        <v>274</v>
      </c>
      <c r="H14" s="98">
        <f t="shared" si="0"/>
        <v>274</v>
      </c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>
        <v>60</v>
      </c>
      <c r="U14" s="99"/>
      <c r="V14" s="99"/>
      <c r="W14" s="99"/>
      <c r="X14" s="99"/>
      <c r="Y14" s="99">
        <v>43</v>
      </c>
      <c r="Z14" s="99"/>
      <c r="AA14" s="99"/>
      <c r="AB14" s="99"/>
      <c r="AC14" s="99"/>
      <c r="AD14" s="99"/>
      <c r="AE14" s="99"/>
      <c r="AF14" s="99">
        <v>45</v>
      </c>
      <c r="AG14" s="99"/>
      <c r="AH14" s="99"/>
      <c r="AI14" s="99"/>
      <c r="AJ14" s="99"/>
      <c r="AK14" s="99"/>
      <c r="AL14" s="99"/>
      <c r="AM14" s="99"/>
      <c r="AN14" s="99"/>
      <c r="AO14" s="99"/>
      <c r="AP14" s="99"/>
      <c r="AQ14" s="99"/>
      <c r="AR14" s="99"/>
      <c r="AS14" s="99"/>
      <c r="AT14" s="99"/>
      <c r="AU14" s="100">
        <f t="shared" si="1"/>
        <v>148</v>
      </c>
      <c r="AV14" s="101">
        <f t="shared" si="2"/>
        <v>29.6</v>
      </c>
      <c r="AW14" s="102">
        <f t="shared" si="3"/>
        <v>126</v>
      </c>
      <c r="AX14" s="101">
        <f t="shared" si="4"/>
        <v>25.200000000000003</v>
      </c>
      <c r="AY14" s="103">
        <f t="shared" si="5"/>
        <v>0.54014598540145986</v>
      </c>
      <c r="AZ14" s="111"/>
      <c r="BA14" s="105"/>
      <c r="BB14" s="105"/>
      <c r="BC14" s="105"/>
      <c r="BD14" s="105"/>
      <c r="BE14" s="105"/>
      <c r="BF14" s="105"/>
      <c r="BG14" s="106"/>
      <c r="BH14" s="106"/>
      <c r="BI14" s="107">
        <v>0</v>
      </c>
      <c r="BJ14" s="108">
        <v>0</v>
      </c>
      <c r="BK14" s="109" t="s">
        <v>139</v>
      </c>
      <c r="BL14" s="110"/>
      <c r="BM14" s="110"/>
      <c r="BN14" s="110"/>
      <c r="BO14" s="110"/>
      <c r="BP14" s="110"/>
      <c r="BQ14" s="110"/>
      <c r="BR14" s="110"/>
      <c r="BS14" s="110"/>
    </row>
    <row r="15" spans="1:71" ht="18">
      <c r="A15" s="93">
        <v>14</v>
      </c>
      <c r="B15" s="94" t="s">
        <v>12</v>
      </c>
      <c r="C15" s="95" t="s">
        <v>71</v>
      </c>
      <c r="D15" s="95" t="s">
        <v>21</v>
      </c>
      <c r="E15" s="96">
        <v>0.2</v>
      </c>
      <c r="F15" s="97"/>
      <c r="G15" s="97">
        <f>IFERROR(_xlfn.XLOOKUP(C15, Projection_!A:A, Projection_!J:J), "")</f>
        <v>226</v>
      </c>
      <c r="H15" s="98">
        <f t="shared" si="0"/>
        <v>226</v>
      </c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99"/>
      <c r="AL15" s="99"/>
      <c r="AM15" s="99"/>
      <c r="AN15" s="99"/>
      <c r="AO15" s="99">
        <v>20</v>
      </c>
      <c r="AP15" s="99"/>
      <c r="AQ15" s="99"/>
      <c r="AR15" s="99"/>
      <c r="AS15" s="99"/>
      <c r="AT15" s="99"/>
      <c r="AU15" s="100">
        <f t="shared" si="1"/>
        <v>20</v>
      </c>
      <c r="AV15" s="101">
        <f t="shared" si="2"/>
        <v>4</v>
      </c>
      <c r="AW15" s="102">
        <f t="shared" si="3"/>
        <v>206</v>
      </c>
      <c r="AX15" s="101">
        <f t="shared" si="4"/>
        <v>41.2</v>
      </c>
      <c r="AY15" s="103">
        <f t="shared" si="5"/>
        <v>8.8495575221238937E-2</v>
      </c>
      <c r="AZ15" s="111"/>
      <c r="BA15" s="105"/>
      <c r="BB15" s="105"/>
      <c r="BC15" s="105"/>
      <c r="BD15" s="105"/>
      <c r="BE15" s="105"/>
      <c r="BF15" s="105"/>
      <c r="BG15" s="106"/>
      <c r="BH15" s="106"/>
      <c r="BI15" s="107">
        <v>0</v>
      </c>
      <c r="BJ15" s="108">
        <v>0</v>
      </c>
      <c r="BK15" s="109" t="s">
        <v>139</v>
      </c>
      <c r="BL15" s="110"/>
      <c r="BM15" s="110"/>
      <c r="BN15" s="110"/>
      <c r="BO15" s="110"/>
      <c r="BP15" s="110"/>
      <c r="BQ15" s="110"/>
      <c r="BR15" s="110"/>
      <c r="BS15" s="110"/>
    </row>
    <row r="16" spans="1:71" ht="18">
      <c r="A16" s="93">
        <v>15</v>
      </c>
      <c r="B16" s="94" t="s">
        <v>12</v>
      </c>
      <c r="C16" s="95" t="s">
        <v>72</v>
      </c>
      <c r="D16" s="95" t="s">
        <v>22</v>
      </c>
      <c r="E16" s="96">
        <v>0.2</v>
      </c>
      <c r="F16" s="97"/>
      <c r="G16" s="97">
        <f>IFERROR(_xlfn.XLOOKUP(C16, Projection_!A:A, Projection_!J:J), "")</f>
        <v>118</v>
      </c>
      <c r="H16" s="98">
        <f t="shared" si="0"/>
        <v>118</v>
      </c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>
        <v>123</v>
      </c>
      <c r="AG16" s="99"/>
      <c r="AH16" s="99"/>
      <c r="AI16" s="99"/>
      <c r="AJ16" s="99"/>
      <c r="AK16" s="99"/>
      <c r="AL16" s="99"/>
      <c r="AM16" s="99"/>
      <c r="AN16" s="99"/>
      <c r="AO16" s="99"/>
      <c r="AP16" s="99"/>
      <c r="AQ16" s="99"/>
      <c r="AR16" s="99"/>
      <c r="AS16" s="99"/>
      <c r="AT16" s="99"/>
      <c r="AU16" s="100">
        <f t="shared" si="1"/>
        <v>123</v>
      </c>
      <c r="AV16" s="101">
        <f t="shared" si="2"/>
        <v>24.6</v>
      </c>
      <c r="AW16" s="102">
        <f t="shared" si="3"/>
        <v>-5</v>
      </c>
      <c r="AX16" s="101">
        <f t="shared" si="4"/>
        <v>-1</v>
      </c>
      <c r="AY16" s="103">
        <f t="shared" si="5"/>
        <v>1.0423728813559323</v>
      </c>
      <c r="AZ16" s="111"/>
      <c r="BA16" s="105"/>
      <c r="BB16" s="105"/>
      <c r="BC16" s="105"/>
      <c r="BD16" s="105"/>
      <c r="BE16" s="105"/>
      <c r="BF16" s="105"/>
      <c r="BG16" s="106"/>
      <c r="BH16" s="106"/>
      <c r="BI16" s="107" t="s">
        <v>138</v>
      </c>
      <c r="BJ16" s="108">
        <v>24</v>
      </c>
      <c r="BK16" s="109">
        <f>H16/BJ16</f>
        <v>4.916666666666667</v>
      </c>
      <c r="BL16" s="110"/>
      <c r="BM16" s="110"/>
      <c r="BN16" s="110"/>
      <c r="BO16" s="110"/>
      <c r="BP16" s="110"/>
      <c r="BQ16" s="110"/>
      <c r="BR16" s="110"/>
      <c r="BS16" s="110"/>
    </row>
    <row r="17" spans="1:71" ht="18">
      <c r="A17" s="93">
        <v>16</v>
      </c>
      <c r="B17" s="94" t="s">
        <v>12</v>
      </c>
      <c r="C17" s="95" t="s">
        <v>70</v>
      </c>
      <c r="D17" s="95" t="s">
        <v>14</v>
      </c>
      <c r="E17" s="96">
        <v>0.2</v>
      </c>
      <c r="F17" s="97"/>
      <c r="G17" s="97">
        <f>IFERROR(_xlfn.XLOOKUP(C17, Projection_!A:A, Projection_!J:J), "")</f>
        <v>75</v>
      </c>
      <c r="H17" s="98">
        <f t="shared" si="0"/>
        <v>75</v>
      </c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>
        <v>46</v>
      </c>
      <c r="AF17" s="99"/>
      <c r="AG17" s="99"/>
      <c r="AH17" s="99"/>
      <c r="AI17" s="99"/>
      <c r="AJ17" s="99"/>
      <c r="AK17" s="99"/>
      <c r="AL17" s="99"/>
      <c r="AM17" s="99"/>
      <c r="AN17" s="99"/>
      <c r="AO17" s="99"/>
      <c r="AP17" s="99"/>
      <c r="AQ17" s="99"/>
      <c r="AR17" s="99"/>
      <c r="AS17" s="99"/>
      <c r="AT17" s="99"/>
      <c r="AU17" s="100">
        <f t="shared" si="1"/>
        <v>46</v>
      </c>
      <c r="AV17" s="101">
        <f t="shared" si="2"/>
        <v>9.2000000000000011</v>
      </c>
      <c r="AW17" s="102">
        <f t="shared" si="3"/>
        <v>29</v>
      </c>
      <c r="AX17" s="101">
        <f t="shared" si="4"/>
        <v>5.8000000000000007</v>
      </c>
      <c r="AY17" s="103">
        <f t="shared" si="5"/>
        <v>0.61333333333333329</v>
      </c>
      <c r="AZ17" s="111"/>
      <c r="BA17" s="105"/>
      <c r="BB17" s="105"/>
      <c r="BC17" s="105"/>
      <c r="BD17" s="105"/>
      <c r="BE17" s="105"/>
      <c r="BF17" s="105"/>
      <c r="BG17" s="106"/>
      <c r="BH17" s="106"/>
      <c r="BI17" s="107">
        <v>0</v>
      </c>
      <c r="BJ17" s="108">
        <v>0</v>
      </c>
      <c r="BK17" s="109" t="s">
        <v>139</v>
      </c>
      <c r="BL17" s="110"/>
      <c r="BM17" s="110"/>
      <c r="BN17" s="110"/>
      <c r="BO17" s="110"/>
      <c r="BP17" s="110"/>
      <c r="BQ17" s="110"/>
      <c r="BR17" s="110"/>
      <c r="BS17" s="110"/>
    </row>
    <row r="18" spans="1:71" ht="18">
      <c r="A18" s="93">
        <v>17</v>
      </c>
      <c r="B18" s="94" t="s">
        <v>12</v>
      </c>
      <c r="C18" s="95" t="s">
        <v>67</v>
      </c>
      <c r="D18" s="95" t="s">
        <v>9</v>
      </c>
      <c r="E18" s="96">
        <v>0.2</v>
      </c>
      <c r="F18" s="97"/>
      <c r="G18" s="97">
        <f>IFERROR(_xlfn.XLOOKUP(C18, Projection_!A:A, Projection_!J:J), "")</f>
        <v>186</v>
      </c>
      <c r="H18" s="98">
        <f t="shared" si="0"/>
        <v>186</v>
      </c>
      <c r="I18" s="99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9"/>
      <c r="AK18" s="99"/>
      <c r="AL18" s="99"/>
      <c r="AM18" s="99"/>
      <c r="AN18" s="99"/>
      <c r="AO18" s="99"/>
      <c r="AP18" s="99"/>
      <c r="AQ18" s="99"/>
      <c r="AR18" s="99"/>
      <c r="AS18" s="99"/>
      <c r="AT18" s="99"/>
      <c r="AU18" s="100">
        <f t="shared" si="1"/>
        <v>0</v>
      </c>
      <c r="AV18" s="101">
        <f t="shared" si="2"/>
        <v>0</v>
      </c>
      <c r="AW18" s="102">
        <f t="shared" si="3"/>
        <v>186</v>
      </c>
      <c r="AX18" s="101">
        <f t="shared" si="4"/>
        <v>37.200000000000003</v>
      </c>
      <c r="AY18" s="103">
        <f t="shared" si="5"/>
        <v>0</v>
      </c>
      <c r="AZ18" s="111"/>
      <c r="BA18" s="105"/>
      <c r="BB18" s="105"/>
      <c r="BC18" s="105"/>
      <c r="BD18" s="105"/>
      <c r="BE18" s="105"/>
      <c r="BF18" s="105"/>
      <c r="BG18" s="106"/>
      <c r="BH18" s="114"/>
      <c r="BI18" s="107" t="s">
        <v>138</v>
      </c>
      <c r="BJ18" s="108">
        <v>24</v>
      </c>
      <c r="BK18" s="109">
        <f>H18/BJ18</f>
        <v>7.75</v>
      </c>
      <c r="BL18" s="110"/>
      <c r="BM18" s="110"/>
      <c r="BN18" s="110"/>
      <c r="BO18" s="110"/>
      <c r="BP18" s="110"/>
      <c r="BQ18" s="110"/>
      <c r="BR18" s="110"/>
      <c r="BS18" s="110"/>
    </row>
    <row r="19" spans="1:71" ht="18">
      <c r="A19" s="93">
        <v>19</v>
      </c>
      <c r="B19" s="94" t="s">
        <v>12</v>
      </c>
      <c r="C19" s="115" t="s">
        <v>77</v>
      </c>
      <c r="D19" s="95" t="s">
        <v>140</v>
      </c>
      <c r="E19" s="116">
        <v>1</v>
      </c>
      <c r="F19" s="117"/>
      <c r="G19" s="97">
        <f>IFERROR(_xlfn.XLOOKUP(C19, Projection_!A:A, Projection_!J:J), "")</f>
        <v>6049</v>
      </c>
      <c r="H19" s="98">
        <f t="shared" si="0"/>
        <v>6049</v>
      </c>
      <c r="I19" s="99"/>
      <c r="J19" s="99"/>
      <c r="K19" s="99"/>
      <c r="L19" s="99"/>
      <c r="M19" s="99"/>
      <c r="N19" s="99"/>
      <c r="O19" s="99"/>
      <c r="P19" s="99"/>
      <c r="Q19" s="99">
        <v>192</v>
      </c>
      <c r="R19" s="99"/>
      <c r="S19" s="99"/>
      <c r="T19" s="99"/>
      <c r="U19" s="99">
        <v>576</v>
      </c>
      <c r="V19" s="99"/>
      <c r="W19" s="99">
        <v>69</v>
      </c>
      <c r="X19" s="99"/>
      <c r="Y19" s="99"/>
      <c r="Z19" s="99">
        <v>282</v>
      </c>
      <c r="AA19" s="99"/>
      <c r="AB19" s="99">
        <v>280</v>
      </c>
      <c r="AC19" s="99">
        <v>424</v>
      </c>
      <c r="AD19" s="99"/>
      <c r="AE19" s="99">
        <v>280</v>
      </c>
      <c r="AF19" s="99"/>
      <c r="AG19" s="99"/>
      <c r="AH19" s="99">
        <v>62</v>
      </c>
      <c r="AI19" s="99">
        <v>61</v>
      </c>
      <c r="AJ19" s="99"/>
      <c r="AK19" s="99"/>
      <c r="AL19" s="99"/>
      <c r="AM19" s="99"/>
      <c r="AN19" s="99"/>
      <c r="AO19" s="99">
        <v>105</v>
      </c>
      <c r="AP19" s="99"/>
      <c r="AQ19" s="99"/>
      <c r="AR19" s="99"/>
      <c r="AS19" s="99"/>
      <c r="AT19" s="99"/>
      <c r="AU19" s="100">
        <f t="shared" si="1"/>
        <v>2331</v>
      </c>
      <c r="AV19" s="101">
        <f t="shared" si="2"/>
        <v>2331</v>
      </c>
      <c r="AW19" s="102">
        <f t="shared" si="3"/>
        <v>3718</v>
      </c>
      <c r="AX19" s="101">
        <f t="shared" si="4"/>
        <v>3718</v>
      </c>
      <c r="AY19" s="103">
        <f t="shared" si="5"/>
        <v>0.38535295090097538</v>
      </c>
      <c r="AZ19" s="111"/>
      <c r="BA19" s="105"/>
      <c r="BB19" s="105"/>
      <c r="BC19" s="105"/>
      <c r="BD19" s="105"/>
      <c r="BE19" s="105"/>
      <c r="BF19" s="105"/>
      <c r="BG19" s="106"/>
      <c r="BH19" s="106"/>
      <c r="BI19" s="107"/>
      <c r="BJ19" s="108"/>
      <c r="BK19" s="109"/>
      <c r="BL19" s="110"/>
      <c r="BM19" s="110"/>
      <c r="BN19" s="110"/>
      <c r="BO19" s="110"/>
      <c r="BP19" s="110"/>
      <c r="BQ19" s="110"/>
      <c r="BR19" s="110"/>
      <c r="BS19" s="110"/>
    </row>
    <row r="20" spans="1:71" ht="30" customHeight="1">
      <c r="A20" s="120" t="s">
        <v>127</v>
      </c>
      <c r="B20" s="120"/>
      <c r="C20" s="120"/>
      <c r="D20" s="120"/>
      <c r="E20" s="116"/>
      <c r="F20" s="117">
        <f>SUM(F3:F18)</f>
        <v>0</v>
      </c>
      <c r="G20" s="117">
        <f t="shared" ref="G20:AX20" si="7">SUM(G3:G19)</f>
        <v>113086.55</v>
      </c>
      <c r="H20" s="117">
        <f t="shared" si="7"/>
        <v>113086.55</v>
      </c>
      <c r="I20" s="118">
        <f t="shared" si="7"/>
        <v>193</v>
      </c>
      <c r="J20" s="118">
        <f t="shared" si="7"/>
        <v>2368</v>
      </c>
      <c r="K20" s="118">
        <f t="shared" si="7"/>
        <v>1494</v>
      </c>
      <c r="L20" s="118">
        <f t="shared" si="7"/>
        <v>2011</v>
      </c>
      <c r="M20" s="118">
        <f t="shared" si="7"/>
        <v>998</v>
      </c>
      <c r="N20" s="118">
        <f t="shared" si="7"/>
        <v>757</v>
      </c>
      <c r="O20" s="118">
        <f t="shared" si="7"/>
        <v>1608</v>
      </c>
      <c r="P20" s="118">
        <f t="shared" si="7"/>
        <v>499</v>
      </c>
      <c r="Q20" s="118">
        <f t="shared" si="7"/>
        <v>1699</v>
      </c>
      <c r="R20" s="118">
        <f t="shared" si="7"/>
        <v>2051</v>
      </c>
      <c r="S20" s="118">
        <f t="shared" si="7"/>
        <v>2061</v>
      </c>
      <c r="T20" s="118">
        <f t="shared" si="7"/>
        <v>2285</v>
      </c>
      <c r="U20" s="118">
        <f t="shared" si="7"/>
        <v>883</v>
      </c>
      <c r="V20" s="118">
        <f t="shared" si="7"/>
        <v>0</v>
      </c>
      <c r="W20" s="118">
        <f t="shared" si="7"/>
        <v>1580</v>
      </c>
      <c r="X20" s="118">
        <f t="shared" si="7"/>
        <v>3146</v>
      </c>
      <c r="Y20" s="118">
        <f t="shared" si="7"/>
        <v>2463</v>
      </c>
      <c r="Z20" s="118">
        <f t="shared" si="7"/>
        <v>1971</v>
      </c>
      <c r="AA20" s="118">
        <f t="shared" si="7"/>
        <v>1864</v>
      </c>
      <c r="AB20" s="118">
        <f t="shared" si="7"/>
        <v>2806</v>
      </c>
      <c r="AC20" s="118">
        <f t="shared" si="7"/>
        <v>2587</v>
      </c>
      <c r="AD20" s="118">
        <f t="shared" si="7"/>
        <v>0</v>
      </c>
      <c r="AE20" s="118">
        <f t="shared" si="7"/>
        <v>2015</v>
      </c>
      <c r="AF20" s="118">
        <f t="shared" si="7"/>
        <v>2559</v>
      </c>
      <c r="AG20" s="118">
        <f t="shared" si="7"/>
        <v>2533</v>
      </c>
      <c r="AH20" s="118">
        <f t="shared" si="7"/>
        <v>2443</v>
      </c>
      <c r="AI20" s="118">
        <f t="shared" si="7"/>
        <v>2023</v>
      </c>
      <c r="AJ20" s="118">
        <f t="shared" si="7"/>
        <v>0</v>
      </c>
      <c r="AK20" s="118">
        <f t="shared" si="7"/>
        <v>2476</v>
      </c>
      <c r="AL20" s="118">
        <f t="shared" si="7"/>
        <v>2566</v>
      </c>
      <c r="AM20" s="118">
        <f t="shared" si="7"/>
        <v>2954</v>
      </c>
      <c r="AN20" s="118">
        <f t="shared" si="7"/>
        <v>0</v>
      </c>
      <c r="AO20" s="118">
        <f t="shared" si="7"/>
        <v>1930</v>
      </c>
      <c r="AP20" s="118">
        <f t="shared" si="7"/>
        <v>2638</v>
      </c>
      <c r="AQ20" s="118">
        <f t="shared" si="7"/>
        <v>2641</v>
      </c>
      <c r="AR20" s="118">
        <f t="shared" si="7"/>
        <v>1237</v>
      </c>
      <c r="AS20" s="118">
        <f t="shared" si="7"/>
        <v>0</v>
      </c>
      <c r="AT20" s="118">
        <f t="shared" si="7"/>
        <v>0</v>
      </c>
      <c r="AU20" s="118">
        <f t="shared" si="7"/>
        <v>63339</v>
      </c>
      <c r="AV20" s="118">
        <f t="shared" si="7"/>
        <v>28120.35</v>
      </c>
      <c r="AW20" s="118">
        <f t="shared" si="7"/>
        <v>49747.55</v>
      </c>
      <c r="AX20" s="118">
        <f t="shared" si="7"/>
        <v>27081.120000000003</v>
      </c>
      <c r="AY20" s="119">
        <f t="shared" si="5"/>
        <v>0.56009313220714574</v>
      </c>
      <c r="AZ20" s="111"/>
      <c r="BA20" s="105"/>
      <c r="BB20" s="105"/>
      <c r="BC20" s="105"/>
      <c r="BD20" s="105"/>
      <c r="BE20" s="105"/>
      <c r="BF20" s="105"/>
      <c r="BG20" s="106"/>
      <c r="BH20" s="106"/>
      <c r="BI20" s="107"/>
      <c r="BJ20" s="108"/>
      <c r="BK20" s="109"/>
      <c r="BL20" s="110"/>
      <c r="BM20" s="110"/>
      <c r="BN20" s="110"/>
      <c r="BO20" s="110"/>
      <c r="BP20" s="110"/>
      <c r="BQ20" s="110"/>
      <c r="BR20" s="110"/>
      <c r="BS20" s="110"/>
    </row>
  </sheetData>
  <autoFilter ref="A2:AZ2" xr:uid="{4F604032-5396-4092-9D40-61D1020B8BBC}"/>
  <mergeCells count="1">
    <mergeCell ref="A20:D20"/>
  </mergeCells>
  <conditionalFormatting sqref="I3:AT19">
    <cfRule type="cellIs" dxfId="16" priority="6" stopIfTrue="1" operator="lessThanOrEqual">
      <formula>0</formula>
    </cfRule>
  </conditionalFormatting>
  <printOptions horizontalCentered="1" gridLines="1"/>
  <pageMargins left="0.70000000000000007" right="0.70000000000000007" top="0.75000000000000011" bottom="0.75000000000000011" header="0" footer="0"/>
  <pageSetup paperSize="0" fitToHeight="0" pageOrder="overThenDown" orientation="landscape" cellComments="asDisplayed" horizontalDpi="0" verticalDpi="0" copies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A4E89-57E6-4B9A-8D2F-37D3514CECB9}">
  <sheetPr>
    <pageSetUpPr fitToPage="1"/>
  </sheetPr>
  <dimension ref="A1:AY22"/>
  <sheetViews>
    <sheetView workbookViewId="0"/>
  </sheetViews>
  <sheetFormatPr defaultColWidth="12" defaultRowHeight="15.75" customHeight="1"/>
  <cols>
    <col min="1" max="2" width="12" customWidth="1"/>
    <col min="3" max="3" width="15.54296875" hidden="1" customWidth="1"/>
    <col min="4" max="4" width="53.453125" customWidth="1"/>
    <col min="5" max="5" width="12" hidden="1" customWidth="1"/>
    <col min="6" max="6" width="13.453125" hidden="1" customWidth="1"/>
    <col min="7" max="7" width="8.26953125" customWidth="1"/>
    <col min="8" max="8" width="8.81640625" customWidth="1"/>
    <col min="9" max="9" width="7.7265625" customWidth="1"/>
    <col min="10" max="10" width="8.26953125" customWidth="1"/>
    <col min="11" max="14" width="7.7265625" customWidth="1"/>
    <col min="15" max="21" width="9.26953125" customWidth="1"/>
    <col min="22" max="22" width="8.26953125" customWidth="1"/>
    <col min="23" max="23" width="7.7265625" customWidth="1"/>
    <col min="24" max="34" width="8.26953125" customWidth="1"/>
    <col min="35" max="45" width="9.26953125" customWidth="1"/>
    <col min="46" max="50" width="14.1796875" customWidth="1"/>
    <col min="51" max="51" width="36" customWidth="1"/>
    <col min="52" max="52" width="12" customWidth="1"/>
  </cols>
  <sheetData>
    <row r="1" spans="1:51" ht="22.5" customHeight="1">
      <c r="A1" s="78"/>
      <c r="B1" s="79"/>
      <c r="C1" s="79"/>
      <c r="D1" s="121" t="s">
        <v>141</v>
      </c>
      <c r="E1" s="79"/>
      <c r="F1" s="79">
        <f t="shared" ref="F1:AK1" si="0">SUBTOTAL(9,F3:F21)</f>
        <v>0</v>
      </c>
      <c r="G1" s="79">
        <f t="shared" si="0"/>
        <v>0</v>
      </c>
      <c r="H1" s="78">
        <f t="shared" si="0"/>
        <v>0</v>
      </c>
      <c r="I1" s="78">
        <f t="shared" si="0"/>
        <v>0</v>
      </c>
      <c r="J1" s="78">
        <f t="shared" si="0"/>
        <v>0</v>
      </c>
      <c r="K1" s="78">
        <f t="shared" si="0"/>
        <v>0</v>
      </c>
      <c r="L1" s="78">
        <f t="shared" si="0"/>
        <v>0</v>
      </c>
      <c r="M1" s="78">
        <f t="shared" si="0"/>
        <v>0</v>
      </c>
      <c r="N1" s="78">
        <f t="shared" si="0"/>
        <v>0</v>
      </c>
      <c r="O1" s="78">
        <f t="shared" si="0"/>
        <v>0</v>
      </c>
      <c r="P1" s="78">
        <f t="shared" si="0"/>
        <v>0</v>
      </c>
      <c r="Q1" s="78">
        <f t="shared" si="0"/>
        <v>0</v>
      </c>
      <c r="R1" s="78">
        <f t="shared" si="0"/>
        <v>0</v>
      </c>
      <c r="S1" s="78">
        <f t="shared" si="0"/>
        <v>0</v>
      </c>
      <c r="T1" s="78">
        <f t="shared" si="0"/>
        <v>0</v>
      </c>
      <c r="U1" s="78">
        <f t="shared" si="0"/>
        <v>0</v>
      </c>
      <c r="V1" s="78">
        <f t="shared" si="0"/>
        <v>0</v>
      </c>
      <c r="W1" s="78">
        <f t="shared" si="0"/>
        <v>0</v>
      </c>
      <c r="X1" s="78">
        <f t="shared" si="0"/>
        <v>0</v>
      </c>
      <c r="Y1" s="78">
        <f t="shared" si="0"/>
        <v>0</v>
      </c>
      <c r="Z1" s="78">
        <f t="shared" si="0"/>
        <v>0</v>
      </c>
      <c r="AA1" s="78">
        <f t="shared" si="0"/>
        <v>0</v>
      </c>
      <c r="AB1" s="78">
        <f t="shared" si="0"/>
        <v>0</v>
      </c>
      <c r="AC1" s="78">
        <f t="shared" si="0"/>
        <v>0</v>
      </c>
      <c r="AD1" s="78">
        <f t="shared" si="0"/>
        <v>0</v>
      </c>
      <c r="AE1" s="78">
        <f t="shared" si="0"/>
        <v>0</v>
      </c>
      <c r="AF1" s="78">
        <f t="shared" si="0"/>
        <v>0</v>
      </c>
      <c r="AG1" s="78">
        <f t="shared" si="0"/>
        <v>0</v>
      </c>
      <c r="AH1" s="78">
        <f t="shared" si="0"/>
        <v>0</v>
      </c>
      <c r="AI1" s="78">
        <f t="shared" si="0"/>
        <v>0</v>
      </c>
      <c r="AJ1" s="78">
        <f t="shared" si="0"/>
        <v>0</v>
      </c>
      <c r="AK1" s="78">
        <f t="shared" si="0"/>
        <v>0</v>
      </c>
      <c r="AL1" s="78"/>
      <c r="AM1" s="78"/>
      <c r="AN1" s="78"/>
      <c r="AO1" s="78"/>
      <c r="AP1" s="78"/>
      <c r="AQ1" s="78"/>
      <c r="AR1" s="78"/>
      <c r="AS1" s="78"/>
      <c r="AT1" s="122">
        <f>SUBTOTAL(9,AT3:AT21)</f>
        <v>0</v>
      </c>
      <c r="AU1" s="123">
        <f>SUBTOTAL(9,AU3:AU21)</f>
        <v>0</v>
      </c>
      <c r="AV1" s="122">
        <f>SUBTOTAL(9,AV3:AV21)</f>
        <v>0</v>
      </c>
      <c r="AW1" s="124">
        <f>SUBTOTAL(9,AW3:AW21)</f>
        <v>0</v>
      </c>
      <c r="AX1" s="125">
        <f>IFERROR(AT1/G1,0)</f>
        <v>0</v>
      </c>
      <c r="AY1" s="78"/>
    </row>
    <row r="2" spans="1:51" s="129" customFormat="1" ht="87" customHeight="1">
      <c r="A2" s="126" t="s">
        <v>106</v>
      </c>
      <c r="B2" s="126" t="s">
        <v>6</v>
      </c>
      <c r="C2" s="83" t="s">
        <v>59</v>
      </c>
      <c r="D2" s="83" t="s">
        <v>108</v>
      </c>
      <c r="E2" s="84" t="s">
        <v>109</v>
      </c>
      <c r="F2" s="85" t="s">
        <v>128</v>
      </c>
      <c r="G2" s="85" t="s">
        <v>142</v>
      </c>
      <c r="H2" s="90" t="s">
        <v>143</v>
      </c>
      <c r="I2" s="90">
        <v>25</v>
      </c>
      <c r="J2" s="90">
        <v>26</v>
      </c>
      <c r="K2" s="90">
        <v>27</v>
      </c>
      <c r="L2" s="90">
        <v>28</v>
      </c>
      <c r="M2" s="90">
        <v>29</v>
      </c>
      <c r="N2" s="90">
        <v>30</v>
      </c>
      <c r="O2" s="90">
        <v>31</v>
      </c>
      <c r="P2" s="90">
        <v>1</v>
      </c>
      <c r="Q2" s="90">
        <v>2</v>
      </c>
      <c r="R2" s="90">
        <v>3</v>
      </c>
      <c r="S2" s="90">
        <v>4</v>
      </c>
      <c r="T2" s="90">
        <v>5</v>
      </c>
      <c r="U2" s="90">
        <v>6</v>
      </c>
      <c r="V2" s="90">
        <v>7</v>
      </c>
      <c r="W2" s="90">
        <v>8</v>
      </c>
      <c r="X2" s="90">
        <v>9</v>
      </c>
      <c r="Y2" s="90">
        <v>10</v>
      </c>
      <c r="Z2" s="90">
        <v>11</v>
      </c>
      <c r="AA2" s="90">
        <v>12</v>
      </c>
      <c r="AB2" s="90">
        <v>13</v>
      </c>
      <c r="AC2" s="90">
        <v>14</v>
      </c>
      <c r="AD2" s="90">
        <v>15</v>
      </c>
      <c r="AE2" s="90">
        <v>16</v>
      </c>
      <c r="AF2" s="90">
        <v>17</v>
      </c>
      <c r="AG2" s="90">
        <v>18</v>
      </c>
      <c r="AH2" s="90">
        <v>19</v>
      </c>
      <c r="AI2" s="90">
        <v>20</v>
      </c>
      <c r="AJ2" s="90">
        <v>21</v>
      </c>
      <c r="AK2" s="90">
        <v>22</v>
      </c>
      <c r="AL2" s="90">
        <v>23</v>
      </c>
      <c r="AM2" s="90">
        <v>24</v>
      </c>
      <c r="AN2" s="90">
        <v>25</v>
      </c>
      <c r="AO2" s="90">
        <v>26</v>
      </c>
      <c r="AP2" s="90">
        <v>27</v>
      </c>
      <c r="AQ2" s="90">
        <v>28</v>
      </c>
      <c r="AR2" s="90">
        <v>29</v>
      </c>
      <c r="AS2" s="90">
        <v>30</v>
      </c>
      <c r="AT2" s="127" t="s">
        <v>111</v>
      </c>
      <c r="AU2" s="127" t="s">
        <v>112</v>
      </c>
      <c r="AV2" s="127" t="s">
        <v>113</v>
      </c>
      <c r="AW2" s="127" t="s">
        <v>114</v>
      </c>
      <c r="AX2" s="128" t="s">
        <v>115</v>
      </c>
      <c r="AY2" s="90" t="s">
        <v>63</v>
      </c>
    </row>
    <row r="3" spans="1:51" ht="18">
      <c r="A3" s="130">
        <v>1</v>
      </c>
      <c r="B3" s="131" t="s">
        <v>12</v>
      </c>
      <c r="C3" s="132" t="s">
        <v>79</v>
      </c>
      <c r="D3" s="132" t="s">
        <v>37</v>
      </c>
      <c r="E3" s="133">
        <v>0.5</v>
      </c>
      <c r="F3" s="133"/>
      <c r="G3" s="134">
        <f>IFERROR(SUM(_xlfn.XLOOKUP(C3, Projection_!A:A, Projection_!K:K), F3),)</f>
        <v>0</v>
      </c>
      <c r="H3" s="135">
        <v>0</v>
      </c>
      <c r="I3" s="135">
        <v>0</v>
      </c>
      <c r="J3" s="135">
        <v>0</v>
      </c>
      <c r="K3" s="135">
        <v>0</v>
      </c>
      <c r="L3" s="135">
        <v>0</v>
      </c>
      <c r="M3" s="135">
        <v>0</v>
      </c>
      <c r="N3" s="135">
        <v>0</v>
      </c>
      <c r="O3" s="135">
        <v>0</v>
      </c>
      <c r="P3" s="135">
        <v>0</v>
      </c>
      <c r="Q3" s="135">
        <v>0</v>
      </c>
      <c r="R3" s="135">
        <v>0</v>
      </c>
      <c r="S3" s="135">
        <v>0</v>
      </c>
      <c r="T3" s="135">
        <v>0</v>
      </c>
      <c r="U3" s="135">
        <v>0</v>
      </c>
      <c r="V3" s="135">
        <v>0</v>
      </c>
      <c r="W3" s="135">
        <v>0</v>
      </c>
      <c r="X3" s="135">
        <v>0</v>
      </c>
      <c r="Y3" s="135">
        <v>0</v>
      </c>
      <c r="Z3" s="135">
        <v>0</v>
      </c>
      <c r="AA3" s="135">
        <v>0</v>
      </c>
      <c r="AB3" s="135">
        <v>0</v>
      </c>
      <c r="AC3" s="135">
        <v>0</v>
      </c>
      <c r="AD3" s="135">
        <v>0</v>
      </c>
      <c r="AE3" s="135">
        <v>0</v>
      </c>
      <c r="AF3" s="135">
        <v>0</v>
      </c>
      <c r="AG3" s="135">
        <v>0</v>
      </c>
      <c r="AH3" s="135">
        <v>0</v>
      </c>
      <c r="AI3" s="135">
        <v>0</v>
      </c>
      <c r="AJ3" s="135">
        <v>0</v>
      </c>
      <c r="AK3" s="135">
        <v>0</v>
      </c>
      <c r="AL3" s="135">
        <v>0</v>
      </c>
      <c r="AM3" s="135">
        <v>0</v>
      </c>
      <c r="AN3" s="135">
        <v>0</v>
      </c>
      <c r="AO3" s="135">
        <v>0</v>
      </c>
      <c r="AP3" s="135">
        <v>0</v>
      </c>
      <c r="AQ3" s="135">
        <v>0</v>
      </c>
      <c r="AR3" s="135">
        <v>0</v>
      </c>
      <c r="AS3" s="135">
        <v>0</v>
      </c>
      <c r="AT3" s="136">
        <f t="shared" ref="AT3:AT21" si="1">SUM($H3:$AS3)</f>
        <v>0</v>
      </c>
      <c r="AU3" s="137">
        <f t="shared" ref="AU3:AU21" si="2">AT3*$E3</f>
        <v>0</v>
      </c>
      <c r="AV3" s="136">
        <f t="shared" ref="AV3:AV21" si="3">$G3-AT3</f>
        <v>0</v>
      </c>
      <c r="AW3" s="137">
        <f t="shared" ref="AW3:AW21" si="4">AV3*$E3</f>
        <v>0</v>
      </c>
      <c r="AX3" s="138">
        <f t="shared" ref="AX3:AX21" si="5">IFERROR(AT3/$G3,0)</f>
        <v>0</v>
      </c>
      <c r="AY3" s="106" t="s">
        <v>69</v>
      </c>
    </row>
    <row r="4" spans="1:51" ht="18">
      <c r="A4" s="139">
        <v>2</v>
      </c>
      <c r="B4" s="131" t="s">
        <v>12</v>
      </c>
      <c r="C4" s="132" t="s">
        <v>83</v>
      </c>
      <c r="D4" s="132" t="s">
        <v>48</v>
      </c>
      <c r="E4" s="133">
        <v>1</v>
      </c>
      <c r="F4" s="133"/>
      <c r="G4" s="134">
        <f>IFERROR(SUM(_xlfn.XLOOKUP(C4, Projection_!A:A, Projection_!K:K), F4),)</f>
        <v>0</v>
      </c>
      <c r="H4" s="135">
        <v>0</v>
      </c>
      <c r="I4" s="135">
        <v>0</v>
      </c>
      <c r="J4" s="135">
        <v>0</v>
      </c>
      <c r="K4" s="135">
        <v>0</v>
      </c>
      <c r="L4" s="135">
        <v>0</v>
      </c>
      <c r="M4" s="135">
        <v>0</v>
      </c>
      <c r="N4" s="135">
        <v>0</v>
      </c>
      <c r="O4" s="135">
        <v>0</v>
      </c>
      <c r="P4" s="135">
        <v>0</v>
      </c>
      <c r="Q4" s="135">
        <v>0</v>
      </c>
      <c r="R4" s="135">
        <v>0</v>
      </c>
      <c r="S4" s="135">
        <v>0</v>
      </c>
      <c r="T4" s="135">
        <v>0</v>
      </c>
      <c r="U4" s="135">
        <v>0</v>
      </c>
      <c r="V4" s="135">
        <v>0</v>
      </c>
      <c r="W4" s="135">
        <v>0</v>
      </c>
      <c r="X4" s="135">
        <v>0</v>
      </c>
      <c r="Y4" s="135">
        <v>0</v>
      </c>
      <c r="Z4" s="135">
        <v>0</v>
      </c>
      <c r="AA4" s="135">
        <v>0</v>
      </c>
      <c r="AB4" s="135">
        <v>0</v>
      </c>
      <c r="AC4" s="135">
        <v>0</v>
      </c>
      <c r="AD4" s="135">
        <v>0</v>
      </c>
      <c r="AE4" s="135">
        <v>0</v>
      </c>
      <c r="AF4" s="135">
        <v>0</v>
      </c>
      <c r="AG4" s="135">
        <v>0</v>
      </c>
      <c r="AH4" s="135">
        <v>0</v>
      </c>
      <c r="AI4" s="135">
        <v>0</v>
      </c>
      <c r="AJ4" s="135">
        <v>0</v>
      </c>
      <c r="AK4" s="135">
        <v>0</v>
      </c>
      <c r="AL4" s="135">
        <v>0</v>
      </c>
      <c r="AM4" s="135">
        <v>0</v>
      </c>
      <c r="AN4" s="135">
        <v>0</v>
      </c>
      <c r="AO4" s="135">
        <v>0</v>
      </c>
      <c r="AP4" s="135">
        <v>0</v>
      </c>
      <c r="AQ4" s="135">
        <v>0</v>
      </c>
      <c r="AR4" s="135">
        <v>0</v>
      </c>
      <c r="AS4" s="135">
        <v>0</v>
      </c>
      <c r="AT4" s="136">
        <f t="shared" si="1"/>
        <v>0</v>
      </c>
      <c r="AU4" s="137">
        <f t="shared" si="2"/>
        <v>0</v>
      </c>
      <c r="AV4" s="136">
        <f t="shared" si="3"/>
        <v>0</v>
      </c>
      <c r="AW4" s="137">
        <f t="shared" si="4"/>
        <v>0</v>
      </c>
      <c r="AX4" s="138">
        <f t="shared" si="5"/>
        <v>0</v>
      </c>
      <c r="AY4" s="106"/>
    </row>
    <row r="5" spans="1:51" ht="18">
      <c r="A5" s="130">
        <v>3</v>
      </c>
      <c r="B5" s="131" t="s">
        <v>12</v>
      </c>
      <c r="C5" s="132" t="s">
        <v>80</v>
      </c>
      <c r="D5" s="132" t="s">
        <v>136</v>
      </c>
      <c r="E5" s="133">
        <v>5</v>
      </c>
      <c r="F5" s="133"/>
      <c r="G5" s="134">
        <f>IFERROR(SUM(_xlfn.XLOOKUP(C5, Projection_!A:A, Projection_!K:K), F5),)</f>
        <v>0</v>
      </c>
      <c r="H5" s="135">
        <v>0</v>
      </c>
      <c r="I5" s="135">
        <v>0</v>
      </c>
      <c r="J5" s="135">
        <v>0</v>
      </c>
      <c r="K5" s="135">
        <v>0</v>
      </c>
      <c r="L5" s="135">
        <v>0</v>
      </c>
      <c r="M5" s="135">
        <v>0</v>
      </c>
      <c r="N5" s="135">
        <v>0</v>
      </c>
      <c r="O5" s="135">
        <v>0</v>
      </c>
      <c r="P5" s="135">
        <v>0</v>
      </c>
      <c r="Q5" s="135">
        <v>0</v>
      </c>
      <c r="R5" s="135">
        <v>0</v>
      </c>
      <c r="S5" s="135">
        <v>0</v>
      </c>
      <c r="T5" s="135">
        <v>0</v>
      </c>
      <c r="U5" s="135">
        <v>0</v>
      </c>
      <c r="V5" s="135">
        <v>0</v>
      </c>
      <c r="W5" s="135">
        <v>0</v>
      </c>
      <c r="X5" s="135">
        <v>0</v>
      </c>
      <c r="Y5" s="135">
        <v>0</v>
      </c>
      <c r="Z5" s="135">
        <v>0</v>
      </c>
      <c r="AA5" s="135">
        <v>0</v>
      </c>
      <c r="AB5" s="135">
        <v>0</v>
      </c>
      <c r="AC5" s="135">
        <v>0</v>
      </c>
      <c r="AD5" s="135">
        <v>0</v>
      </c>
      <c r="AE5" s="135">
        <v>0</v>
      </c>
      <c r="AF5" s="135">
        <v>0</v>
      </c>
      <c r="AG5" s="135">
        <v>0</v>
      </c>
      <c r="AH5" s="135">
        <v>0</v>
      </c>
      <c r="AI5" s="135">
        <v>0</v>
      </c>
      <c r="AJ5" s="135">
        <v>0</v>
      </c>
      <c r="AK5" s="135">
        <v>0</v>
      </c>
      <c r="AL5" s="135">
        <v>0</v>
      </c>
      <c r="AM5" s="135">
        <v>0</v>
      </c>
      <c r="AN5" s="135">
        <v>0</v>
      </c>
      <c r="AO5" s="135">
        <v>0</v>
      </c>
      <c r="AP5" s="135">
        <v>0</v>
      </c>
      <c r="AQ5" s="135">
        <v>0</v>
      </c>
      <c r="AR5" s="135">
        <v>0</v>
      </c>
      <c r="AS5" s="135">
        <v>0</v>
      </c>
      <c r="AT5" s="136">
        <f t="shared" si="1"/>
        <v>0</v>
      </c>
      <c r="AU5" s="137">
        <f t="shared" si="2"/>
        <v>0</v>
      </c>
      <c r="AV5" s="136">
        <f t="shared" si="3"/>
        <v>0</v>
      </c>
      <c r="AW5" s="137">
        <f t="shared" si="4"/>
        <v>0</v>
      </c>
      <c r="AX5" s="138">
        <f t="shared" si="5"/>
        <v>0</v>
      </c>
      <c r="AY5" s="106" t="s">
        <v>69</v>
      </c>
    </row>
    <row r="6" spans="1:51" ht="18">
      <c r="A6" s="139">
        <v>4</v>
      </c>
      <c r="B6" s="131" t="s">
        <v>12</v>
      </c>
      <c r="C6" s="132" t="s">
        <v>82</v>
      </c>
      <c r="D6" s="132" t="s">
        <v>44</v>
      </c>
      <c r="E6" s="133">
        <v>0.25</v>
      </c>
      <c r="F6" s="133"/>
      <c r="G6" s="134">
        <f>IFERROR(SUM(_xlfn.XLOOKUP(C6, Projection_!A:A, Projection_!K:K), F6),)</f>
        <v>0</v>
      </c>
      <c r="H6" s="135">
        <v>0</v>
      </c>
      <c r="I6" s="135">
        <v>0</v>
      </c>
      <c r="J6" s="135">
        <v>0</v>
      </c>
      <c r="K6" s="135">
        <v>0</v>
      </c>
      <c r="L6" s="135">
        <v>0</v>
      </c>
      <c r="M6" s="135">
        <v>0</v>
      </c>
      <c r="N6" s="135">
        <v>0</v>
      </c>
      <c r="O6" s="135">
        <v>0</v>
      </c>
      <c r="P6" s="135">
        <v>0</v>
      </c>
      <c r="Q6" s="135">
        <v>0</v>
      </c>
      <c r="R6" s="135">
        <v>0</v>
      </c>
      <c r="S6" s="135">
        <v>0</v>
      </c>
      <c r="T6" s="135">
        <v>0</v>
      </c>
      <c r="U6" s="135">
        <v>0</v>
      </c>
      <c r="V6" s="135">
        <v>0</v>
      </c>
      <c r="W6" s="135">
        <v>0</v>
      </c>
      <c r="X6" s="135">
        <v>0</v>
      </c>
      <c r="Y6" s="135">
        <v>0</v>
      </c>
      <c r="Z6" s="135">
        <v>0</v>
      </c>
      <c r="AA6" s="135">
        <v>0</v>
      </c>
      <c r="AB6" s="135">
        <v>0</v>
      </c>
      <c r="AC6" s="135">
        <v>0</v>
      </c>
      <c r="AD6" s="135">
        <v>0</v>
      </c>
      <c r="AE6" s="135">
        <v>0</v>
      </c>
      <c r="AF6" s="135">
        <v>0</v>
      </c>
      <c r="AG6" s="135">
        <v>0</v>
      </c>
      <c r="AH6" s="135">
        <v>0</v>
      </c>
      <c r="AI6" s="135">
        <v>0</v>
      </c>
      <c r="AJ6" s="135">
        <v>0</v>
      </c>
      <c r="AK6" s="135">
        <v>0</v>
      </c>
      <c r="AL6" s="135">
        <v>0</v>
      </c>
      <c r="AM6" s="135">
        <v>0</v>
      </c>
      <c r="AN6" s="135">
        <v>0</v>
      </c>
      <c r="AO6" s="135">
        <v>0</v>
      </c>
      <c r="AP6" s="135">
        <v>0</v>
      </c>
      <c r="AQ6" s="135">
        <v>0</v>
      </c>
      <c r="AR6" s="135">
        <v>0</v>
      </c>
      <c r="AS6" s="135">
        <v>0</v>
      </c>
      <c r="AT6" s="136">
        <f t="shared" si="1"/>
        <v>0</v>
      </c>
      <c r="AU6" s="137">
        <f t="shared" si="2"/>
        <v>0</v>
      </c>
      <c r="AV6" s="136">
        <f t="shared" si="3"/>
        <v>0</v>
      </c>
      <c r="AW6" s="137">
        <f t="shared" si="4"/>
        <v>0</v>
      </c>
      <c r="AX6" s="138">
        <f t="shared" si="5"/>
        <v>0</v>
      </c>
      <c r="AY6" s="106"/>
    </row>
    <row r="7" spans="1:51" ht="18">
      <c r="A7" s="130">
        <v>5</v>
      </c>
      <c r="B7" s="131" t="s">
        <v>12</v>
      </c>
      <c r="C7" s="132" t="s">
        <v>76</v>
      </c>
      <c r="D7" s="132" t="s">
        <v>26</v>
      </c>
      <c r="E7" s="133">
        <v>0.5</v>
      </c>
      <c r="F7" s="133"/>
      <c r="G7" s="134">
        <f>IFERROR(SUM(_xlfn.XLOOKUP(C7, Projection_!A:A, Projection_!K:K), F7),)</f>
        <v>0</v>
      </c>
      <c r="H7" s="135">
        <v>0</v>
      </c>
      <c r="I7" s="135">
        <v>0</v>
      </c>
      <c r="J7" s="135">
        <v>0</v>
      </c>
      <c r="K7" s="135">
        <v>0</v>
      </c>
      <c r="L7" s="135">
        <v>0</v>
      </c>
      <c r="M7" s="135">
        <v>0</v>
      </c>
      <c r="N7" s="135">
        <v>0</v>
      </c>
      <c r="O7" s="135">
        <v>0</v>
      </c>
      <c r="P7" s="135">
        <v>0</v>
      </c>
      <c r="Q7" s="135">
        <v>0</v>
      </c>
      <c r="R7" s="135">
        <v>0</v>
      </c>
      <c r="S7" s="135">
        <v>0</v>
      </c>
      <c r="T7" s="135">
        <v>0</v>
      </c>
      <c r="U7" s="135">
        <v>0</v>
      </c>
      <c r="V7" s="135">
        <v>0</v>
      </c>
      <c r="W7" s="135">
        <v>0</v>
      </c>
      <c r="X7" s="135">
        <v>0</v>
      </c>
      <c r="Y7" s="135">
        <v>0</v>
      </c>
      <c r="Z7" s="135">
        <v>0</v>
      </c>
      <c r="AA7" s="135">
        <v>0</v>
      </c>
      <c r="AB7" s="135">
        <v>0</v>
      </c>
      <c r="AC7" s="135">
        <v>0</v>
      </c>
      <c r="AD7" s="135">
        <v>0</v>
      </c>
      <c r="AE7" s="135">
        <v>0</v>
      </c>
      <c r="AF7" s="135">
        <v>0</v>
      </c>
      <c r="AG7" s="135">
        <v>0</v>
      </c>
      <c r="AH7" s="135">
        <v>0</v>
      </c>
      <c r="AI7" s="135">
        <v>0</v>
      </c>
      <c r="AJ7" s="135">
        <v>0</v>
      </c>
      <c r="AK7" s="135">
        <v>0</v>
      </c>
      <c r="AL7" s="135">
        <v>0</v>
      </c>
      <c r="AM7" s="135">
        <v>0</v>
      </c>
      <c r="AN7" s="135">
        <v>0</v>
      </c>
      <c r="AO7" s="135">
        <v>0</v>
      </c>
      <c r="AP7" s="135">
        <v>0</v>
      </c>
      <c r="AQ7" s="135">
        <v>0</v>
      </c>
      <c r="AR7" s="135">
        <v>0</v>
      </c>
      <c r="AS7" s="135">
        <v>0</v>
      </c>
      <c r="AT7" s="136">
        <f t="shared" si="1"/>
        <v>0</v>
      </c>
      <c r="AU7" s="137">
        <f t="shared" si="2"/>
        <v>0</v>
      </c>
      <c r="AV7" s="136">
        <f t="shared" si="3"/>
        <v>0</v>
      </c>
      <c r="AW7" s="137">
        <f t="shared" si="4"/>
        <v>0</v>
      </c>
      <c r="AX7" s="138">
        <f t="shared" si="5"/>
        <v>0</v>
      </c>
      <c r="AY7" s="106" t="s">
        <v>69</v>
      </c>
    </row>
    <row r="8" spans="1:51" ht="18">
      <c r="A8" s="139">
        <v>6</v>
      </c>
      <c r="B8" s="131" t="s">
        <v>12</v>
      </c>
      <c r="C8" s="132" t="s">
        <v>73</v>
      </c>
      <c r="D8" s="132" t="s">
        <v>23</v>
      </c>
      <c r="E8" s="133">
        <v>0.5</v>
      </c>
      <c r="F8" s="133"/>
      <c r="G8" s="134">
        <f>IFERROR(SUM(_xlfn.XLOOKUP(C8, Projection_!A:A, Projection_!K:K), F8),)</f>
        <v>0</v>
      </c>
      <c r="H8" s="135">
        <v>0</v>
      </c>
      <c r="I8" s="135">
        <v>0</v>
      </c>
      <c r="J8" s="135">
        <v>0</v>
      </c>
      <c r="K8" s="135">
        <v>0</v>
      </c>
      <c r="L8" s="135">
        <v>0</v>
      </c>
      <c r="M8" s="135">
        <v>0</v>
      </c>
      <c r="N8" s="135">
        <v>0</v>
      </c>
      <c r="O8" s="135">
        <v>0</v>
      </c>
      <c r="P8" s="135">
        <v>0</v>
      </c>
      <c r="Q8" s="135">
        <v>0</v>
      </c>
      <c r="R8" s="135">
        <v>0</v>
      </c>
      <c r="S8" s="135">
        <v>0</v>
      </c>
      <c r="T8" s="135">
        <v>0</v>
      </c>
      <c r="U8" s="135">
        <v>0</v>
      </c>
      <c r="V8" s="135">
        <v>0</v>
      </c>
      <c r="W8" s="135">
        <v>0</v>
      </c>
      <c r="X8" s="135">
        <v>0</v>
      </c>
      <c r="Y8" s="135">
        <v>0</v>
      </c>
      <c r="Z8" s="135">
        <v>0</v>
      </c>
      <c r="AA8" s="135">
        <v>0</v>
      </c>
      <c r="AB8" s="135">
        <v>0</v>
      </c>
      <c r="AC8" s="135">
        <v>0</v>
      </c>
      <c r="AD8" s="135">
        <v>0</v>
      </c>
      <c r="AE8" s="135">
        <v>0</v>
      </c>
      <c r="AF8" s="135">
        <v>0</v>
      </c>
      <c r="AG8" s="135">
        <v>0</v>
      </c>
      <c r="AH8" s="135">
        <v>0</v>
      </c>
      <c r="AI8" s="135">
        <v>0</v>
      </c>
      <c r="AJ8" s="135">
        <v>0</v>
      </c>
      <c r="AK8" s="135">
        <v>0</v>
      </c>
      <c r="AL8" s="135">
        <v>0</v>
      </c>
      <c r="AM8" s="135">
        <v>0</v>
      </c>
      <c r="AN8" s="135">
        <v>0</v>
      </c>
      <c r="AO8" s="135">
        <v>0</v>
      </c>
      <c r="AP8" s="135">
        <v>0</v>
      </c>
      <c r="AQ8" s="135">
        <v>0</v>
      </c>
      <c r="AR8" s="135">
        <v>0</v>
      </c>
      <c r="AS8" s="135">
        <v>0</v>
      </c>
      <c r="AT8" s="136">
        <f t="shared" si="1"/>
        <v>0</v>
      </c>
      <c r="AU8" s="137">
        <f t="shared" si="2"/>
        <v>0</v>
      </c>
      <c r="AV8" s="136">
        <f t="shared" si="3"/>
        <v>0</v>
      </c>
      <c r="AW8" s="137">
        <f t="shared" si="4"/>
        <v>0</v>
      </c>
      <c r="AX8" s="138">
        <f t="shared" si="5"/>
        <v>0</v>
      </c>
      <c r="AY8" s="106" t="s">
        <v>69</v>
      </c>
    </row>
    <row r="9" spans="1:51" ht="18">
      <c r="A9" s="130">
        <v>7</v>
      </c>
      <c r="B9" s="131" t="s">
        <v>12</v>
      </c>
      <c r="C9" s="132" t="s">
        <v>74</v>
      </c>
      <c r="D9" s="132" t="s">
        <v>24</v>
      </c>
      <c r="E9" s="112">
        <v>0.5</v>
      </c>
      <c r="F9" s="133"/>
      <c r="G9" s="134">
        <f>IFERROR(SUM(_xlfn.XLOOKUP(C9, Projection_!A:A, Projection_!K:K), F9),)</f>
        <v>0</v>
      </c>
      <c r="H9" s="135">
        <v>0</v>
      </c>
      <c r="I9" s="135">
        <v>0</v>
      </c>
      <c r="J9" s="135">
        <v>0</v>
      </c>
      <c r="K9" s="135">
        <v>0</v>
      </c>
      <c r="L9" s="135">
        <v>0</v>
      </c>
      <c r="M9" s="135">
        <v>0</v>
      </c>
      <c r="N9" s="135">
        <v>0</v>
      </c>
      <c r="O9" s="135">
        <v>0</v>
      </c>
      <c r="P9" s="135">
        <v>0</v>
      </c>
      <c r="Q9" s="135">
        <v>0</v>
      </c>
      <c r="R9" s="135">
        <v>0</v>
      </c>
      <c r="S9" s="135">
        <v>0</v>
      </c>
      <c r="T9" s="135">
        <v>0</v>
      </c>
      <c r="U9" s="135">
        <v>0</v>
      </c>
      <c r="V9" s="135">
        <v>0</v>
      </c>
      <c r="W9" s="135">
        <v>0</v>
      </c>
      <c r="X9" s="135">
        <v>0</v>
      </c>
      <c r="Y9" s="135">
        <v>0</v>
      </c>
      <c r="Z9" s="135">
        <v>0</v>
      </c>
      <c r="AA9" s="135">
        <v>0</v>
      </c>
      <c r="AB9" s="135">
        <v>0</v>
      </c>
      <c r="AC9" s="135">
        <v>0</v>
      </c>
      <c r="AD9" s="135">
        <v>0</v>
      </c>
      <c r="AE9" s="135">
        <v>0</v>
      </c>
      <c r="AF9" s="135">
        <v>0</v>
      </c>
      <c r="AG9" s="135">
        <v>0</v>
      </c>
      <c r="AH9" s="135">
        <v>0</v>
      </c>
      <c r="AI9" s="135">
        <v>0</v>
      </c>
      <c r="AJ9" s="135">
        <v>0</v>
      </c>
      <c r="AK9" s="135">
        <v>0</v>
      </c>
      <c r="AL9" s="135">
        <v>0</v>
      </c>
      <c r="AM9" s="135">
        <v>0</v>
      </c>
      <c r="AN9" s="135">
        <v>0</v>
      </c>
      <c r="AO9" s="135">
        <v>0</v>
      </c>
      <c r="AP9" s="135">
        <v>0</v>
      </c>
      <c r="AQ9" s="135">
        <v>0</v>
      </c>
      <c r="AR9" s="135">
        <v>0</v>
      </c>
      <c r="AS9" s="135">
        <v>0</v>
      </c>
      <c r="AT9" s="136">
        <f t="shared" si="1"/>
        <v>0</v>
      </c>
      <c r="AU9" s="137">
        <f t="shared" si="2"/>
        <v>0</v>
      </c>
      <c r="AV9" s="136">
        <f t="shared" si="3"/>
        <v>0</v>
      </c>
      <c r="AW9" s="137">
        <f t="shared" si="4"/>
        <v>0</v>
      </c>
      <c r="AX9" s="138">
        <f t="shared" si="5"/>
        <v>0</v>
      </c>
      <c r="AY9" s="106"/>
    </row>
    <row r="10" spans="1:51" ht="18">
      <c r="A10" s="139">
        <v>8</v>
      </c>
      <c r="B10" s="131" t="s">
        <v>12</v>
      </c>
      <c r="C10" s="132" t="s">
        <v>125</v>
      </c>
      <c r="D10" s="132" t="s">
        <v>46</v>
      </c>
      <c r="E10" s="133">
        <v>0.1</v>
      </c>
      <c r="F10" s="133"/>
      <c r="G10" s="134">
        <f>IFERROR(SUM(_xlfn.XLOOKUP(C10, Projection_!A:A, Projection_!K:K), F10),)</f>
        <v>0</v>
      </c>
      <c r="H10" s="135">
        <v>0</v>
      </c>
      <c r="I10" s="135">
        <v>0</v>
      </c>
      <c r="J10" s="135">
        <v>0</v>
      </c>
      <c r="K10" s="135">
        <v>0</v>
      </c>
      <c r="L10" s="135">
        <v>0</v>
      </c>
      <c r="M10" s="135">
        <v>0</v>
      </c>
      <c r="N10" s="135">
        <v>0</v>
      </c>
      <c r="O10" s="135">
        <v>0</v>
      </c>
      <c r="P10" s="135">
        <v>0</v>
      </c>
      <c r="Q10" s="135">
        <v>0</v>
      </c>
      <c r="R10" s="135">
        <v>0</v>
      </c>
      <c r="S10" s="135">
        <v>0</v>
      </c>
      <c r="T10" s="135">
        <v>0</v>
      </c>
      <c r="U10" s="135">
        <v>0</v>
      </c>
      <c r="V10" s="135">
        <v>0</v>
      </c>
      <c r="W10" s="135">
        <v>0</v>
      </c>
      <c r="X10" s="135">
        <v>0</v>
      </c>
      <c r="Y10" s="135">
        <v>0</v>
      </c>
      <c r="Z10" s="135">
        <v>0</v>
      </c>
      <c r="AA10" s="135">
        <v>0</v>
      </c>
      <c r="AB10" s="135">
        <v>0</v>
      </c>
      <c r="AC10" s="135">
        <v>0</v>
      </c>
      <c r="AD10" s="135">
        <v>0</v>
      </c>
      <c r="AE10" s="135">
        <v>0</v>
      </c>
      <c r="AF10" s="135">
        <v>0</v>
      </c>
      <c r="AG10" s="135">
        <v>0</v>
      </c>
      <c r="AH10" s="135">
        <v>0</v>
      </c>
      <c r="AI10" s="135">
        <v>0</v>
      </c>
      <c r="AJ10" s="135">
        <v>0</v>
      </c>
      <c r="AK10" s="135">
        <v>0</v>
      </c>
      <c r="AL10" s="135">
        <v>0</v>
      </c>
      <c r="AM10" s="135">
        <v>0</v>
      </c>
      <c r="AN10" s="135">
        <v>0</v>
      </c>
      <c r="AO10" s="135">
        <v>0</v>
      </c>
      <c r="AP10" s="135">
        <v>0</v>
      </c>
      <c r="AQ10" s="135">
        <v>0</v>
      </c>
      <c r="AR10" s="135">
        <v>0</v>
      </c>
      <c r="AS10" s="135">
        <v>0</v>
      </c>
      <c r="AT10" s="136">
        <f t="shared" si="1"/>
        <v>0</v>
      </c>
      <c r="AU10" s="137">
        <f t="shared" si="2"/>
        <v>0</v>
      </c>
      <c r="AV10" s="136">
        <f t="shared" si="3"/>
        <v>0</v>
      </c>
      <c r="AW10" s="137">
        <f t="shared" si="4"/>
        <v>0</v>
      </c>
      <c r="AX10" s="138">
        <f t="shared" si="5"/>
        <v>0</v>
      </c>
      <c r="AY10" s="106"/>
    </row>
    <row r="11" spans="1:51" ht="18">
      <c r="A11" s="130">
        <v>9</v>
      </c>
      <c r="B11" s="131" t="s">
        <v>12</v>
      </c>
      <c r="C11" s="132" t="s">
        <v>81</v>
      </c>
      <c r="D11" s="132" t="s">
        <v>42</v>
      </c>
      <c r="E11" s="133">
        <v>1</v>
      </c>
      <c r="F11" s="133"/>
      <c r="G11" s="134">
        <f>IFERROR(SUM(_xlfn.XLOOKUP(C11, Projection_!A:A, Projection_!K:K), F11),)</f>
        <v>0</v>
      </c>
      <c r="H11" s="135">
        <v>0</v>
      </c>
      <c r="I11" s="135">
        <v>0</v>
      </c>
      <c r="J11" s="135">
        <v>0</v>
      </c>
      <c r="K11" s="135">
        <v>0</v>
      </c>
      <c r="L11" s="135">
        <v>0</v>
      </c>
      <c r="M11" s="135">
        <v>0</v>
      </c>
      <c r="N11" s="135">
        <v>0</v>
      </c>
      <c r="O11" s="135">
        <v>0</v>
      </c>
      <c r="P11" s="135">
        <v>0</v>
      </c>
      <c r="Q11" s="135">
        <v>0</v>
      </c>
      <c r="R11" s="135">
        <v>0</v>
      </c>
      <c r="S11" s="135">
        <v>0</v>
      </c>
      <c r="T11" s="135">
        <v>0</v>
      </c>
      <c r="U11" s="135">
        <v>0</v>
      </c>
      <c r="V11" s="135">
        <v>0</v>
      </c>
      <c r="W11" s="135">
        <v>0</v>
      </c>
      <c r="X11" s="135">
        <v>0</v>
      </c>
      <c r="Y11" s="135">
        <v>0</v>
      </c>
      <c r="Z11" s="135">
        <v>0</v>
      </c>
      <c r="AA11" s="135">
        <v>0</v>
      </c>
      <c r="AB11" s="135">
        <v>0</v>
      </c>
      <c r="AC11" s="135">
        <v>0</v>
      </c>
      <c r="AD11" s="135">
        <v>0</v>
      </c>
      <c r="AE11" s="135">
        <v>0</v>
      </c>
      <c r="AF11" s="135">
        <v>0</v>
      </c>
      <c r="AG11" s="135">
        <v>0</v>
      </c>
      <c r="AH11" s="135">
        <v>0</v>
      </c>
      <c r="AI11" s="135">
        <v>0</v>
      </c>
      <c r="AJ11" s="135">
        <v>0</v>
      </c>
      <c r="AK11" s="135">
        <v>0</v>
      </c>
      <c r="AL11" s="135">
        <v>0</v>
      </c>
      <c r="AM11" s="135">
        <v>0</v>
      </c>
      <c r="AN11" s="135">
        <v>0</v>
      </c>
      <c r="AO11" s="135">
        <v>0</v>
      </c>
      <c r="AP11" s="135">
        <v>0</v>
      </c>
      <c r="AQ11" s="135">
        <v>0</v>
      </c>
      <c r="AR11" s="135">
        <v>0</v>
      </c>
      <c r="AS11" s="135">
        <v>0</v>
      </c>
      <c r="AT11" s="136">
        <f t="shared" si="1"/>
        <v>0</v>
      </c>
      <c r="AU11" s="137">
        <f t="shared" si="2"/>
        <v>0</v>
      </c>
      <c r="AV11" s="136">
        <f t="shared" si="3"/>
        <v>0</v>
      </c>
      <c r="AW11" s="137">
        <f t="shared" si="4"/>
        <v>0</v>
      </c>
      <c r="AX11" s="138">
        <f t="shared" si="5"/>
        <v>0</v>
      </c>
      <c r="AY11" s="106"/>
    </row>
    <row r="12" spans="1:51" ht="18">
      <c r="A12" s="139">
        <v>10</v>
      </c>
      <c r="B12" s="131" t="s">
        <v>12</v>
      </c>
      <c r="C12" s="132" t="s">
        <v>75</v>
      </c>
      <c r="D12" s="132" t="s">
        <v>25</v>
      </c>
      <c r="E12" s="133">
        <v>0.1</v>
      </c>
      <c r="F12" s="133"/>
      <c r="G12" s="134">
        <f>IFERROR(SUM(_xlfn.XLOOKUP(C12, Projection_!A:A, Projection_!K:K), F12),)</f>
        <v>0</v>
      </c>
      <c r="H12" s="135">
        <v>0</v>
      </c>
      <c r="I12" s="135">
        <v>0</v>
      </c>
      <c r="J12" s="135">
        <v>0</v>
      </c>
      <c r="K12" s="135">
        <v>0</v>
      </c>
      <c r="L12" s="135">
        <v>0</v>
      </c>
      <c r="M12" s="135">
        <v>0</v>
      </c>
      <c r="N12" s="135">
        <v>0</v>
      </c>
      <c r="O12" s="135">
        <v>0</v>
      </c>
      <c r="P12" s="135">
        <v>0</v>
      </c>
      <c r="Q12" s="135">
        <v>0</v>
      </c>
      <c r="R12" s="135">
        <v>0</v>
      </c>
      <c r="S12" s="135">
        <v>0</v>
      </c>
      <c r="T12" s="135">
        <v>0</v>
      </c>
      <c r="U12" s="135">
        <v>0</v>
      </c>
      <c r="V12" s="135">
        <v>0</v>
      </c>
      <c r="W12" s="135">
        <v>0</v>
      </c>
      <c r="X12" s="135">
        <v>0</v>
      </c>
      <c r="Y12" s="135">
        <v>0</v>
      </c>
      <c r="Z12" s="135">
        <v>0</v>
      </c>
      <c r="AA12" s="135">
        <v>0</v>
      </c>
      <c r="AB12" s="135">
        <v>0</v>
      </c>
      <c r="AC12" s="135">
        <v>0</v>
      </c>
      <c r="AD12" s="135">
        <v>0</v>
      </c>
      <c r="AE12" s="135">
        <v>0</v>
      </c>
      <c r="AF12" s="135">
        <v>0</v>
      </c>
      <c r="AG12" s="135">
        <v>0</v>
      </c>
      <c r="AH12" s="135">
        <v>0</v>
      </c>
      <c r="AI12" s="135">
        <v>0</v>
      </c>
      <c r="AJ12" s="135">
        <v>0</v>
      </c>
      <c r="AK12" s="135">
        <v>0</v>
      </c>
      <c r="AL12" s="135">
        <v>0</v>
      </c>
      <c r="AM12" s="135">
        <v>0</v>
      </c>
      <c r="AN12" s="135">
        <v>0</v>
      </c>
      <c r="AO12" s="135">
        <v>0</v>
      </c>
      <c r="AP12" s="135">
        <v>0</v>
      </c>
      <c r="AQ12" s="135">
        <v>0</v>
      </c>
      <c r="AR12" s="135">
        <v>0</v>
      </c>
      <c r="AS12" s="135">
        <v>0</v>
      </c>
      <c r="AT12" s="136">
        <f t="shared" si="1"/>
        <v>0</v>
      </c>
      <c r="AU12" s="137">
        <f t="shared" si="2"/>
        <v>0</v>
      </c>
      <c r="AV12" s="136">
        <f t="shared" si="3"/>
        <v>0</v>
      </c>
      <c r="AW12" s="137">
        <f t="shared" si="4"/>
        <v>0</v>
      </c>
      <c r="AX12" s="138">
        <f t="shared" si="5"/>
        <v>0</v>
      </c>
      <c r="AY12" s="106"/>
    </row>
    <row r="13" spans="1:51" ht="18">
      <c r="A13" s="130">
        <v>11</v>
      </c>
      <c r="B13" s="131" t="s">
        <v>12</v>
      </c>
      <c r="C13" s="132" t="s">
        <v>144</v>
      </c>
      <c r="D13" s="132" t="s">
        <v>145</v>
      </c>
      <c r="E13" s="133">
        <v>1</v>
      </c>
      <c r="F13" s="133"/>
      <c r="G13" s="134">
        <f>IFERROR(SUM(_xlfn.XLOOKUP(C13, Projection_!A:A, Projection_!K:K), F13),)</f>
        <v>0</v>
      </c>
      <c r="H13" s="135">
        <v>0</v>
      </c>
      <c r="I13" s="135">
        <v>0</v>
      </c>
      <c r="J13" s="135">
        <v>0</v>
      </c>
      <c r="K13" s="135">
        <v>0</v>
      </c>
      <c r="L13" s="135">
        <v>0</v>
      </c>
      <c r="M13" s="135">
        <v>0</v>
      </c>
      <c r="N13" s="135">
        <v>0</v>
      </c>
      <c r="O13" s="135">
        <v>0</v>
      </c>
      <c r="P13" s="135">
        <v>0</v>
      </c>
      <c r="Q13" s="135">
        <v>0</v>
      </c>
      <c r="R13" s="135">
        <v>0</v>
      </c>
      <c r="S13" s="135">
        <v>0</v>
      </c>
      <c r="T13" s="135">
        <v>0</v>
      </c>
      <c r="U13" s="135">
        <v>0</v>
      </c>
      <c r="V13" s="135">
        <v>0</v>
      </c>
      <c r="W13" s="135">
        <v>0</v>
      </c>
      <c r="X13" s="135">
        <v>0</v>
      </c>
      <c r="Y13" s="135">
        <v>0</v>
      </c>
      <c r="Z13" s="135">
        <v>0</v>
      </c>
      <c r="AA13" s="135">
        <v>0</v>
      </c>
      <c r="AB13" s="135">
        <v>0</v>
      </c>
      <c r="AC13" s="135">
        <v>0</v>
      </c>
      <c r="AD13" s="135">
        <v>0</v>
      </c>
      <c r="AE13" s="135">
        <v>0</v>
      </c>
      <c r="AF13" s="135">
        <v>0</v>
      </c>
      <c r="AG13" s="135">
        <v>0</v>
      </c>
      <c r="AH13" s="135">
        <v>0</v>
      </c>
      <c r="AI13" s="135">
        <v>0</v>
      </c>
      <c r="AJ13" s="135">
        <v>0</v>
      </c>
      <c r="AK13" s="135">
        <v>0</v>
      </c>
      <c r="AL13" s="135">
        <v>0</v>
      </c>
      <c r="AM13" s="135">
        <v>0</v>
      </c>
      <c r="AN13" s="135">
        <v>0</v>
      </c>
      <c r="AO13" s="135">
        <v>0</v>
      </c>
      <c r="AP13" s="135">
        <v>0</v>
      </c>
      <c r="AQ13" s="135">
        <v>0</v>
      </c>
      <c r="AR13" s="135">
        <v>0</v>
      </c>
      <c r="AS13" s="135">
        <v>0</v>
      </c>
      <c r="AT13" s="136">
        <f t="shared" si="1"/>
        <v>0</v>
      </c>
      <c r="AU13" s="137">
        <f t="shared" si="2"/>
        <v>0</v>
      </c>
      <c r="AV13" s="136">
        <f t="shared" si="3"/>
        <v>0</v>
      </c>
      <c r="AW13" s="137">
        <f t="shared" si="4"/>
        <v>0</v>
      </c>
      <c r="AX13" s="138">
        <f t="shared" si="5"/>
        <v>0</v>
      </c>
      <c r="AY13" s="106"/>
    </row>
    <row r="14" spans="1:51" ht="18">
      <c r="A14" s="139">
        <v>12</v>
      </c>
      <c r="B14" s="131" t="s">
        <v>12</v>
      </c>
      <c r="C14" s="132" t="s">
        <v>68</v>
      </c>
      <c r="D14" s="132" t="s">
        <v>13</v>
      </c>
      <c r="E14" s="133">
        <v>0.2</v>
      </c>
      <c r="F14" s="133"/>
      <c r="G14" s="134">
        <f>IFERROR(SUM(_xlfn.XLOOKUP(C14, Projection_!A:A, Projection_!K:K), F14),)</f>
        <v>0</v>
      </c>
      <c r="H14" s="135">
        <v>0</v>
      </c>
      <c r="I14" s="135">
        <v>0</v>
      </c>
      <c r="J14" s="135">
        <v>0</v>
      </c>
      <c r="K14" s="135">
        <v>0</v>
      </c>
      <c r="L14" s="135">
        <v>0</v>
      </c>
      <c r="M14" s="135">
        <v>0</v>
      </c>
      <c r="N14" s="135">
        <v>0</v>
      </c>
      <c r="O14" s="135">
        <v>0</v>
      </c>
      <c r="P14" s="135">
        <v>0</v>
      </c>
      <c r="Q14" s="135">
        <v>0</v>
      </c>
      <c r="R14" s="135">
        <v>0</v>
      </c>
      <c r="S14" s="135">
        <v>0</v>
      </c>
      <c r="T14" s="135">
        <v>0</v>
      </c>
      <c r="U14" s="135">
        <v>0</v>
      </c>
      <c r="V14" s="135">
        <v>0</v>
      </c>
      <c r="W14" s="135">
        <v>0</v>
      </c>
      <c r="X14" s="135">
        <v>0</v>
      </c>
      <c r="Y14" s="135">
        <v>0</v>
      </c>
      <c r="Z14" s="135">
        <v>0</v>
      </c>
      <c r="AA14" s="135">
        <v>0</v>
      </c>
      <c r="AB14" s="135">
        <v>0</v>
      </c>
      <c r="AC14" s="135">
        <v>0</v>
      </c>
      <c r="AD14" s="135">
        <v>0</v>
      </c>
      <c r="AE14" s="135">
        <v>0</v>
      </c>
      <c r="AF14" s="135">
        <v>0</v>
      </c>
      <c r="AG14" s="135">
        <v>0</v>
      </c>
      <c r="AH14" s="135">
        <v>0</v>
      </c>
      <c r="AI14" s="135">
        <v>0</v>
      </c>
      <c r="AJ14" s="135">
        <v>0</v>
      </c>
      <c r="AK14" s="135">
        <v>0</v>
      </c>
      <c r="AL14" s="135">
        <v>0</v>
      </c>
      <c r="AM14" s="135">
        <v>0</v>
      </c>
      <c r="AN14" s="135">
        <v>0</v>
      </c>
      <c r="AO14" s="135">
        <v>0</v>
      </c>
      <c r="AP14" s="135">
        <v>0</v>
      </c>
      <c r="AQ14" s="135">
        <v>0</v>
      </c>
      <c r="AR14" s="135">
        <v>0</v>
      </c>
      <c r="AS14" s="135">
        <v>0</v>
      </c>
      <c r="AT14" s="136">
        <f t="shared" si="1"/>
        <v>0</v>
      </c>
      <c r="AU14" s="137">
        <f t="shared" si="2"/>
        <v>0</v>
      </c>
      <c r="AV14" s="136">
        <f t="shared" si="3"/>
        <v>0</v>
      </c>
      <c r="AW14" s="137">
        <f t="shared" si="4"/>
        <v>0</v>
      </c>
      <c r="AX14" s="138">
        <f t="shared" si="5"/>
        <v>0</v>
      </c>
      <c r="AY14" s="106" t="s">
        <v>69</v>
      </c>
    </row>
    <row r="15" spans="1:51" ht="18">
      <c r="A15" s="130">
        <v>13</v>
      </c>
      <c r="B15" s="131" t="s">
        <v>12</v>
      </c>
      <c r="C15" s="132" t="s">
        <v>78</v>
      </c>
      <c r="D15" s="132" t="s">
        <v>35</v>
      </c>
      <c r="E15" s="133">
        <v>0.2</v>
      </c>
      <c r="F15" s="133"/>
      <c r="G15" s="134">
        <f>IFERROR(SUM(_xlfn.XLOOKUP(C15, Projection_!A:A, Projection_!K:K), F15),)</f>
        <v>0</v>
      </c>
      <c r="H15" s="135">
        <v>0</v>
      </c>
      <c r="I15" s="135">
        <v>0</v>
      </c>
      <c r="J15" s="135">
        <v>0</v>
      </c>
      <c r="K15" s="135">
        <v>0</v>
      </c>
      <c r="L15" s="135">
        <v>0</v>
      </c>
      <c r="M15" s="135">
        <v>0</v>
      </c>
      <c r="N15" s="135">
        <v>0</v>
      </c>
      <c r="O15" s="135">
        <v>0</v>
      </c>
      <c r="P15" s="135">
        <v>0</v>
      </c>
      <c r="Q15" s="135">
        <v>0</v>
      </c>
      <c r="R15" s="135">
        <v>0</v>
      </c>
      <c r="S15" s="135">
        <v>0</v>
      </c>
      <c r="T15" s="135">
        <v>0</v>
      </c>
      <c r="U15" s="135">
        <v>0</v>
      </c>
      <c r="V15" s="135">
        <v>0</v>
      </c>
      <c r="W15" s="135">
        <v>0</v>
      </c>
      <c r="X15" s="135">
        <v>0</v>
      </c>
      <c r="Y15" s="135">
        <v>0</v>
      </c>
      <c r="Z15" s="135">
        <v>0</v>
      </c>
      <c r="AA15" s="135">
        <v>0</v>
      </c>
      <c r="AB15" s="135">
        <v>0</v>
      </c>
      <c r="AC15" s="135">
        <v>0</v>
      </c>
      <c r="AD15" s="135">
        <v>0</v>
      </c>
      <c r="AE15" s="135">
        <v>0</v>
      </c>
      <c r="AF15" s="135">
        <v>0</v>
      </c>
      <c r="AG15" s="135">
        <v>0</v>
      </c>
      <c r="AH15" s="135">
        <v>0</v>
      </c>
      <c r="AI15" s="135">
        <v>0</v>
      </c>
      <c r="AJ15" s="135">
        <v>0</v>
      </c>
      <c r="AK15" s="135">
        <v>0</v>
      </c>
      <c r="AL15" s="135">
        <v>0</v>
      </c>
      <c r="AM15" s="135">
        <v>0</v>
      </c>
      <c r="AN15" s="135">
        <v>0</v>
      </c>
      <c r="AO15" s="135">
        <v>0</v>
      </c>
      <c r="AP15" s="135">
        <v>0</v>
      </c>
      <c r="AQ15" s="135">
        <v>0</v>
      </c>
      <c r="AR15" s="135">
        <v>0</v>
      </c>
      <c r="AS15" s="135">
        <v>0</v>
      </c>
      <c r="AT15" s="136">
        <f t="shared" si="1"/>
        <v>0</v>
      </c>
      <c r="AU15" s="137">
        <f t="shared" si="2"/>
        <v>0</v>
      </c>
      <c r="AV15" s="136">
        <f t="shared" si="3"/>
        <v>0</v>
      </c>
      <c r="AW15" s="137">
        <f t="shared" si="4"/>
        <v>0</v>
      </c>
      <c r="AX15" s="138">
        <f t="shared" si="5"/>
        <v>0</v>
      </c>
      <c r="AY15" s="106" t="s">
        <v>69</v>
      </c>
    </row>
    <row r="16" spans="1:51" ht="18">
      <c r="A16" s="139">
        <v>14</v>
      </c>
      <c r="B16" s="131" t="s">
        <v>12</v>
      </c>
      <c r="C16" s="132" t="s">
        <v>71</v>
      </c>
      <c r="D16" s="132" t="s">
        <v>21</v>
      </c>
      <c r="E16" s="133">
        <v>0.2</v>
      </c>
      <c r="F16" s="133"/>
      <c r="G16" s="134">
        <f>IFERROR(SUM(_xlfn.XLOOKUP(C16, Projection_!A:A, Projection_!K:K), F16),)</f>
        <v>0</v>
      </c>
      <c r="H16" s="135">
        <v>0</v>
      </c>
      <c r="I16" s="135">
        <v>0</v>
      </c>
      <c r="J16" s="135">
        <v>0</v>
      </c>
      <c r="K16" s="135">
        <v>0</v>
      </c>
      <c r="L16" s="135">
        <v>0</v>
      </c>
      <c r="M16" s="135">
        <v>0</v>
      </c>
      <c r="N16" s="135">
        <v>0</v>
      </c>
      <c r="O16" s="135">
        <v>0</v>
      </c>
      <c r="P16" s="135">
        <v>0</v>
      </c>
      <c r="Q16" s="135">
        <v>0</v>
      </c>
      <c r="R16" s="135">
        <v>0</v>
      </c>
      <c r="S16" s="135">
        <v>0</v>
      </c>
      <c r="T16" s="135">
        <v>0</v>
      </c>
      <c r="U16" s="135">
        <v>0</v>
      </c>
      <c r="V16" s="135">
        <v>0</v>
      </c>
      <c r="W16" s="135">
        <v>0</v>
      </c>
      <c r="X16" s="135">
        <v>0</v>
      </c>
      <c r="Y16" s="135">
        <v>0</v>
      </c>
      <c r="Z16" s="135">
        <v>0</v>
      </c>
      <c r="AA16" s="135">
        <v>0</v>
      </c>
      <c r="AB16" s="135">
        <v>0</v>
      </c>
      <c r="AC16" s="135">
        <v>0</v>
      </c>
      <c r="AD16" s="135">
        <v>0</v>
      </c>
      <c r="AE16" s="135">
        <v>0</v>
      </c>
      <c r="AF16" s="135">
        <v>0</v>
      </c>
      <c r="AG16" s="135">
        <v>0</v>
      </c>
      <c r="AH16" s="135">
        <v>0</v>
      </c>
      <c r="AI16" s="135">
        <v>0</v>
      </c>
      <c r="AJ16" s="135">
        <v>0</v>
      </c>
      <c r="AK16" s="135">
        <v>0</v>
      </c>
      <c r="AL16" s="135">
        <v>0</v>
      </c>
      <c r="AM16" s="135">
        <v>0</v>
      </c>
      <c r="AN16" s="135">
        <v>0</v>
      </c>
      <c r="AO16" s="135">
        <v>0</v>
      </c>
      <c r="AP16" s="135">
        <v>0</v>
      </c>
      <c r="AQ16" s="135">
        <v>0</v>
      </c>
      <c r="AR16" s="135">
        <v>0</v>
      </c>
      <c r="AS16" s="135">
        <v>0</v>
      </c>
      <c r="AT16" s="136">
        <f t="shared" si="1"/>
        <v>0</v>
      </c>
      <c r="AU16" s="137">
        <f t="shared" si="2"/>
        <v>0</v>
      </c>
      <c r="AV16" s="136">
        <f t="shared" si="3"/>
        <v>0</v>
      </c>
      <c r="AW16" s="137">
        <f t="shared" si="4"/>
        <v>0</v>
      </c>
      <c r="AX16" s="138">
        <f t="shared" si="5"/>
        <v>0</v>
      </c>
      <c r="AY16" s="106" t="s">
        <v>69</v>
      </c>
    </row>
    <row r="17" spans="1:51" ht="18">
      <c r="A17" s="130">
        <v>15</v>
      </c>
      <c r="B17" s="131" t="s">
        <v>12</v>
      </c>
      <c r="C17" s="132" t="s">
        <v>72</v>
      </c>
      <c r="D17" s="132" t="s">
        <v>22</v>
      </c>
      <c r="E17" s="133">
        <v>0.2</v>
      </c>
      <c r="F17" s="133"/>
      <c r="G17" s="134">
        <f>IFERROR(SUM(_xlfn.XLOOKUP(C17, Projection_!A:A, Projection_!K:K), F17),)</f>
        <v>0</v>
      </c>
      <c r="H17" s="135">
        <v>0</v>
      </c>
      <c r="I17" s="135">
        <v>0</v>
      </c>
      <c r="J17" s="135">
        <v>0</v>
      </c>
      <c r="K17" s="135">
        <v>0</v>
      </c>
      <c r="L17" s="135">
        <v>0</v>
      </c>
      <c r="M17" s="135">
        <v>0</v>
      </c>
      <c r="N17" s="135">
        <v>0</v>
      </c>
      <c r="O17" s="135">
        <v>0</v>
      </c>
      <c r="P17" s="135">
        <v>0</v>
      </c>
      <c r="Q17" s="135">
        <v>0</v>
      </c>
      <c r="R17" s="135">
        <v>0</v>
      </c>
      <c r="S17" s="135">
        <v>0</v>
      </c>
      <c r="T17" s="135">
        <v>0</v>
      </c>
      <c r="U17" s="135">
        <v>0</v>
      </c>
      <c r="V17" s="135">
        <v>0</v>
      </c>
      <c r="W17" s="135">
        <v>0</v>
      </c>
      <c r="X17" s="135">
        <v>0</v>
      </c>
      <c r="Y17" s="135">
        <v>0</v>
      </c>
      <c r="Z17" s="135">
        <v>0</v>
      </c>
      <c r="AA17" s="135">
        <v>0</v>
      </c>
      <c r="AB17" s="135">
        <v>0</v>
      </c>
      <c r="AC17" s="135">
        <v>0</v>
      </c>
      <c r="AD17" s="135">
        <v>0</v>
      </c>
      <c r="AE17" s="135">
        <v>0</v>
      </c>
      <c r="AF17" s="135">
        <v>0</v>
      </c>
      <c r="AG17" s="135">
        <v>0</v>
      </c>
      <c r="AH17" s="135">
        <v>0</v>
      </c>
      <c r="AI17" s="135">
        <v>0</v>
      </c>
      <c r="AJ17" s="135">
        <v>0</v>
      </c>
      <c r="AK17" s="135">
        <v>0</v>
      </c>
      <c r="AL17" s="135">
        <v>0</v>
      </c>
      <c r="AM17" s="135">
        <v>0</v>
      </c>
      <c r="AN17" s="135">
        <v>0</v>
      </c>
      <c r="AO17" s="135">
        <v>0</v>
      </c>
      <c r="AP17" s="135">
        <v>0</v>
      </c>
      <c r="AQ17" s="135">
        <v>0</v>
      </c>
      <c r="AR17" s="135">
        <v>0</v>
      </c>
      <c r="AS17" s="135">
        <v>0</v>
      </c>
      <c r="AT17" s="136">
        <f t="shared" si="1"/>
        <v>0</v>
      </c>
      <c r="AU17" s="137">
        <f t="shared" si="2"/>
        <v>0</v>
      </c>
      <c r="AV17" s="136">
        <f t="shared" si="3"/>
        <v>0</v>
      </c>
      <c r="AW17" s="137">
        <f t="shared" si="4"/>
        <v>0</v>
      </c>
      <c r="AX17" s="138">
        <f t="shared" si="5"/>
        <v>0</v>
      </c>
      <c r="AY17" s="106" t="s">
        <v>69</v>
      </c>
    </row>
    <row r="18" spans="1:51" ht="18">
      <c r="A18" s="139">
        <v>16</v>
      </c>
      <c r="B18" s="131" t="s">
        <v>12</v>
      </c>
      <c r="C18" s="132" t="s">
        <v>70</v>
      </c>
      <c r="D18" s="132" t="s">
        <v>14</v>
      </c>
      <c r="E18" s="133">
        <v>0.2</v>
      </c>
      <c r="F18" s="133"/>
      <c r="G18" s="134">
        <f>IFERROR(SUM(_xlfn.XLOOKUP(C18, Projection_!A:A, Projection_!K:K), F18),)</f>
        <v>0</v>
      </c>
      <c r="H18" s="135">
        <v>0</v>
      </c>
      <c r="I18" s="135">
        <v>0</v>
      </c>
      <c r="J18" s="135">
        <v>0</v>
      </c>
      <c r="K18" s="135">
        <v>0</v>
      </c>
      <c r="L18" s="135">
        <v>0</v>
      </c>
      <c r="M18" s="135">
        <v>0</v>
      </c>
      <c r="N18" s="135">
        <v>0</v>
      </c>
      <c r="O18" s="135">
        <v>0</v>
      </c>
      <c r="P18" s="135">
        <v>0</v>
      </c>
      <c r="Q18" s="135">
        <v>0</v>
      </c>
      <c r="R18" s="135">
        <v>0</v>
      </c>
      <c r="S18" s="135">
        <v>0</v>
      </c>
      <c r="T18" s="135">
        <v>0</v>
      </c>
      <c r="U18" s="135">
        <v>0</v>
      </c>
      <c r="V18" s="135">
        <v>0</v>
      </c>
      <c r="W18" s="135">
        <v>0</v>
      </c>
      <c r="X18" s="135">
        <v>0</v>
      </c>
      <c r="Y18" s="135">
        <v>0</v>
      </c>
      <c r="Z18" s="135">
        <v>0</v>
      </c>
      <c r="AA18" s="135">
        <v>0</v>
      </c>
      <c r="AB18" s="135">
        <v>0</v>
      </c>
      <c r="AC18" s="135">
        <v>0</v>
      </c>
      <c r="AD18" s="135">
        <v>0</v>
      </c>
      <c r="AE18" s="135">
        <v>0</v>
      </c>
      <c r="AF18" s="135">
        <v>0</v>
      </c>
      <c r="AG18" s="135">
        <v>0</v>
      </c>
      <c r="AH18" s="135">
        <v>0</v>
      </c>
      <c r="AI18" s="135">
        <v>0</v>
      </c>
      <c r="AJ18" s="135">
        <v>0</v>
      </c>
      <c r="AK18" s="135">
        <v>0</v>
      </c>
      <c r="AL18" s="135">
        <v>0</v>
      </c>
      <c r="AM18" s="135">
        <v>0</v>
      </c>
      <c r="AN18" s="135">
        <v>0</v>
      </c>
      <c r="AO18" s="135">
        <v>0</v>
      </c>
      <c r="AP18" s="135">
        <v>0</v>
      </c>
      <c r="AQ18" s="135">
        <v>0</v>
      </c>
      <c r="AR18" s="135">
        <v>0</v>
      </c>
      <c r="AS18" s="135">
        <v>0</v>
      </c>
      <c r="AT18" s="136">
        <f t="shared" si="1"/>
        <v>0</v>
      </c>
      <c r="AU18" s="137">
        <f t="shared" si="2"/>
        <v>0</v>
      </c>
      <c r="AV18" s="136">
        <f t="shared" si="3"/>
        <v>0</v>
      </c>
      <c r="AW18" s="137">
        <f t="shared" si="4"/>
        <v>0</v>
      </c>
      <c r="AX18" s="138">
        <f t="shared" si="5"/>
        <v>0</v>
      </c>
      <c r="AY18" s="106"/>
    </row>
    <row r="19" spans="1:51" ht="18">
      <c r="A19" s="130">
        <v>17</v>
      </c>
      <c r="B19" s="131" t="s">
        <v>12</v>
      </c>
      <c r="C19" s="132" t="s">
        <v>67</v>
      </c>
      <c r="D19" s="132" t="s">
        <v>9</v>
      </c>
      <c r="E19" s="133">
        <v>0.2</v>
      </c>
      <c r="F19" s="133"/>
      <c r="G19" s="134">
        <f>IFERROR(SUM(_xlfn.XLOOKUP(C19, Projection_!A:A, Projection_!K:K), F19),)</f>
        <v>0</v>
      </c>
      <c r="H19" s="135">
        <v>0</v>
      </c>
      <c r="I19" s="135">
        <v>0</v>
      </c>
      <c r="J19" s="135">
        <v>0</v>
      </c>
      <c r="K19" s="135">
        <v>0</v>
      </c>
      <c r="L19" s="135">
        <v>0</v>
      </c>
      <c r="M19" s="135">
        <v>0</v>
      </c>
      <c r="N19" s="135">
        <v>0</v>
      </c>
      <c r="O19" s="135">
        <v>0</v>
      </c>
      <c r="P19" s="135">
        <v>0</v>
      </c>
      <c r="Q19" s="135">
        <v>0</v>
      </c>
      <c r="R19" s="135">
        <v>0</v>
      </c>
      <c r="S19" s="135">
        <v>0</v>
      </c>
      <c r="T19" s="135">
        <v>0</v>
      </c>
      <c r="U19" s="135">
        <v>0</v>
      </c>
      <c r="V19" s="135">
        <v>0</v>
      </c>
      <c r="W19" s="135">
        <v>0</v>
      </c>
      <c r="X19" s="135">
        <v>0</v>
      </c>
      <c r="Y19" s="135">
        <v>0</v>
      </c>
      <c r="Z19" s="135">
        <v>0</v>
      </c>
      <c r="AA19" s="135">
        <v>0</v>
      </c>
      <c r="AB19" s="135">
        <v>0</v>
      </c>
      <c r="AC19" s="135">
        <v>0</v>
      </c>
      <c r="AD19" s="135">
        <v>0</v>
      </c>
      <c r="AE19" s="135">
        <v>0</v>
      </c>
      <c r="AF19" s="135">
        <v>0</v>
      </c>
      <c r="AG19" s="135">
        <v>0</v>
      </c>
      <c r="AH19" s="135">
        <v>0</v>
      </c>
      <c r="AI19" s="135">
        <v>0</v>
      </c>
      <c r="AJ19" s="135">
        <v>0</v>
      </c>
      <c r="AK19" s="135">
        <v>0</v>
      </c>
      <c r="AL19" s="135">
        <v>0</v>
      </c>
      <c r="AM19" s="135">
        <v>0</v>
      </c>
      <c r="AN19" s="135">
        <v>0</v>
      </c>
      <c r="AO19" s="135">
        <v>0</v>
      </c>
      <c r="AP19" s="135">
        <v>0</v>
      </c>
      <c r="AQ19" s="135">
        <v>0</v>
      </c>
      <c r="AR19" s="135">
        <v>0</v>
      </c>
      <c r="AS19" s="135">
        <v>0</v>
      </c>
      <c r="AT19" s="136">
        <f t="shared" si="1"/>
        <v>0</v>
      </c>
      <c r="AU19" s="137">
        <f t="shared" si="2"/>
        <v>0</v>
      </c>
      <c r="AV19" s="136">
        <f t="shared" si="3"/>
        <v>0</v>
      </c>
      <c r="AW19" s="137">
        <f t="shared" si="4"/>
        <v>0</v>
      </c>
      <c r="AX19" s="138">
        <f t="shared" si="5"/>
        <v>0</v>
      </c>
      <c r="AY19" s="106"/>
    </row>
    <row r="20" spans="1:51" ht="18">
      <c r="A20" s="139">
        <v>18</v>
      </c>
      <c r="B20" s="131" t="s">
        <v>12</v>
      </c>
      <c r="C20" s="132" t="s">
        <v>146</v>
      </c>
      <c r="D20" s="132" t="s">
        <v>147</v>
      </c>
      <c r="E20" s="140">
        <f>IFERROR(_xlfn.XLOOKUP(C20,Projection_!$A:$A,Projection_!$D:$D),0)</f>
        <v>0</v>
      </c>
      <c r="F20" s="133"/>
      <c r="G20" s="134">
        <f>IFERROR(SUM(_xlfn.XLOOKUP(C20, Projection_!A:A, Projection_!K:K), F20),)</f>
        <v>0</v>
      </c>
      <c r="H20" s="135">
        <v>0</v>
      </c>
      <c r="I20" s="135">
        <v>0</v>
      </c>
      <c r="J20" s="135">
        <v>0</v>
      </c>
      <c r="K20" s="135">
        <v>0</v>
      </c>
      <c r="L20" s="135">
        <v>0</v>
      </c>
      <c r="M20" s="135">
        <v>0</v>
      </c>
      <c r="N20" s="135">
        <v>0</v>
      </c>
      <c r="O20" s="135">
        <v>0</v>
      </c>
      <c r="P20" s="135">
        <v>0</v>
      </c>
      <c r="Q20" s="135">
        <v>0</v>
      </c>
      <c r="R20" s="135">
        <v>0</v>
      </c>
      <c r="S20" s="135">
        <v>0</v>
      </c>
      <c r="T20" s="135">
        <v>0</v>
      </c>
      <c r="U20" s="135">
        <v>0</v>
      </c>
      <c r="V20" s="135">
        <v>0</v>
      </c>
      <c r="W20" s="135">
        <v>0</v>
      </c>
      <c r="X20" s="135">
        <v>0</v>
      </c>
      <c r="Y20" s="135">
        <v>0</v>
      </c>
      <c r="Z20" s="135">
        <v>0</v>
      </c>
      <c r="AA20" s="135">
        <v>0</v>
      </c>
      <c r="AB20" s="135">
        <v>0</v>
      </c>
      <c r="AC20" s="135">
        <v>0</v>
      </c>
      <c r="AD20" s="135">
        <v>0</v>
      </c>
      <c r="AE20" s="135">
        <v>0</v>
      </c>
      <c r="AF20" s="135">
        <v>0</v>
      </c>
      <c r="AG20" s="135">
        <v>0</v>
      </c>
      <c r="AH20" s="135">
        <v>0</v>
      </c>
      <c r="AI20" s="135">
        <v>0</v>
      </c>
      <c r="AJ20" s="135">
        <v>0</v>
      </c>
      <c r="AK20" s="135">
        <v>0</v>
      </c>
      <c r="AL20" s="135">
        <v>0</v>
      </c>
      <c r="AM20" s="135">
        <v>0</v>
      </c>
      <c r="AN20" s="135">
        <v>0</v>
      </c>
      <c r="AO20" s="135">
        <v>0</v>
      </c>
      <c r="AP20" s="135">
        <v>0</v>
      </c>
      <c r="AQ20" s="135">
        <v>0</v>
      </c>
      <c r="AR20" s="135">
        <v>0</v>
      </c>
      <c r="AS20" s="135">
        <v>0</v>
      </c>
      <c r="AT20" s="136">
        <f t="shared" si="1"/>
        <v>0</v>
      </c>
      <c r="AU20" s="137">
        <f t="shared" si="2"/>
        <v>0</v>
      </c>
      <c r="AV20" s="136">
        <f t="shared" si="3"/>
        <v>0</v>
      </c>
      <c r="AW20" s="137">
        <f t="shared" si="4"/>
        <v>0</v>
      </c>
      <c r="AX20" s="138">
        <f t="shared" si="5"/>
        <v>0</v>
      </c>
      <c r="AY20" s="106"/>
    </row>
    <row r="21" spans="1:51" ht="18">
      <c r="A21" s="130">
        <v>19</v>
      </c>
      <c r="B21" s="141" t="s">
        <v>12</v>
      </c>
      <c r="C21" s="142" t="s">
        <v>77</v>
      </c>
      <c r="D21" s="143" t="s">
        <v>140</v>
      </c>
      <c r="E21" s="144">
        <f>IFERROR(_xlfn.XLOOKUP(C21,Projection_!$A:$A,Projection_!$D:$D),"")</f>
        <v>1</v>
      </c>
      <c r="F21" s="118"/>
      <c r="G21" s="134">
        <f>IFERROR(SUM(_xlfn.XLOOKUP(C21, Projection_!A:A, Projection_!K:K), F21),)</f>
        <v>0</v>
      </c>
      <c r="H21" s="135">
        <v>0</v>
      </c>
      <c r="I21" s="135">
        <v>0</v>
      </c>
      <c r="J21" s="135">
        <v>0</v>
      </c>
      <c r="K21" s="135">
        <v>0</v>
      </c>
      <c r="L21" s="135">
        <v>0</v>
      </c>
      <c r="M21" s="135">
        <v>0</v>
      </c>
      <c r="N21" s="135">
        <v>0</v>
      </c>
      <c r="O21" s="135">
        <v>0</v>
      </c>
      <c r="P21" s="135">
        <v>0</v>
      </c>
      <c r="Q21" s="135">
        <v>0</v>
      </c>
      <c r="R21" s="135">
        <v>0</v>
      </c>
      <c r="S21" s="135">
        <v>0</v>
      </c>
      <c r="T21" s="135">
        <v>0</v>
      </c>
      <c r="U21" s="135">
        <v>0</v>
      </c>
      <c r="V21" s="135">
        <v>0</v>
      </c>
      <c r="W21" s="135">
        <v>0</v>
      </c>
      <c r="X21" s="135">
        <v>0</v>
      </c>
      <c r="Y21" s="135">
        <v>0</v>
      </c>
      <c r="Z21" s="135">
        <v>0</v>
      </c>
      <c r="AA21" s="135">
        <v>0</v>
      </c>
      <c r="AB21" s="135">
        <v>0</v>
      </c>
      <c r="AC21" s="135">
        <v>0</v>
      </c>
      <c r="AD21" s="135">
        <v>0</v>
      </c>
      <c r="AE21" s="135">
        <v>0</v>
      </c>
      <c r="AF21" s="135">
        <v>0</v>
      </c>
      <c r="AG21" s="135">
        <v>0</v>
      </c>
      <c r="AH21" s="135">
        <v>0</v>
      </c>
      <c r="AI21" s="135">
        <v>0</v>
      </c>
      <c r="AJ21" s="135">
        <v>0</v>
      </c>
      <c r="AK21" s="135">
        <v>0</v>
      </c>
      <c r="AL21" s="135">
        <v>0</v>
      </c>
      <c r="AM21" s="135">
        <v>0</v>
      </c>
      <c r="AN21" s="135">
        <v>0</v>
      </c>
      <c r="AO21" s="135">
        <v>0</v>
      </c>
      <c r="AP21" s="135">
        <v>0</v>
      </c>
      <c r="AQ21" s="135">
        <v>0</v>
      </c>
      <c r="AR21" s="135">
        <v>0</v>
      </c>
      <c r="AS21" s="135">
        <v>0</v>
      </c>
      <c r="AT21" s="136">
        <f t="shared" si="1"/>
        <v>0</v>
      </c>
      <c r="AU21" s="137">
        <f t="shared" si="2"/>
        <v>0</v>
      </c>
      <c r="AV21" s="136">
        <f t="shared" si="3"/>
        <v>0</v>
      </c>
      <c r="AW21" s="137">
        <f t="shared" si="4"/>
        <v>0</v>
      </c>
      <c r="AX21" s="138">
        <f t="shared" si="5"/>
        <v>0</v>
      </c>
      <c r="AY21" s="106"/>
    </row>
    <row r="22" spans="1:51" ht="30" customHeight="1">
      <c r="A22" s="147" t="s">
        <v>127</v>
      </c>
      <c r="B22" s="147"/>
      <c r="C22" s="147"/>
      <c r="D22" s="147"/>
      <c r="E22" s="145"/>
      <c r="F22" s="118">
        <f t="shared" ref="F22:AW22" si="6">SUBTOTAL(9,F3:F21)</f>
        <v>0</v>
      </c>
      <c r="G22" s="118">
        <f t="shared" si="6"/>
        <v>0</v>
      </c>
      <c r="H22" s="118">
        <f t="shared" si="6"/>
        <v>0</v>
      </c>
      <c r="I22" s="118">
        <f t="shared" si="6"/>
        <v>0</v>
      </c>
      <c r="J22" s="118">
        <f t="shared" si="6"/>
        <v>0</v>
      </c>
      <c r="K22" s="118">
        <f t="shared" si="6"/>
        <v>0</v>
      </c>
      <c r="L22" s="118">
        <f t="shared" si="6"/>
        <v>0</v>
      </c>
      <c r="M22" s="118">
        <f t="shared" si="6"/>
        <v>0</v>
      </c>
      <c r="N22" s="118">
        <f t="shared" si="6"/>
        <v>0</v>
      </c>
      <c r="O22" s="118">
        <f t="shared" si="6"/>
        <v>0</v>
      </c>
      <c r="P22" s="118">
        <f t="shared" si="6"/>
        <v>0</v>
      </c>
      <c r="Q22" s="118">
        <f t="shared" si="6"/>
        <v>0</v>
      </c>
      <c r="R22" s="118">
        <f t="shared" si="6"/>
        <v>0</v>
      </c>
      <c r="S22" s="118">
        <f t="shared" si="6"/>
        <v>0</v>
      </c>
      <c r="T22" s="118">
        <f t="shared" si="6"/>
        <v>0</v>
      </c>
      <c r="U22" s="118">
        <f t="shared" si="6"/>
        <v>0</v>
      </c>
      <c r="V22" s="118">
        <f t="shared" si="6"/>
        <v>0</v>
      </c>
      <c r="W22" s="118">
        <f t="shared" si="6"/>
        <v>0</v>
      </c>
      <c r="X22" s="118">
        <f t="shared" si="6"/>
        <v>0</v>
      </c>
      <c r="Y22" s="118">
        <f t="shared" si="6"/>
        <v>0</v>
      </c>
      <c r="Z22" s="118">
        <f t="shared" si="6"/>
        <v>0</v>
      </c>
      <c r="AA22" s="118">
        <f t="shared" si="6"/>
        <v>0</v>
      </c>
      <c r="AB22" s="118">
        <f t="shared" si="6"/>
        <v>0</v>
      </c>
      <c r="AC22" s="118">
        <f t="shared" si="6"/>
        <v>0</v>
      </c>
      <c r="AD22" s="118">
        <f t="shared" si="6"/>
        <v>0</v>
      </c>
      <c r="AE22" s="118">
        <f t="shared" si="6"/>
        <v>0</v>
      </c>
      <c r="AF22" s="118">
        <f t="shared" si="6"/>
        <v>0</v>
      </c>
      <c r="AG22" s="118">
        <f t="shared" si="6"/>
        <v>0</v>
      </c>
      <c r="AH22" s="118">
        <f t="shared" si="6"/>
        <v>0</v>
      </c>
      <c r="AI22" s="118">
        <f t="shared" si="6"/>
        <v>0</v>
      </c>
      <c r="AJ22" s="118">
        <f t="shared" si="6"/>
        <v>0</v>
      </c>
      <c r="AK22" s="118">
        <f t="shared" si="6"/>
        <v>0</v>
      </c>
      <c r="AL22" s="118">
        <f t="shared" si="6"/>
        <v>0</v>
      </c>
      <c r="AM22" s="118">
        <f t="shared" si="6"/>
        <v>0</v>
      </c>
      <c r="AN22" s="118">
        <f t="shared" si="6"/>
        <v>0</v>
      </c>
      <c r="AO22" s="118">
        <f t="shared" si="6"/>
        <v>0</v>
      </c>
      <c r="AP22" s="118">
        <f t="shared" si="6"/>
        <v>0</v>
      </c>
      <c r="AQ22" s="118">
        <f t="shared" si="6"/>
        <v>0</v>
      </c>
      <c r="AR22" s="118">
        <f t="shared" si="6"/>
        <v>0</v>
      </c>
      <c r="AS22" s="118">
        <f t="shared" si="6"/>
        <v>0</v>
      </c>
      <c r="AT22" s="118">
        <f t="shared" si="6"/>
        <v>0</v>
      </c>
      <c r="AU22" s="118">
        <f t="shared" si="6"/>
        <v>0</v>
      </c>
      <c r="AV22" s="118">
        <f t="shared" si="6"/>
        <v>0</v>
      </c>
      <c r="AW22" s="118">
        <f t="shared" si="6"/>
        <v>0</v>
      </c>
      <c r="AX22" s="146">
        <f>IFERROR(AT22/G22,0)</f>
        <v>0</v>
      </c>
      <c r="AY22" s="106"/>
    </row>
  </sheetData>
  <autoFilter ref="A2:AY22" xr:uid="{043AA641-51DC-4257-844A-4D13C89A51A0}"/>
  <mergeCells count="1">
    <mergeCell ref="A22:D22"/>
  </mergeCells>
  <conditionalFormatting sqref="H3:AS21">
    <cfRule type="cellIs" dxfId="15" priority="6" stopIfTrue="1" operator="lessThanOrEqual">
      <formula>0</formula>
    </cfRule>
  </conditionalFormatting>
  <printOptions horizontalCentered="1" gridLines="1"/>
  <pageMargins left="0.70000000000000007" right="0.70000000000000007" top="0.75000000000000011" bottom="0.75000000000000011" header="0" footer="0"/>
  <pageSetup paperSize="0" fitToHeight="0" pageOrder="overThenDown" orientation="landscape" cellComments="asDisplayed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2AB98-087D-4BE6-94F8-A80D663DFA70}">
  <sheetPr filterMode="1">
    <pageSetUpPr fitToPage="1"/>
  </sheetPr>
  <dimension ref="A1:AY21"/>
  <sheetViews>
    <sheetView workbookViewId="0"/>
  </sheetViews>
  <sheetFormatPr defaultColWidth="12" defaultRowHeight="15.75" customHeight="1"/>
  <cols>
    <col min="1" max="1" width="12.26953125" bestFit="1" customWidth="1"/>
    <col min="2" max="2" width="12.81640625" bestFit="1" customWidth="1"/>
    <col min="3" max="3" width="15.54296875" hidden="1" customWidth="1"/>
    <col min="4" max="4" width="44.453125" bestFit="1" customWidth="1"/>
    <col min="5" max="5" width="11.26953125" hidden="1" customWidth="1"/>
    <col min="6" max="6" width="12.90625" hidden="1" customWidth="1"/>
    <col min="7" max="7" width="11" bestFit="1" customWidth="1"/>
    <col min="8" max="9" width="8.81640625" customWidth="1"/>
    <col min="10" max="10" width="7.7265625" customWidth="1"/>
    <col min="11" max="11" width="8.26953125" customWidth="1"/>
    <col min="12" max="15" width="7.7265625" customWidth="1"/>
    <col min="16" max="17" width="13.90625" customWidth="1"/>
    <col min="18" max="18" width="14.54296875" customWidth="1"/>
    <col min="19" max="25" width="9.26953125" customWidth="1"/>
    <col min="26" max="26" width="7.7265625" customWidth="1"/>
    <col min="27" max="27" width="11.81640625" bestFit="1" customWidth="1"/>
    <col min="28" max="28" width="8.453125" customWidth="1"/>
    <col min="29" max="29" width="8.26953125" customWidth="1"/>
    <col min="30" max="30" width="7.7265625" customWidth="1"/>
    <col min="31" max="35" width="8.26953125" customWidth="1"/>
    <col min="36" max="36" width="14.7265625" customWidth="1"/>
    <col min="37" max="45" width="14.54296875" customWidth="1"/>
    <col min="46" max="51" width="8.26953125" customWidth="1"/>
    <col min="52" max="52" width="12" customWidth="1"/>
  </cols>
  <sheetData>
    <row r="1" spans="1:51" ht="22.5" customHeight="1">
      <c r="A1" s="78"/>
      <c r="B1" s="79"/>
      <c r="C1" s="79"/>
      <c r="D1" s="148" t="s">
        <v>148</v>
      </c>
      <c r="E1" s="79"/>
      <c r="F1" s="79"/>
      <c r="G1" s="79">
        <f>SUBTOTAL(9,G3:G19)</f>
        <v>2171</v>
      </c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78"/>
      <c r="AP1" s="78"/>
      <c r="AQ1" s="78"/>
      <c r="AR1" s="78"/>
      <c r="AS1" s="78"/>
      <c r="AT1" s="78"/>
      <c r="AU1" s="78"/>
      <c r="AV1" s="78"/>
      <c r="AW1" s="78"/>
      <c r="AX1" s="78"/>
      <c r="AY1" s="78"/>
    </row>
    <row r="2" spans="1:51" s="129" customFormat="1" ht="52">
      <c r="A2" s="126" t="s">
        <v>106</v>
      </c>
      <c r="B2" s="126" t="s">
        <v>6</v>
      </c>
      <c r="C2" s="83" t="s">
        <v>59</v>
      </c>
      <c r="D2" s="83" t="s">
        <v>108</v>
      </c>
      <c r="E2" s="84" t="s">
        <v>109</v>
      </c>
      <c r="F2" s="85" t="s">
        <v>128</v>
      </c>
      <c r="G2" s="85" t="s">
        <v>149</v>
      </c>
      <c r="H2" s="87">
        <v>46258</v>
      </c>
      <c r="I2" s="87">
        <v>46259</v>
      </c>
      <c r="J2" s="87">
        <v>46260</v>
      </c>
      <c r="K2" s="87">
        <v>46261</v>
      </c>
      <c r="L2" s="87">
        <v>46262</v>
      </c>
      <c r="M2" s="87">
        <v>46263</v>
      </c>
      <c r="N2" s="87">
        <v>46264</v>
      </c>
      <c r="O2" s="87">
        <v>46265</v>
      </c>
      <c r="P2" s="87">
        <v>46266</v>
      </c>
      <c r="Q2" s="87">
        <v>46267</v>
      </c>
      <c r="R2" s="87">
        <v>46268</v>
      </c>
      <c r="S2" s="87">
        <v>46269</v>
      </c>
      <c r="T2" s="87">
        <v>46270</v>
      </c>
      <c r="U2" s="87">
        <v>46271</v>
      </c>
      <c r="V2" s="87">
        <v>46272</v>
      </c>
      <c r="W2" s="87">
        <v>46273</v>
      </c>
      <c r="X2" s="87">
        <v>46274</v>
      </c>
      <c r="Y2" s="87">
        <v>46275</v>
      </c>
      <c r="Z2" s="87">
        <v>46276</v>
      </c>
      <c r="AA2" s="87">
        <v>46277</v>
      </c>
      <c r="AB2" s="87">
        <v>46278</v>
      </c>
      <c r="AC2" s="87">
        <v>46279</v>
      </c>
      <c r="AD2" s="87">
        <v>46280</v>
      </c>
      <c r="AE2" s="87">
        <v>46281</v>
      </c>
      <c r="AF2" s="87">
        <v>46282</v>
      </c>
      <c r="AG2" s="87">
        <v>46283</v>
      </c>
      <c r="AH2" s="87">
        <v>46284</v>
      </c>
      <c r="AI2" s="87">
        <v>46285</v>
      </c>
      <c r="AJ2" s="87">
        <v>46286</v>
      </c>
      <c r="AK2" s="87">
        <v>46287</v>
      </c>
      <c r="AL2" s="87">
        <v>46288</v>
      </c>
      <c r="AM2" s="87">
        <v>46289</v>
      </c>
      <c r="AN2" s="87">
        <v>46290</v>
      </c>
      <c r="AO2" s="87">
        <v>46291</v>
      </c>
      <c r="AP2" s="87">
        <v>46292</v>
      </c>
      <c r="AQ2" s="87">
        <v>46293</v>
      </c>
      <c r="AR2" s="87">
        <v>46294</v>
      </c>
      <c r="AS2" s="87">
        <v>46295</v>
      </c>
      <c r="AT2" s="88" t="s">
        <v>111</v>
      </c>
      <c r="AU2" s="88" t="s">
        <v>112</v>
      </c>
      <c r="AV2" s="88" t="s">
        <v>113</v>
      </c>
      <c r="AW2" s="88" t="s">
        <v>114</v>
      </c>
      <c r="AX2" s="88" t="s">
        <v>115</v>
      </c>
      <c r="AY2" s="88" t="s">
        <v>63</v>
      </c>
    </row>
    <row r="3" spans="1:51" ht="18">
      <c r="A3" s="130">
        <v>1</v>
      </c>
      <c r="B3" s="131" t="s">
        <v>12</v>
      </c>
      <c r="C3" s="132" t="s">
        <v>79</v>
      </c>
      <c r="D3" s="132" t="s">
        <v>37</v>
      </c>
      <c r="E3" s="133">
        <v>0.5</v>
      </c>
      <c r="F3" s="133"/>
      <c r="G3" s="134">
        <f>_xlfn.XLOOKUP(C3, Projection_!A:A, Projection_!L:L)</f>
        <v>1426</v>
      </c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>
        <v>15</v>
      </c>
      <c r="AA3" s="99"/>
      <c r="AB3" s="99"/>
      <c r="AC3" s="99"/>
      <c r="AD3" s="99"/>
      <c r="AE3" s="99"/>
      <c r="AF3" s="99"/>
      <c r="AG3" s="99"/>
      <c r="AH3" s="99"/>
      <c r="AI3" s="99"/>
      <c r="AJ3" s="99"/>
      <c r="AK3" s="99"/>
      <c r="AL3" s="99">
        <v>898</v>
      </c>
      <c r="AM3" s="99"/>
      <c r="AN3" s="99">
        <v>547</v>
      </c>
      <c r="AO3" s="99"/>
      <c r="AP3" s="99"/>
      <c r="AQ3" s="99"/>
      <c r="AR3" s="99"/>
      <c r="AS3" s="99"/>
      <c r="AT3" s="100">
        <f t="shared" ref="AT3:AT20" si="0">SUM(H3:AS3)</f>
        <v>1460</v>
      </c>
      <c r="AU3" s="101">
        <f t="shared" ref="AU3:AU20" si="1">AT3*E3</f>
        <v>730</v>
      </c>
      <c r="AV3" s="102">
        <f t="shared" ref="AV3:AV20" si="2">G3-AT3</f>
        <v>-34</v>
      </c>
      <c r="AW3" s="101">
        <f t="shared" ref="AW3:AW20" si="3">AV3*E3</f>
        <v>-17</v>
      </c>
      <c r="AX3" s="103">
        <f t="shared" ref="AX3:AX21" si="4">IFERROR(AT3/G3,)</f>
        <v>1.0238429172510519</v>
      </c>
      <c r="AY3" s="104"/>
    </row>
    <row r="4" spans="1:51" ht="18" hidden="1">
      <c r="A4" s="139">
        <v>2</v>
      </c>
      <c r="B4" s="131" t="s">
        <v>12</v>
      </c>
      <c r="C4" s="132" t="s">
        <v>83</v>
      </c>
      <c r="D4" s="132" t="s">
        <v>48</v>
      </c>
      <c r="E4" s="133">
        <v>1</v>
      </c>
      <c r="F4" s="133"/>
      <c r="G4" s="134">
        <f>_xlfn.XLOOKUP(C4, Projection_!A:A, Projection_!L:L)</f>
        <v>0</v>
      </c>
      <c r="H4" s="135"/>
      <c r="I4" s="135"/>
      <c r="J4" s="135"/>
      <c r="K4" s="135"/>
      <c r="L4" s="135"/>
      <c r="M4" s="135"/>
      <c r="N4" s="135"/>
      <c r="O4" s="135"/>
      <c r="P4" s="149"/>
      <c r="Q4" s="150"/>
      <c r="R4" s="151"/>
      <c r="S4" s="135"/>
      <c r="T4" s="135"/>
      <c r="U4" s="135"/>
      <c r="V4" s="135"/>
      <c r="W4" s="135"/>
      <c r="X4" s="135"/>
      <c r="Y4" s="135"/>
      <c r="Z4" s="149"/>
      <c r="AA4" s="150"/>
      <c r="AB4" s="151"/>
      <c r="AC4" s="135"/>
      <c r="AD4" s="135"/>
      <c r="AE4" s="135"/>
      <c r="AF4" s="135"/>
      <c r="AG4" s="135"/>
      <c r="AH4" s="135"/>
      <c r="AI4" s="135"/>
      <c r="AJ4" s="150"/>
      <c r="AK4" s="149"/>
      <c r="AL4" s="151"/>
      <c r="AM4" s="99"/>
      <c r="AN4" s="99"/>
      <c r="AO4" s="99"/>
      <c r="AP4" s="99"/>
      <c r="AQ4" s="99"/>
      <c r="AR4" s="99"/>
      <c r="AS4" s="99"/>
      <c r="AT4" s="100">
        <f t="shared" si="0"/>
        <v>0</v>
      </c>
      <c r="AU4" s="101">
        <f t="shared" si="1"/>
        <v>0</v>
      </c>
      <c r="AV4" s="102">
        <f t="shared" si="2"/>
        <v>0</v>
      </c>
      <c r="AW4" s="101">
        <f t="shared" si="3"/>
        <v>0</v>
      </c>
      <c r="AX4" s="103">
        <f t="shared" si="4"/>
        <v>0</v>
      </c>
      <c r="AY4" s="135"/>
    </row>
    <row r="5" spans="1:51" ht="18">
      <c r="A5" s="130">
        <v>3</v>
      </c>
      <c r="B5" s="131" t="s">
        <v>12</v>
      </c>
      <c r="C5" s="132" t="s">
        <v>80</v>
      </c>
      <c r="D5" s="132" t="s">
        <v>136</v>
      </c>
      <c r="E5" s="133">
        <v>5</v>
      </c>
      <c r="F5" s="133"/>
      <c r="G5" s="134">
        <f>_xlfn.XLOOKUP(C5, Projection_!A:A, Projection_!L:L)</f>
        <v>210</v>
      </c>
      <c r="H5" s="135"/>
      <c r="I5" s="135"/>
      <c r="J5" s="135"/>
      <c r="K5" s="135"/>
      <c r="L5" s="135"/>
      <c r="M5" s="135"/>
      <c r="N5" s="135"/>
      <c r="O5" s="135"/>
      <c r="P5" s="149"/>
      <c r="Q5" s="150"/>
      <c r="R5" s="151"/>
      <c r="S5" s="135"/>
      <c r="T5" s="135"/>
      <c r="U5" s="135"/>
      <c r="V5" s="135"/>
      <c r="W5" s="135"/>
      <c r="X5" s="135"/>
      <c r="Y5" s="135"/>
      <c r="Z5" s="149"/>
      <c r="AA5" s="150"/>
      <c r="AB5" s="151"/>
      <c r="AC5" s="135"/>
      <c r="AD5" s="135"/>
      <c r="AE5" s="135"/>
      <c r="AF5" s="135"/>
      <c r="AG5" s="135"/>
      <c r="AH5" s="135"/>
      <c r="AI5" s="135"/>
      <c r="AJ5" s="150"/>
      <c r="AK5" s="149"/>
      <c r="AL5" s="151">
        <v>60</v>
      </c>
      <c r="AM5" s="99"/>
      <c r="AN5" s="99">
        <v>45</v>
      </c>
      <c r="AO5" s="99"/>
      <c r="AP5" s="99"/>
      <c r="AQ5" s="99"/>
      <c r="AR5" s="99"/>
      <c r="AS5" s="99"/>
      <c r="AT5" s="100">
        <f t="shared" si="0"/>
        <v>105</v>
      </c>
      <c r="AU5" s="101">
        <f t="shared" si="1"/>
        <v>525</v>
      </c>
      <c r="AV5" s="102">
        <f t="shared" si="2"/>
        <v>105</v>
      </c>
      <c r="AW5" s="101">
        <f t="shared" si="3"/>
        <v>525</v>
      </c>
      <c r="AX5" s="103">
        <f t="shared" si="4"/>
        <v>0.5</v>
      </c>
      <c r="AY5" s="135"/>
    </row>
    <row r="6" spans="1:51" ht="18" hidden="1">
      <c r="A6" s="139">
        <v>4</v>
      </c>
      <c r="B6" s="131" t="s">
        <v>12</v>
      </c>
      <c r="C6" s="132" t="s">
        <v>82</v>
      </c>
      <c r="D6" s="132" t="s">
        <v>44</v>
      </c>
      <c r="E6" s="133">
        <v>0.25</v>
      </c>
      <c r="F6" s="133"/>
      <c r="G6" s="134">
        <f>_xlfn.XLOOKUP(C6, Projection_!A:A, Projection_!L:L)</f>
        <v>0</v>
      </c>
      <c r="H6" s="135"/>
      <c r="I6" s="135"/>
      <c r="J6" s="135"/>
      <c r="K6" s="135"/>
      <c r="L6" s="135"/>
      <c r="M6" s="135"/>
      <c r="N6" s="135"/>
      <c r="O6" s="135"/>
      <c r="P6" s="149"/>
      <c r="Q6" s="150"/>
      <c r="R6" s="151"/>
      <c r="S6" s="135"/>
      <c r="T6" s="135"/>
      <c r="U6" s="135"/>
      <c r="V6" s="135"/>
      <c r="W6" s="135"/>
      <c r="X6" s="135"/>
      <c r="Y6" s="135"/>
      <c r="Z6" s="149"/>
      <c r="AA6" s="150"/>
      <c r="AB6" s="151"/>
      <c r="AC6" s="135"/>
      <c r="AD6" s="135"/>
      <c r="AE6" s="135"/>
      <c r="AF6" s="135"/>
      <c r="AG6" s="135"/>
      <c r="AH6" s="135"/>
      <c r="AI6" s="135"/>
      <c r="AJ6" s="150"/>
      <c r="AK6" s="149"/>
      <c r="AL6" s="151"/>
      <c r="AM6" s="99"/>
      <c r="AN6" s="99"/>
      <c r="AO6" s="99"/>
      <c r="AP6" s="99"/>
      <c r="AQ6" s="99"/>
      <c r="AR6" s="99"/>
      <c r="AS6" s="99"/>
      <c r="AT6" s="100">
        <f t="shared" si="0"/>
        <v>0</v>
      </c>
      <c r="AU6" s="101">
        <f t="shared" si="1"/>
        <v>0</v>
      </c>
      <c r="AV6" s="102">
        <f t="shared" si="2"/>
        <v>0</v>
      </c>
      <c r="AW6" s="101">
        <f t="shared" si="3"/>
        <v>0</v>
      </c>
      <c r="AX6" s="103">
        <f t="shared" si="4"/>
        <v>0</v>
      </c>
      <c r="AY6" s="135"/>
    </row>
    <row r="7" spans="1:51" ht="18">
      <c r="A7" s="130">
        <v>5</v>
      </c>
      <c r="B7" s="131" t="s">
        <v>12</v>
      </c>
      <c r="C7" s="132" t="s">
        <v>76</v>
      </c>
      <c r="D7" s="132" t="s">
        <v>26</v>
      </c>
      <c r="E7" s="133">
        <v>0.5</v>
      </c>
      <c r="F7" s="133"/>
      <c r="G7" s="134">
        <f>_xlfn.XLOOKUP(C7, Projection_!A:A, Projection_!L:L)</f>
        <v>186</v>
      </c>
      <c r="H7" s="135"/>
      <c r="I7" s="135"/>
      <c r="J7" s="135"/>
      <c r="K7" s="135"/>
      <c r="L7" s="135"/>
      <c r="M7" s="135"/>
      <c r="N7" s="135"/>
      <c r="O7" s="135"/>
      <c r="P7" s="149"/>
      <c r="Q7" s="150"/>
      <c r="R7" s="151"/>
      <c r="S7" s="135"/>
      <c r="T7" s="135"/>
      <c r="U7" s="135"/>
      <c r="V7" s="135"/>
      <c r="W7" s="135"/>
      <c r="X7" s="135"/>
      <c r="Y7" s="135"/>
      <c r="Z7" s="135">
        <v>210</v>
      </c>
      <c r="AA7" s="150"/>
      <c r="AB7" s="151"/>
      <c r="AC7" s="135"/>
      <c r="AD7" s="135"/>
      <c r="AE7" s="135"/>
      <c r="AF7" s="135"/>
      <c r="AG7" s="135"/>
      <c r="AH7" s="135"/>
      <c r="AI7" s="135"/>
      <c r="AJ7" s="150"/>
      <c r="AK7" s="149"/>
      <c r="AL7" s="151"/>
      <c r="AM7" s="99"/>
      <c r="AN7" s="99"/>
      <c r="AO7" s="99"/>
      <c r="AP7" s="99"/>
      <c r="AQ7" s="99"/>
      <c r="AR7" s="99"/>
      <c r="AS7" s="99"/>
      <c r="AT7" s="100">
        <f t="shared" si="0"/>
        <v>210</v>
      </c>
      <c r="AU7" s="101">
        <f t="shared" si="1"/>
        <v>105</v>
      </c>
      <c r="AV7" s="102">
        <f t="shared" si="2"/>
        <v>-24</v>
      </c>
      <c r="AW7" s="101">
        <f t="shared" si="3"/>
        <v>-12</v>
      </c>
      <c r="AX7" s="103">
        <f t="shared" si="4"/>
        <v>1.1290322580645162</v>
      </c>
      <c r="AY7" s="135"/>
    </row>
    <row r="8" spans="1:51" ht="18">
      <c r="A8" s="139">
        <v>6</v>
      </c>
      <c r="B8" s="131" t="s">
        <v>12</v>
      </c>
      <c r="C8" s="132" t="s">
        <v>73</v>
      </c>
      <c r="D8" s="132" t="s">
        <v>23</v>
      </c>
      <c r="E8" s="133">
        <v>0.5</v>
      </c>
      <c r="F8" s="133"/>
      <c r="G8" s="134">
        <f>_xlfn.XLOOKUP(C8, Projection_!A:A, Projection_!L:L)</f>
        <v>155</v>
      </c>
      <c r="H8" s="135"/>
      <c r="I8" s="135"/>
      <c r="J8" s="135"/>
      <c r="K8" s="135"/>
      <c r="L8" s="135"/>
      <c r="M8" s="135"/>
      <c r="N8" s="135"/>
      <c r="O8" s="135"/>
      <c r="P8" s="149"/>
      <c r="Q8" s="150"/>
      <c r="R8" s="151"/>
      <c r="S8" s="135"/>
      <c r="T8" s="135"/>
      <c r="U8" s="135"/>
      <c r="V8" s="135"/>
      <c r="W8" s="135"/>
      <c r="X8" s="135"/>
      <c r="Y8" s="135"/>
      <c r="Z8" s="135"/>
      <c r="AA8" s="150"/>
      <c r="AB8" s="151"/>
      <c r="AC8" s="135"/>
      <c r="AD8" s="135"/>
      <c r="AE8" s="135"/>
      <c r="AF8" s="135"/>
      <c r="AG8" s="135"/>
      <c r="AH8" s="135">
        <v>9</v>
      </c>
      <c r="AI8" s="135"/>
      <c r="AJ8" s="150"/>
      <c r="AK8" s="149"/>
      <c r="AL8" s="151">
        <v>150</v>
      </c>
      <c r="AM8" s="99"/>
      <c r="AN8" s="99"/>
      <c r="AO8" s="99"/>
      <c r="AP8" s="99"/>
      <c r="AQ8" s="99"/>
      <c r="AR8" s="99"/>
      <c r="AS8" s="99"/>
      <c r="AT8" s="100">
        <f t="shared" si="0"/>
        <v>159</v>
      </c>
      <c r="AU8" s="101">
        <f t="shared" si="1"/>
        <v>79.5</v>
      </c>
      <c r="AV8" s="102">
        <f t="shared" si="2"/>
        <v>-4</v>
      </c>
      <c r="AW8" s="101">
        <f t="shared" si="3"/>
        <v>-2</v>
      </c>
      <c r="AX8" s="103">
        <f t="shared" si="4"/>
        <v>1.0258064516129033</v>
      </c>
      <c r="AY8" s="135"/>
    </row>
    <row r="9" spans="1:51" ht="18" hidden="1">
      <c r="A9" s="130">
        <v>7</v>
      </c>
      <c r="B9" s="131" t="s">
        <v>12</v>
      </c>
      <c r="C9" s="132" t="s">
        <v>74</v>
      </c>
      <c r="D9" s="132" t="s">
        <v>24</v>
      </c>
      <c r="E9" s="112">
        <v>0.5</v>
      </c>
      <c r="F9" s="133"/>
      <c r="G9" s="134">
        <f>_xlfn.XLOOKUP(C9, Projection_!A:A, Projection_!L:L)</f>
        <v>0</v>
      </c>
      <c r="H9" s="135"/>
      <c r="I9" s="135"/>
      <c r="J9" s="135"/>
      <c r="K9" s="135"/>
      <c r="L9" s="135"/>
      <c r="M9" s="135"/>
      <c r="N9" s="135"/>
      <c r="O9" s="135"/>
      <c r="P9" s="149"/>
      <c r="Q9" s="150"/>
      <c r="R9" s="151"/>
      <c r="S9" s="135"/>
      <c r="T9" s="135"/>
      <c r="U9" s="135"/>
      <c r="V9" s="135"/>
      <c r="W9" s="135"/>
      <c r="X9" s="135"/>
      <c r="Y9" s="135"/>
      <c r="Z9" s="149"/>
      <c r="AA9" s="150"/>
      <c r="AB9" s="151"/>
      <c r="AC9" s="135"/>
      <c r="AD9" s="135"/>
      <c r="AE9" s="135"/>
      <c r="AF9" s="135"/>
      <c r="AG9" s="135"/>
      <c r="AH9" s="135"/>
      <c r="AI9" s="135"/>
      <c r="AJ9" s="150"/>
      <c r="AK9" s="149"/>
      <c r="AL9" s="151"/>
      <c r="AM9" s="99"/>
      <c r="AN9" s="99"/>
      <c r="AO9" s="99"/>
      <c r="AP9" s="99"/>
      <c r="AQ9" s="99"/>
      <c r="AR9" s="99"/>
      <c r="AS9" s="99"/>
      <c r="AT9" s="100">
        <f t="shared" si="0"/>
        <v>0</v>
      </c>
      <c r="AU9" s="101">
        <f t="shared" si="1"/>
        <v>0</v>
      </c>
      <c r="AV9" s="102">
        <f t="shared" si="2"/>
        <v>0</v>
      </c>
      <c r="AW9" s="101">
        <f t="shared" si="3"/>
        <v>0</v>
      </c>
      <c r="AX9" s="103">
        <f t="shared" si="4"/>
        <v>0</v>
      </c>
      <c r="AY9" s="135"/>
    </row>
    <row r="10" spans="1:51" ht="18" hidden="1">
      <c r="A10" s="139">
        <v>8</v>
      </c>
      <c r="B10" s="131" t="s">
        <v>12</v>
      </c>
      <c r="C10" s="132" t="s">
        <v>125</v>
      </c>
      <c r="D10" s="132" t="s">
        <v>46</v>
      </c>
      <c r="E10" s="133">
        <v>0.1</v>
      </c>
      <c r="F10" s="133"/>
      <c r="G10" s="134">
        <f>_xlfn.XLOOKUP(C10, Projection_!A:A, Projection_!L:L)</f>
        <v>0</v>
      </c>
      <c r="H10" s="135"/>
      <c r="I10" s="135"/>
      <c r="J10" s="135"/>
      <c r="K10" s="135"/>
      <c r="L10" s="135"/>
      <c r="M10" s="135"/>
      <c r="N10" s="135"/>
      <c r="O10" s="135"/>
      <c r="P10" s="149"/>
      <c r="Q10" s="150"/>
      <c r="R10" s="151"/>
      <c r="S10" s="135"/>
      <c r="T10" s="135"/>
      <c r="U10" s="135"/>
      <c r="V10" s="135"/>
      <c r="W10" s="135"/>
      <c r="X10" s="135"/>
      <c r="Y10" s="135"/>
      <c r="Z10" s="149"/>
      <c r="AA10" s="150"/>
      <c r="AB10" s="151"/>
      <c r="AC10" s="135"/>
      <c r="AD10" s="135"/>
      <c r="AE10" s="135"/>
      <c r="AF10" s="135"/>
      <c r="AG10" s="135"/>
      <c r="AH10" s="135"/>
      <c r="AI10" s="135"/>
      <c r="AJ10" s="150"/>
      <c r="AK10" s="149"/>
      <c r="AL10" s="151"/>
      <c r="AM10" s="99"/>
      <c r="AN10" s="99"/>
      <c r="AO10" s="99"/>
      <c r="AP10" s="99"/>
      <c r="AQ10" s="99"/>
      <c r="AR10" s="99"/>
      <c r="AS10" s="99"/>
      <c r="AT10" s="100">
        <f t="shared" si="0"/>
        <v>0</v>
      </c>
      <c r="AU10" s="101">
        <f t="shared" si="1"/>
        <v>0</v>
      </c>
      <c r="AV10" s="102">
        <f t="shared" si="2"/>
        <v>0</v>
      </c>
      <c r="AW10" s="101">
        <f t="shared" si="3"/>
        <v>0</v>
      </c>
      <c r="AX10" s="103">
        <f t="shared" si="4"/>
        <v>0</v>
      </c>
      <c r="AY10" s="135"/>
    </row>
    <row r="11" spans="1:51" ht="18" hidden="1">
      <c r="A11" s="130">
        <v>9</v>
      </c>
      <c r="B11" s="131" t="s">
        <v>12</v>
      </c>
      <c r="C11" s="132" t="s">
        <v>81</v>
      </c>
      <c r="D11" s="132" t="s">
        <v>42</v>
      </c>
      <c r="E11" s="133">
        <v>1</v>
      </c>
      <c r="F11" s="133"/>
      <c r="G11" s="134">
        <f>_xlfn.XLOOKUP(C11, Projection_!A:A, Projection_!L:L)</f>
        <v>0</v>
      </c>
      <c r="H11" s="135"/>
      <c r="I11" s="135"/>
      <c r="J11" s="135"/>
      <c r="K11" s="135"/>
      <c r="L11" s="135"/>
      <c r="M11" s="135"/>
      <c r="N11" s="135"/>
      <c r="O11" s="135"/>
      <c r="P11" s="149"/>
      <c r="Q11" s="150"/>
      <c r="R11" s="151"/>
      <c r="S11" s="135"/>
      <c r="T11" s="135"/>
      <c r="U11" s="135"/>
      <c r="V11" s="135"/>
      <c r="W11" s="135"/>
      <c r="X11" s="135"/>
      <c r="Y11" s="135"/>
      <c r="Z11" s="149"/>
      <c r="AA11" s="150"/>
      <c r="AB11" s="151"/>
      <c r="AC11" s="135"/>
      <c r="AD11" s="135"/>
      <c r="AE11" s="135"/>
      <c r="AF11" s="135"/>
      <c r="AG11" s="135"/>
      <c r="AH11" s="135"/>
      <c r="AI11" s="135"/>
      <c r="AJ11" s="150"/>
      <c r="AK11" s="149"/>
      <c r="AL11" s="151"/>
      <c r="AM11" s="99"/>
      <c r="AN11" s="99"/>
      <c r="AO11" s="99"/>
      <c r="AP11" s="99"/>
      <c r="AQ11" s="99"/>
      <c r="AR11" s="99"/>
      <c r="AS11" s="99"/>
      <c r="AT11" s="100">
        <f t="shared" si="0"/>
        <v>0</v>
      </c>
      <c r="AU11" s="101">
        <f t="shared" si="1"/>
        <v>0</v>
      </c>
      <c r="AV11" s="102">
        <f t="shared" si="2"/>
        <v>0</v>
      </c>
      <c r="AW11" s="101">
        <f t="shared" si="3"/>
        <v>0</v>
      </c>
      <c r="AX11" s="103">
        <f t="shared" si="4"/>
        <v>0</v>
      </c>
      <c r="AY11" s="135"/>
    </row>
    <row r="12" spans="1:51" ht="18" hidden="1">
      <c r="A12" s="139">
        <v>10</v>
      </c>
      <c r="B12" s="131" t="s">
        <v>12</v>
      </c>
      <c r="C12" s="132" t="s">
        <v>75</v>
      </c>
      <c r="D12" s="132" t="s">
        <v>25</v>
      </c>
      <c r="E12" s="133">
        <v>0.1</v>
      </c>
      <c r="F12" s="133"/>
      <c r="G12" s="134">
        <f>_xlfn.XLOOKUP(C12, Projection_!A:A, Projection_!L:L)</f>
        <v>0</v>
      </c>
      <c r="H12" s="135"/>
      <c r="I12" s="135"/>
      <c r="J12" s="135"/>
      <c r="K12" s="135"/>
      <c r="L12" s="135"/>
      <c r="M12" s="135"/>
      <c r="N12" s="135"/>
      <c r="O12" s="135"/>
      <c r="P12" s="149"/>
      <c r="Q12" s="150"/>
      <c r="R12" s="151"/>
      <c r="S12" s="135"/>
      <c r="T12" s="135"/>
      <c r="U12" s="135"/>
      <c r="V12" s="135"/>
      <c r="W12" s="135"/>
      <c r="X12" s="135"/>
      <c r="Y12" s="135"/>
      <c r="Z12" s="149"/>
      <c r="AA12" s="150"/>
      <c r="AB12" s="151"/>
      <c r="AC12" s="135"/>
      <c r="AD12" s="135"/>
      <c r="AE12" s="135"/>
      <c r="AF12" s="135"/>
      <c r="AG12" s="135"/>
      <c r="AH12" s="135"/>
      <c r="AI12" s="135"/>
      <c r="AJ12" s="150"/>
      <c r="AK12" s="149"/>
      <c r="AL12" s="151"/>
      <c r="AM12" s="99"/>
      <c r="AN12" s="99"/>
      <c r="AO12" s="99"/>
      <c r="AP12" s="99"/>
      <c r="AQ12" s="99"/>
      <c r="AR12" s="99"/>
      <c r="AS12" s="99"/>
      <c r="AT12" s="100">
        <f t="shared" si="0"/>
        <v>0</v>
      </c>
      <c r="AU12" s="101">
        <f t="shared" si="1"/>
        <v>0</v>
      </c>
      <c r="AV12" s="102">
        <f t="shared" si="2"/>
        <v>0</v>
      </c>
      <c r="AW12" s="101">
        <f t="shared" si="3"/>
        <v>0</v>
      </c>
      <c r="AX12" s="103">
        <f t="shared" si="4"/>
        <v>0</v>
      </c>
      <c r="AY12" s="135"/>
    </row>
    <row r="13" spans="1:51" ht="18" hidden="1">
      <c r="A13" s="130">
        <v>11</v>
      </c>
      <c r="B13" s="131" t="s">
        <v>12</v>
      </c>
      <c r="C13" s="132" t="s">
        <v>144</v>
      </c>
      <c r="D13" s="132" t="s">
        <v>145</v>
      </c>
      <c r="E13" s="133">
        <v>1</v>
      </c>
      <c r="F13" s="133"/>
      <c r="G13" s="134">
        <v>0</v>
      </c>
      <c r="H13" s="135"/>
      <c r="I13" s="135"/>
      <c r="J13" s="135"/>
      <c r="K13" s="135"/>
      <c r="L13" s="135"/>
      <c r="M13" s="135"/>
      <c r="N13" s="135"/>
      <c r="O13" s="135"/>
      <c r="P13" s="149"/>
      <c r="Q13" s="150"/>
      <c r="R13" s="151"/>
      <c r="S13" s="135"/>
      <c r="T13" s="135"/>
      <c r="U13" s="135"/>
      <c r="V13" s="135"/>
      <c r="W13" s="135"/>
      <c r="X13" s="135"/>
      <c r="Y13" s="135"/>
      <c r="Z13" s="149"/>
      <c r="AA13" s="150"/>
      <c r="AB13" s="151"/>
      <c r="AC13" s="135"/>
      <c r="AD13" s="135"/>
      <c r="AE13" s="135"/>
      <c r="AF13" s="135"/>
      <c r="AG13" s="135"/>
      <c r="AH13" s="135"/>
      <c r="AI13" s="135"/>
      <c r="AJ13" s="150"/>
      <c r="AK13" s="149"/>
      <c r="AL13" s="151"/>
      <c r="AM13" s="99"/>
      <c r="AN13" s="99"/>
      <c r="AO13" s="99"/>
      <c r="AP13" s="99"/>
      <c r="AQ13" s="99"/>
      <c r="AR13" s="99"/>
      <c r="AS13" s="99"/>
      <c r="AT13" s="100">
        <f t="shared" si="0"/>
        <v>0</v>
      </c>
      <c r="AU13" s="101">
        <f t="shared" si="1"/>
        <v>0</v>
      </c>
      <c r="AV13" s="102">
        <f t="shared" si="2"/>
        <v>0</v>
      </c>
      <c r="AW13" s="101">
        <f t="shared" si="3"/>
        <v>0</v>
      </c>
      <c r="AX13" s="103">
        <f t="shared" si="4"/>
        <v>0</v>
      </c>
      <c r="AY13" s="135"/>
    </row>
    <row r="14" spans="1:51" ht="18">
      <c r="A14" s="139">
        <v>12</v>
      </c>
      <c r="B14" s="131" t="s">
        <v>12</v>
      </c>
      <c r="C14" s="132" t="s">
        <v>68</v>
      </c>
      <c r="D14" s="132" t="s">
        <v>13</v>
      </c>
      <c r="E14" s="133">
        <v>0.2</v>
      </c>
      <c r="F14" s="133"/>
      <c r="G14" s="134">
        <f>_xlfn.XLOOKUP(C14, Projection_!A:A, Projection_!L:L)</f>
        <v>35</v>
      </c>
      <c r="H14" s="135"/>
      <c r="I14" s="135"/>
      <c r="J14" s="135"/>
      <c r="K14" s="135"/>
      <c r="L14" s="135"/>
      <c r="M14" s="135"/>
      <c r="N14" s="135"/>
      <c r="O14" s="135"/>
      <c r="P14" s="149"/>
      <c r="Q14" s="150"/>
      <c r="R14" s="151"/>
      <c r="S14" s="135"/>
      <c r="T14" s="135"/>
      <c r="U14" s="135"/>
      <c r="V14" s="135"/>
      <c r="W14" s="135"/>
      <c r="X14" s="135"/>
      <c r="Y14" s="135"/>
      <c r="Z14" s="135"/>
      <c r="AA14" s="150"/>
      <c r="AB14" s="151"/>
      <c r="AC14" s="135"/>
      <c r="AD14" s="135"/>
      <c r="AE14" s="135"/>
      <c r="AF14" s="135"/>
      <c r="AG14" s="135"/>
      <c r="AH14" s="135">
        <v>7</v>
      </c>
      <c r="AI14" s="135"/>
      <c r="AJ14" s="150"/>
      <c r="AK14" s="149"/>
      <c r="AL14" s="151"/>
      <c r="AM14" s="99"/>
      <c r="AN14" s="99"/>
      <c r="AO14" s="99"/>
      <c r="AP14" s="99">
        <v>40</v>
      </c>
      <c r="AQ14" s="99"/>
      <c r="AR14" s="99"/>
      <c r="AS14" s="99"/>
      <c r="AT14" s="100">
        <f t="shared" si="0"/>
        <v>47</v>
      </c>
      <c r="AU14" s="101">
        <f t="shared" si="1"/>
        <v>9.4</v>
      </c>
      <c r="AV14" s="102">
        <f t="shared" si="2"/>
        <v>-12</v>
      </c>
      <c r="AW14" s="101">
        <f t="shared" si="3"/>
        <v>-2.4000000000000004</v>
      </c>
      <c r="AX14" s="103">
        <f t="shared" si="4"/>
        <v>1.3428571428571427</v>
      </c>
      <c r="AY14" s="135"/>
    </row>
    <row r="15" spans="1:51" ht="18">
      <c r="A15" s="130">
        <v>13</v>
      </c>
      <c r="B15" s="131" t="s">
        <v>12</v>
      </c>
      <c r="C15" s="132" t="s">
        <v>78</v>
      </c>
      <c r="D15" s="132" t="s">
        <v>35</v>
      </c>
      <c r="E15" s="133">
        <v>0.2</v>
      </c>
      <c r="F15" s="133"/>
      <c r="G15" s="134">
        <f>_xlfn.XLOOKUP(C15, Projection_!A:A, Projection_!L:L)</f>
        <v>35</v>
      </c>
      <c r="H15" s="135"/>
      <c r="I15" s="135"/>
      <c r="J15" s="135"/>
      <c r="K15" s="135"/>
      <c r="L15" s="135"/>
      <c r="M15" s="135"/>
      <c r="N15" s="135"/>
      <c r="O15" s="135"/>
      <c r="P15" s="149"/>
      <c r="Q15" s="150"/>
      <c r="R15" s="151"/>
      <c r="S15" s="135"/>
      <c r="T15" s="135"/>
      <c r="U15" s="135"/>
      <c r="V15" s="135"/>
      <c r="W15" s="135"/>
      <c r="X15" s="135"/>
      <c r="Y15" s="135"/>
      <c r="Z15" s="135">
        <v>7</v>
      </c>
      <c r="AA15" s="150"/>
      <c r="AB15" s="151"/>
      <c r="AC15" s="135"/>
      <c r="AD15" s="135"/>
      <c r="AE15" s="135"/>
      <c r="AF15" s="135"/>
      <c r="AG15" s="135"/>
      <c r="AH15" s="135"/>
      <c r="AI15" s="135"/>
      <c r="AJ15" s="150"/>
      <c r="AK15" s="149"/>
      <c r="AL15" s="151"/>
      <c r="AM15" s="99"/>
      <c r="AN15" s="99"/>
      <c r="AO15" s="99"/>
      <c r="AP15" s="99">
        <v>33</v>
      </c>
      <c r="AQ15" s="99"/>
      <c r="AR15" s="99"/>
      <c r="AS15" s="99"/>
      <c r="AT15" s="100">
        <f t="shared" si="0"/>
        <v>40</v>
      </c>
      <c r="AU15" s="101">
        <f t="shared" si="1"/>
        <v>8</v>
      </c>
      <c r="AV15" s="102">
        <f t="shared" si="2"/>
        <v>-5</v>
      </c>
      <c r="AW15" s="101">
        <f t="shared" si="3"/>
        <v>-1</v>
      </c>
      <c r="AX15" s="103">
        <f t="shared" si="4"/>
        <v>1.1428571428571428</v>
      </c>
      <c r="AY15" s="135"/>
    </row>
    <row r="16" spans="1:51" ht="18">
      <c r="A16" s="139">
        <v>14</v>
      </c>
      <c r="B16" s="131" t="s">
        <v>12</v>
      </c>
      <c r="C16" s="132" t="s">
        <v>71</v>
      </c>
      <c r="D16" s="132" t="s">
        <v>21</v>
      </c>
      <c r="E16" s="133">
        <v>0.2</v>
      </c>
      <c r="F16" s="133"/>
      <c r="G16" s="134">
        <f>_xlfn.XLOOKUP(C16, Projection_!A:A, Projection_!L:L)</f>
        <v>93</v>
      </c>
      <c r="H16" s="135"/>
      <c r="I16" s="135"/>
      <c r="J16" s="135"/>
      <c r="K16" s="135"/>
      <c r="L16" s="135"/>
      <c r="M16" s="135"/>
      <c r="N16" s="135"/>
      <c r="O16" s="135"/>
      <c r="P16" s="149"/>
      <c r="Q16" s="150"/>
      <c r="R16" s="151"/>
      <c r="S16" s="135"/>
      <c r="T16" s="135"/>
      <c r="U16" s="135"/>
      <c r="V16" s="135"/>
      <c r="W16" s="135"/>
      <c r="X16" s="135"/>
      <c r="Y16" s="135"/>
      <c r="Z16" s="135">
        <v>4</v>
      </c>
      <c r="AA16" s="150"/>
      <c r="AB16" s="151"/>
      <c r="AC16" s="135"/>
      <c r="AD16" s="135"/>
      <c r="AE16" s="135"/>
      <c r="AF16" s="135"/>
      <c r="AG16" s="135"/>
      <c r="AH16" s="135"/>
      <c r="AI16" s="135"/>
      <c r="AJ16" s="150"/>
      <c r="AK16" s="149"/>
      <c r="AL16" s="151"/>
      <c r="AM16" s="99"/>
      <c r="AN16" s="99"/>
      <c r="AO16" s="99"/>
      <c r="AP16" s="99">
        <v>40</v>
      </c>
      <c r="AQ16" s="99"/>
      <c r="AR16" s="99"/>
      <c r="AS16" s="99"/>
      <c r="AT16" s="100">
        <f t="shared" si="0"/>
        <v>44</v>
      </c>
      <c r="AU16" s="101">
        <f t="shared" si="1"/>
        <v>8.8000000000000007</v>
      </c>
      <c r="AV16" s="102">
        <f t="shared" si="2"/>
        <v>49</v>
      </c>
      <c r="AW16" s="101">
        <f t="shared" si="3"/>
        <v>9.8000000000000007</v>
      </c>
      <c r="AX16" s="103">
        <f t="shared" si="4"/>
        <v>0.4731182795698925</v>
      </c>
      <c r="AY16" s="135"/>
    </row>
    <row r="17" spans="1:51" ht="18">
      <c r="A17" s="130">
        <v>15</v>
      </c>
      <c r="B17" s="131" t="s">
        <v>12</v>
      </c>
      <c r="C17" s="132" t="s">
        <v>72</v>
      </c>
      <c r="D17" s="132" t="s">
        <v>22</v>
      </c>
      <c r="E17" s="133">
        <v>0.2</v>
      </c>
      <c r="F17" s="133"/>
      <c r="G17" s="134">
        <f>_xlfn.XLOOKUP(C17, Projection_!A:A, Projection_!L:L)</f>
        <v>31</v>
      </c>
      <c r="H17" s="135"/>
      <c r="I17" s="135"/>
      <c r="J17" s="135"/>
      <c r="K17" s="135"/>
      <c r="L17" s="135"/>
      <c r="M17" s="135"/>
      <c r="N17" s="135"/>
      <c r="O17" s="135"/>
      <c r="P17" s="149"/>
      <c r="Q17" s="150"/>
      <c r="R17" s="151"/>
      <c r="S17" s="135"/>
      <c r="T17" s="135"/>
      <c r="U17" s="135"/>
      <c r="V17" s="135"/>
      <c r="W17" s="135"/>
      <c r="X17" s="135"/>
      <c r="Y17" s="135"/>
      <c r="Z17" s="135">
        <v>7</v>
      </c>
      <c r="AA17" s="150"/>
      <c r="AB17" s="151"/>
      <c r="AC17" s="135"/>
      <c r="AD17" s="135"/>
      <c r="AE17" s="135"/>
      <c r="AF17" s="135"/>
      <c r="AG17" s="135"/>
      <c r="AH17" s="135"/>
      <c r="AI17" s="135"/>
      <c r="AJ17" s="150"/>
      <c r="AK17" s="149"/>
      <c r="AL17" s="151"/>
      <c r="AM17" s="99"/>
      <c r="AN17" s="99"/>
      <c r="AO17" s="99"/>
      <c r="AP17" s="99"/>
      <c r="AQ17" s="99"/>
      <c r="AR17" s="99"/>
      <c r="AS17" s="99"/>
      <c r="AT17" s="100">
        <f t="shared" si="0"/>
        <v>7</v>
      </c>
      <c r="AU17" s="101">
        <f t="shared" si="1"/>
        <v>1.4000000000000001</v>
      </c>
      <c r="AV17" s="102">
        <f t="shared" si="2"/>
        <v>24</v>
      </c>
      <c r="AW17" s="101">
        <f t="shared" si="3"/>
        <v>4.8000000000000007</v>
      </c>
      <c r="AX17" s="103">
        <f t="shared" si="4"/>
        <v>0.22580645161290322</v>
      </c>
      <c r="AY17" s="135"/>
    </row>
    <row r="18" spans="1:51" ht="18" hidden="1">
      <c r="A18" s="139">
        <v>16</v>
      </c>
      <c r="B18" s="131" t="s">
        <v>12</v>
      </c>
      <c r="C18" s="132" t="s">
        <v>70</v>
      </c>
      <c r="D18" s="132" t="s">
        <v>14</v>
      </c>
      <c r="E18" s="133">
        <v>0.2</v>
      </c>
      <c r="F18" s="133"/>
      <c r="G18" s="134">
        <f>_xlfn.XLOOKUP(C18, Projection_!A:A, Projection_!L:L)</f>
        <v>0</v>
      </c>
      <c r="H18" s="135"/>
      <c r="I18" s="135"/>
      <c r="J18" s="135"/>
      <c r="K18" s="135"/>
      <c r="L18" s="135"/>
      <c r="M18" s="135"/>
      <c r="N18" s="135"/>
      <c r="O18" s="135"/>
      <c r="P18" s="149"/>
      <c r="Q18" s="150"/>
      <c r="R18" s="151"/>
      <c r="S18" s="135"/>
      <c r="T18" s="135"/>
      <c r="U18" s="135"/>
      <c r="V18" s="135"/>
      <c r="W18" s="135"/>
      <c r="X18" s="135"/>
      <c r="Y18" s="135"/>
      <c r="Z18" s="149"/>
      <c r="AA18" s="150"/>
      <c r="AB18" s="151"/>
      <c r="AC18" s="135"/>
      <c r="AD18" s="135"/>
      <c r="AE18" s="135"/>
      <c r="AF18" s="135"/>
      <c r="AG18" s="135"/>
      <c r="AH18" s="135"/>
      <c r="AI18" s="135"/>
      <c r="AJ18" s="150"/>
      <c r="AK18" s="149"/>
      <c r="AL18" s="151"/>
      <c r="AM18" s="99"/>
      <c r="AN18" s="99"/>
      <c r="AO18" s="99"/>
      <c r="AP18" s="99"/>
      <c r="AQ18" s="99"/>
      <c r="AR18" s="99"/>
      <c r="AS18" s="99"/>
      <c r="AT18" s="100">
        <f t="shared" si="0"/>
        <v>0</v>
      </c>
      <c r="AU18" s="101">
        <f t="shared" si="1"/>
        <v>0</v>
      </c>
      <c r="AV18" s="102">
        <f t="shared" si="2"/>
        <v>0</v>
      </c>
      <c r="AW18" s="101">
        <f t="shared" si="3"/>
        <v>0</v>
      </c>
      <c r="AX18" s="103">
        <f t="shared" si="4"/>
        <v>0</v>
      </c>
      <c r="AY18" s="135"/>
    </row>
    <row r="19" spans="1:51" ht="18" hidden="1">
      <c r="A19" s="130">
        <v>17</v>
      </c>
      <c r="B19" s="131" t="s">
        <v>12</v>
      </c>
      <c r="C19" s="132" t="s">
        <v>67</v>
      </c>
      <c r="D19" s="132" t="s">
        <v>9</v>
      </c>
      <c r="E19" s="133">
        <v>0.2</v>
      </c>
      <c r="F19" s="133"/>
      <c r="G19" s="134">
        <f>_xlfn.XLOOKUP(C19, Projection_!A:A, Projection_!L:L)</f>
        <v>0</v>
      </c>
      <c r="H19" s="135"/>
      <c r="I19" s="135"/>
      <c r="J19" s="135"/>
      <c r="K19" s="135"/>
      <c r="L19" s="135"/>
      <c r="M19" s="135"/>
      <c r="N19" s="135"/>
      <c r="O19" s="135"/>
      <c r="P19" s="149"/>
      <c r="Q19" s="150"/>
      <c r="R19" s="151"/>
      <c r="S19" s="135"/>
      <c r="T19" s="135"/>
      <c r="U19" s="135"/>
      <c r="V19" s="135"/>
      <c r="W19" s="135"/>
      <c r="X19" s="135"/>
      <c r="Y19" s="135"/>
      <c r="Z19" s="149"/>
      <c r="AA19" s="150"/>
      <c r="AB19" s="151"/>
      <c r="AC19" s="135"/>
      <c r="AD19" s="135"/>
      <c r="AE19" s="135"/>
      <c r="AF19" s="135"/>
      <c r="AG19" s="135"/>
      <c r="AH19" s="135"/>
      <c r="AI19" s="135"/>
      <c r="AJ19" s="150"/>
      <c r="AK19" s="149"/>
      <c r="AL19" s="151"/>
      <c r="AM19" s="99"/>
      <c r="AN19" s="99"/>
      <c r="AO19" s="99"/>
      <c r="AP19" s="99"/>
      <c r="AQ19" s="99"/>
      <c r="AR19" s="99"/>
      <c r="AS19" s="99"/>
      <c r="AT19" s="100">
        <f t="shared" si="0"/>
        <v>0</v>
      </c>
      <c r="AU19" s="101">
        <f t="shared" si="1"/>
        <v>0</v>
      </c>
      <c r="AV19" s="102">
        <f t="shared" si="2"/>
        <v>0</v>
      </c>
      <c r="AW19" s="101">
        <f t="shared" si="3"/>
        <v>0</v>
      </c>
      <c r="AX19" s="103">
        <f t="shared" si="4"/>
        <v>0</v>
      </c>
      <c r="AY19" s="135"/>
    </row>
    <row r="20" spans="1:51" ht="18" hidden="1">
      <c r="A20" s="130">
        <v>19</v>
      </c>
      <c r="B20" s="141" t="s">
        <v>12</v>
      </c>
      <c r="C20" s="142" t="s">
        <v>77</v>
      </c>
      <c r="D20" s="143" t="s">
        <v>140</v>
      </c>
      <c r="E20" s="152"/>
      <c r="F20" s="118"/>
      <c r="G20" s="134">
        <f>_xlfn.XLOOKUP(C20, Projection_!A:A, Projection_!L:L)</f>
        <v>0</v>
      </c>
      <c r="H20" s="135"/>
      <c r="I20" s="135"/>
      <c r="J20" s="135"/>
      <c r="K20" s="135"/>
      <c r="L20" s="135"/>
      <c r="M20" s="135"/>
      <c r="N20" s="135"/>
      <c r="O20" s="135"/>
      <c r="P20" s="149"/>
      <c r="Q20" s="150"/>
      <c r="R20" s="151"/>
      <c r="S20" s="135"/>
      <c r="T20" s="135"/>
      <c r="U20" s="135"/>
      <c r="V20" s="135"/>
      <c r="W20" s="135"/>
      <c r="X20" s="135"/>
      <c r="Y20" s="135"/>
      <c r="Z20" s="149"/>
      <c r="AA20" s="150"/>
      <c r="AB20" s="151"/>
      <c r="AC20" s="135"/>
      <c r="AD20" s="135"/>
      <c r="AE20" s="135"/>
      <c r="AF20" s="135"/>
      <c r="AG20" s="135"/>
      <c r="AH20" s="135"/>
      <c r="AI20" s="135"/>
      <c r="AJ20" s="150"/>
      <c r="AK20" s="149"/>
      <c r="AL20" s="151"/>
      <c r="AM20" s="99"/>
      <c r="AN20" s="99"/>
      <c r="AO20" s="99"/>
      <c r="AP20" s="99"/>
      <c r="AQ20" s="99"/>
      <c r="AR20" s="99"/>
      <c r="AS20" s="99"/>
      <c r="AT20" s="100">
        <f t="shared" si="0"/>
        <v>0</v>
      </c>
      <c r="AU20" s="101">
        <f t="shared" si="1"/>
        <v>0</v>
      </c>
      <c r="AV20" s="102">
        <f t="shared" si="2"/>
        <v>0</v>
      </c>
      <c r="AW20" s="101">
        <f t="shared" si="3"/>
        <v>0</v>
      </c>
      <c r="AX20" s="103">
        <f t="shared" si="4"/>
        <v>0</v>
      </c>
      <c r="AY20" s="135"/>
    </row>
    <row r="21" spans="1:51" ht="30" customHeight="1">
      <c r="A21" s="147" t="s">
        <v>127</v>
      </c>
      <c r="B21" s="147"/>
      <c r="C21" s="147"/>
      <c r="D21" s="147"/>
      <c r="E21" s="152"/>
      <c r="F21" s="118"/>
      <c r="G21" s="118">
        <f t="shared" ref="G21:AW21" si="5">SUM(G3:G20)</f>
        <v>2171</v>
      </c>
      <c r="H21" s="118">
        <f t="shared" si="5"/>
        <v>0</v>
      </c>
      <c r="I21" s="118">
        <f t="shared" si="5"/>
        <v>0</v>
      </c>
      <c r="J21" s="118">
        <f t="shared" si="5"/>
        <v>0</v>
      </c>
      <c r="K21" s="118">
        <f t="shared" si="5"/>
        <v>0</v>
      </c>
      <c r="L21" s="118">
        <f t="shared" si="5"/>
        <v>0</v>
      </c>
      <c r="M21" s="118">
        <f t="shared" si="5"/>
        <v>0</v>
      </c>
      <c r="N21" s="118">
        <f t="shared" si="5"/>
        <v>0</v>
      </c>
      <c r="O21" s="118">
        <f t="shared" si="5"/>
        <v>0</v>
      </c>
      <c r="P21" s="118">
        <f t="shared" si="5"/>
        <v>0</v>
      </c>
      <c r="Q21" s="118">
        <f t="shared" si="5"/>
        <v>0</v>
      </c>
      <c r="R21" s="118">
        <f t="shared" si="5"/>
        <v>0</v>
      </c>
      <c r="S21" s="118">
        <f t="shared" si="5"/>
        <v>0</v>
      </c>
      <c r="T21" s="118">
        <f t="shared" si="5"/>
        <v>0</v>
      </c>
      <c r="U21" s="118">
        <f t="shared" si="5"/>
        <v>0</v>
      </c>
      <c r="V21" s="118">
        <f t="shared" si="5"/>
        <v>0</v>
      </c>
      <c r="W21" s="118">
        <f t="shared" si="5"/>
        <v>0</v>
      </c>
      <c r="X21" s="118">
        <f t="shared" si="5"/>
        <v>0</v>
      </c>
      <c r="Y21" s="118">
        <f t="shared" si="5"/>
        <v>0</v>
      </c>
      <c r="Z21" s="118">
        <f t="shared" si="5"/>
        <v>243</v>
      </c>
      <c r="AA21" s="118">
        <f t="shared" si="5"/>
        <v>0</v>
      </c>
      <c r="AB21" s="118">
        <f t="shared" si="5"/>
        <v>0</v>
      </c>
      <c r="AC21" s="118">
        <f t="shared" si="5"/>
        <v>0</v>
      </c>
      <c r="AD21" s="118">
        <f t="shared" si="5"/>
        <v>0</v>
      </c>
      <c r="AE21" s="118">
        <f t="shared" si="5"/>
        <v>0</v>
      </c>
      <c r="AF21" s="118">
        <f t="shared" si="5"/>
        <v>0</v>
      </c>
      <c r="AG21" s="118">
        <f t="shared" si="5"/>
        <v>0</v>
      </c>
      <c r="AH21" s="118">
        <f t="shared" si="5"/>
        <v>16</v>
      </c>
      <c r="AI21" s="118">
        <f t="shared" si="5"/>
        <v>0</v>
      </c>
      <c r="AJ21" s="118">
        <f t="shared" si="5"/>
        <v>0</v>
      </c>
      <c r="AK21" s="118">
        <f t="shared" si="5"/>
        <v>0</v>
      </c>
      <c r="AL21" s="118">
        <f t="shared" si="5"/>
        <v>1108</v>
      </c>
      <c r="AM21" s="118">
        <f t="shared" si="5"/>
        <v>0</v>
      </c>
      <c r="AN21" s="118">
        <f t="shared" si="5"/>
        <v>592</v>
      </c>
      <c r="AO21" s="118">
        <f t="shared" si="5"/>
        <v>0</v>
      </c>
      <c r="AP21" s="118">
        <f t="shared" si="5"/>
        <v>113</v>
      </c>
      <c r="AQ21" s="118">
        <f t="shared" si="5"/>
        <v>0</v>
      </c>
      <c r="AR21" s="118">
        <f t="shared" si="5"/>
        <v>0</v>
      </c>
      <c r="AS21" s="118">
        <f t="shared" si="5"/>
        <v>0</v>
      </c>
      <c r="AT21" s="118">
        <f t="shared" si="5"/>
        <v>2072</v>
      </c>
      <c r="AU21" s="118">
        <f t="shared" si="5"/>
        <v>1467.1000000000001</v>
      </c>
      <c r="AV21" s="118">
        <f t="shared" si="5"/>
        <v>99</v>
      </c>
      <c r="AW21" s="118">
        <f t="shared" si="5"/>
        <v>505.20000000000005</v>
      </c>
      <c r="AX21" s="153">
        <f t="shared" si="4"/>
        <v>0.95439889451865501</v>
      </c>
      <c r="AY21" s="118"/>
    </row>
  </sheetData>
  <autoFilter ref="A2:AY21" xr:uid="{8D740E1D-DB64-4006-8C45-F6A86672A00B}">
    <filterColumn colId="6">
      <filters>
        <filter val="1426"/>
        <filter val="155"/>
        <filter val="186"/>
        <filter val="210"/>
        <filter val="2171"/>
        <filter val="31"/>
        <filter val="35"/>
        <filter val="93"/>
      </filters>
    </filterColumn>
  </autoFilter>
  <mergeCells count="1">
    <mergeCell ref="A21:D21"/>
  </mergeCells>
  <conditionalFormatting sqref="H3:AS20 AY4:AY20">
    <cfRule type="cellIs" dxfId="14" priority="6" stopIfTrue="1" operator="lessThanOrEqual">
      <formula>0</formula>
    </cfRule>
  </conditionalFormatting>
  <printOptions horizontalCentered="1" gridLines="1"/>
  <pageMargins left="0.70000000000000007" right="0.70000000000000007" top="0.75000000000000011" bottom="0.75000000000000011" header="0" footer="0"/>
  <pageSetup paperSize="0" fitToHeight="0" pageOrder="overThenDown" orientation="landscape" cellComments="asDisplayed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67F0A-FF8F-4B24-96F3-5A9A6B290ED9}">
  <sheetPr filterMode="1"/>
  <dimension ref="A1:BA23"/>
  <sheetViews>
    <sheetView workbookViewId="0"/>
  </sheetViews>
  <sheetFormatPr defaultColWidth="12" defaultRowHeight="15.75" customHeight="1"/>
  <cols>
    <col min="1" max="2" width="12" customWidth="1"/>
    <col min="3" max="3" width="15.54296875" hidden="1" customWidth="1"/>
    <col min="4" max="4" width="23.7265625" style="169" customWidth="1"/>
    <col min="5" max="5" width="11" bestFit="1" customWidth="1"/>
    <col min="6" max="6" width="12.26953125" bestFit="1" customWidth="1"/>
    <col min="7" max="14" width="8.1796875" bestFit="1" customWidth="1"/>
    <col min="15" max="23" width="7.08984375" bestFit="1" customWidth="1"/>
    <col min="24" max="37" width="8.1796875" bestFit="1" customWidth="1"/>
    <col min="38" max="44" width="8.1796875" customWidth="1"/>
    <col min="45" max="45" width="19.6328125" bestFit="1" customWidth="1"/>
    <col min="46" max="46" width="20.54296875" bestFit="1" customWidth="1"/>
    <col min="47" max="47" width="18.54296875" bestFit="1" customWidth="1"/>
    <col min="48" max="48" width="20.453125" bestFit="1" customWidth="1"/>
    <col min="49" max="49" width="36" customWidth="1"/>
    <col min="50" max="53" width="34.08984375" hidden="1" customWidth="1"/>
    <col min="54" max="54" width="12" customWidth="1"/>
  </cols>
  <sheetData>
    <row r="1" spans="1:53" ht="22.5" customHeight="1">
      <c r="A1" s="78"/>
      <c r="B1" s="79"/>
      <c r="C1" s="79"/>
      <c r="D1" s="154"/>
      <c r="E1" s="79"/>
      <c r="F1" s="79">
        <f>SUBTOTAL(9,F3:F19)</f>
        <v>6995</v>
      </c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>
        <v>0</v>
      </c>
      <c r="AI1" s="78"/>
      <c r="AJ1" s="78"/>
      <c r="AK1" s="78"/>
      <c r="AL1" s="78"/>
      <c r="AM1" s="78"/>
      <c r="AN1" s="78"/>
      <c r="AO1" s="78"/>
      <c r="AP1" s="78"/>
      <c r="AQ1" s="78"/>
      <c r="AR1" s="78"/>
      <c r="AS1" s="155">
        <f>SUBTOTAL(9,AS3:AS21)</f>
        <v>10</v>
      </c>
      <c r="AT1" s="78">
        <f>SUBTOTAL(9,AT3:AT21)</f>
        <v>5</v>
      </c>
      <c r="AU1" s="155">
        <f>SUBTOTAL(9,AU3:AU21)</f>
        <v>-6985</v>
      </c>
      <c r="AV1" s="80">
        <f>IFERROR(AS1/SUBTOTAL(9,F3:F21),0)</f>
        <v>1.4295925661186562E-3</v>
      </c>
      <c r="AW1" s="78"/>
      <c r="AX1" s="78"/>
      <c r="AY1" s="78"/>
      <c r="AZ1" s="78"/>
      <c r="BA1" s="78"/>
    </row>
    <row r="2" spans="1:53" s="129" customFormat="1" ht="28">
      <c r="A2" s="126" t="s">
        <v>106</v>
      </c>
      <c r="B2" s="126" t="s">
        <v>6</v>
      </c>
      <c r="C2" s="83" t="s">
        <v>59</v>
      </c>
      <c r="D2" s="156" t="s">
        <v>108</v>
      </c>
      <c r="E2" s="84" t="s">
        <v>109</v>
      </c>
      <c r="F2" s="85" t="s">
        <v>51</v>
      </c>
      <c r="G2" s="90">
        <v>24</v>
      </c>
      <c r="H2" s="90">
        <v>25</v>
      </c>
      <c r="I2" s="90">
        <v>26</v>
      </c>
      <c r="J2" s="90">
        <v>27</v>
      </c>
      <c r="K2" s="90">
        <v>28</v>
      </c>
      <c r="L2" s="90">
        <v>29</v>
      </c>
      <c r="M2" s="90">
        <v>30</v>
      </c>
      <c r="N2" s="90">
        <v>31</v>
      </c>
      <c r="O2" s="90">
        <v>1</v>
      </c>
      <c r="P2" s="90">
        <v>2</v>
      </c>
      <c r="Q2" s="90">
        <v>3</v>
      </c>
      <c r="R2" s="90">
        <v>4</v>
      </c>
      <c r="S2" s="90">
        <v>5</v>
      </c>
      <c r="T2" s="90">
        <v>6</v>
      </c>
      <c r="U2" s="90">
        <v>7</v>
      </c>
      <c r="V2" s="90">
        <v>8</v>
      </c>
      <c r="W2" s="90">
        <v>9</v>
      </c>
      <c r="X2" s="90">
        <v>10</v>
      </c>
      <c r="Y2" s="90">
        <v>11</v>
      </c>
      <c r="Z2" s="90">
        <v>12</v>
      </c>
      <c r="AA2" s="90">
        <v>13</v>
      </c>
      <c r="AB2" s="90">
        <v>14</v>
      </c>
      <c r="AC2" s="90">
        <v>15</v>
      </c>
      <c r="AD2" s="90">
        <v>16</v>
      </c>
      <c r="AE2" s="90">
        <v>17</v>
      </c>
      <c r="AF2" s="90">
        <v>18</v>
      </c>
      <c r="AG2" s="90">
        <v>19</v>
      </c>
      <c r="AH2" s="90">
        <v>20</v>
      </c>
      <c r="AI2" s="90">
        <v>21</v>
      </c>
      <c r="AJ2" s="90">
        <v>22</v>
      </c>
      <c r="AK2" s="90">
        <v>23</v>
      </c>
      <c r="AL2" s="90">
        <v>24</v>
      </c>
      <c r="AM2" s="90">
        <v>25</v>
      </c>
      <c r="AN2" s="90">
        <v>26</v>
      </c>
      <c r="AO2" s="90">
        <v>27</v>
      </c>
      <c r="AP2" s="90">
        <v>28</v>
      </c>
      <c r="AQ2" s="90">
        <v>29</v>
      </c>
      <c r="AR2" s="90">
        <v>30</v>
      </c>
      <c r="AS2" s="157" t="s">
        <v>150</v>
      </c>
      <c r="AT2" s="158" t="s">
        <v>112</v>
      </c>
      <c r="AU2" s="159" t="s">
        <v>151</v>
      </c>
      <c r="AV2" s="160" t="s">
        <v>115</v>
      </c>
      <c r="AW2" s="90" t="s">
        <v>63</v>
      </c>
      <c r="AX2" s="90" t="s">
        <v>130</v>
      </c>
      <c r="AY2" s="91" t="s">
        <v>131</v>
      </c>
      <c r="AZ2" s="91" t="s">
        <v>132</v>
      </c>
      <c r="BA2" s="91" t="s">
        <v>133</v>
      </c>
    </row>
    <row r="3" spans="1:53" ht="18">
      <c r="A3" s="130">
        <v>1</v>
      </c>
      <c r="B3" s="131" t="s">
        <v>12</v>
      </c>
      <c r="C3" s="132" t="s">
        <v>79</v>
      </c>
      <c r="D3" s="161" t="s">
        <v>37</v>
      </c>
      <c r="E3" s="133">
        <v>0.5</v>
      </c>
      <c r="F3" s="134">
        <f>IFERROR(_xlfn.XLOOKUP(C3,Projection_!A:A,Projection_!P:P),0)</f>
        <v>5439</v>
      </c>
      <c r="G3" s="162"/>
      <c r="H3" s="162"/>
      <c r="I3" s="162"/>
      <c r="J3" s="162"/>
      <c r="K3" s="162"/>
      <c r="L3" s="162"/>
      <c r="M3" s="162"/>
      <c r="N3" s="162"/>
      <c r="O3" s="162"/>
      <c r="P3" s="162"/>
      <c r="Q3" s="162"/>
      <c r="R3" s="162"/>
      <c r="S3" s="162"/>
      <c r="T3" s="162"/>
      <c r="U3" s="162"/>
      <c r="V3" s="162"/>
      <c r="W3" s="162"/>
      <c r="X3" s="162"/>
      <c r="Y3" s="163"/>
      <c r="Z3" s="162"/>
      <c r="AA3" s="162"/>
      <c r="AB3" s="162"/>
      <c r="AC3" s="162"/>
      <c r="AD3" s="162"/>
      <c r="AE3" s="162"/>
      <c r="AF3" s="162"/>
      <c r="AG3" s="162"/>
      <c r="AH3" s="162"/>
      <c r="AI3" s="162">
        <v>10</v>
      </c>
      <c r="AJ3" s="162"/>
      <c r="AK3" s="162"/>
      <c r="AL3" s="162"/>
      <c r="AM3" s="162"/>
      <c r="AN3" s="162"/>
      <c r="AO3" s="162"/>
      <c r="AP3" s="162"/>
      <c r="AQ3" s="162"/>
      <c r="AR3" s="162"/>
      <c r="AS3" s="150">
        <f t="shared" ref="AS3:AS21" si="0">SUM(G3:AR3)</f>
        <v>10</v>
      </c>
      <c r="AT3" s="150">
        <f t="shared" ref="AT3:AT21" si="1">AS3*E3</f>
        <v>5</v>
      </c>
      <c r="AU3" s="164">
        <f t="shared" ref="AU3:AU21" si="2">IFERROR(AS3-F3,0)</f>
        <v>-5429</v>
      </c>
      <c r="AV3" s="165">
        <f t="shared" ref="AV3:AV22" si="3">IFERROR(AS3/F3,0)</f>
        <v>1.8385732671446957E-3</v>
      </c>
      <c r="AW3" s="106"/>
      <c r="AX3" s="106"/>
      <c r="AY3" s="78"/>
      <c r="AZ3" s="78"/>
      <c r="BA3" s="78"/>
    </row>
    <row r="4" spans="1:53" ht="18">
      <c r="A4" s="139">
        <v>2</v>
      </c>
      <c r="B4" s="131" t="s">
        <v>12</v>
      </c>
      <c r="C4" s="132" t="s">
        <v>83</v>
      </c>
      <c r="D4" s="161" t="s">
        <v>48</v>
      </c>
      <c r="E4" s="133">
        <v>1</v>
      </c>
      <c r="F4" s="134">
        <f>IFERROR(_xlfn.XLOOKUP(C4,Projection_!A:A,Projection_!P:P),0)</f>
        <v>815</v>
      </c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2"/>
      <c r="R4" s="162"/>
      <c r="S4" s="162"/>
      <c r="T4" s="162"/>
      <c r="U4" s="162"/>
      <c r="V4" s="162"/>
      <c r="W4" s="162"/>
      <c r="X4" s="162"/>
      <c r="Y4" s="162"/>
      <c r="Z4" s="162"/>
      <c r="AA4" s="162"/>
      <c r="AB4" s="162"/>
      <c r="AC4" s="162"/>
      <c r="AD4" s="162"/>
      <c r="AE4" s="162"/>
      <c r="AF4" s="162"/>
      <c r="AG4" s="162"/>
      <c r="AH4" s="162"/>
      <c r="AI4" s="162"/>
      <c r="AJ4" s="162"/>
      <c r="AK4" s="162"/>
      <c r="AL4" s="162"/>
      <c r="AM4" s="162"/>
      <c r="AN4" s="162"/>
      <c r="AO4" s="162"/>
      <c r="AP4" s="162"/>
      <c r="AQ4" s="162"/>
      <c r="AR4" s="162"/>
      <c r="AS4" s="150">
        <f t="shared" si="0"/>
        <v>0</v>
      </c>
      <c r="AT4" s="150">
        <f t="shared" si="1"/>
        <v>0</v>
      </c>
      <c r="AU4" s="164">
        <f t="shared" si="2"/>
        <v>-815</v>
      </c>
      <c r="AV4" s="165">
        <f t="shared" si="3"/>
        <v>0</v>
      </c>
      <c r="AW4" s="106"/>
      <c r="AX4" s="106"/>
      <c r="AY4" s="78"/>
      <c r="AZ4" s="78"/>
      <c r="BA4" s="78"/>
    </row>
    <row r="5" spans="1:53" ht="18">
      <c r="A5" s="130">
        <v>3</v>
      </c>
      <c r="B5" s="131" t="s">
        <v>12</v>
      </c>
      <c r="C5" s="132" t="s">
        <v>80</v>
      </c>
      <c r="D5" s="161" t="s">
        <v>136</v>
      </c>
      <c r="E5" s="133">
        <v>5</v>
      </c>
      <c r="F5" s="134">
        <f>IFERROR(_xlfn.XLOOKUP(C5,Projection_!A:A,Projection_!P:P),0)</f>
        <v>135</v>
      </c>
      <c r="G5" s="162"/>
      <c r="H5" s="162"/>
      <c r="I5" s="162"/>
      <c r="J5" s="162"/>
      <c r="K5" s="162"/>
      <c r="L5" s="162"/>
      <c r="M5" s="162"/>
      <c r="N5" s="162"/>
      <c r="O5" s="162"/>
      <c r="P5" s="162"/>
      <c r="Q5" s="162"/>
      <c r="R5" s="162"/>
      <c r="S5" s="162"/>
      <c r="T5" s="162"/>
      <c r="U5" s="162"/>
      <c r="V5" s="162"/>
      <c r="W5" s="162"/>
      <c r="X5" s="162"/>
      <c r="Y5" s="162"/>
      <c r="Z5" s="162"/>
      <c r="AA5" s="162"/>
      <c r="AB5" s="162"/>
      <c r="AC5" s="162"/>
      <c r="AD5" s="162"/>
      <c r="AE5" s="162"/>
      <c r="AF5" s="162"/>
      <c r="AG5" s="162"/>
      <c r="AH5" s="162"/>
      <c r="AI5" s="162"/>
      <c r="AJ5" s="162"/>
      <c r="AK5" s="162"/>
      <c r="AL5" s="162"/>
      <c r="AM5" s="162"/>
      <c r="AN5" s="162"/>
      <c r="AO5" s="162"/>
      <c r="AP5" s="162"/>
      <c r="AQ5" s="162"/>
      <c r="AR5" s="162"/>
      <c r="AS5" s="150">
        <f t="shared" si="0"/>
        <v>0</v>
      </c>
      <c r="AT5" s="150">
        <f t="shared" si="1"/>
        <v>0</v>
      </c>
      <c r="AU5" s="164">
        <f t="shared" si="2"/>
        <v>-135</v>
      </c>
      <c r="AV5" s="165">
        <f t="shared" si="3"/>
        <v>0</v>
      </c>
      <c r="AW5" s="166"/>
      <c r="AX5" s="106"/>
      <c r="AY5" s="78"/>
      <c r="AZ5" s="78"/>
      <c r="BA5" s="78"/>
    </row>
    <row r="6" spans="1:53" ht="18" hidden="1">
      <c r="A6" s="139">
        <v>4</v>
      </c>
      <c r="B6" s="131" t="s">
        <v>12</v>
      </c>
      <c r="C6" s="132" t="s">
        <v>82</v>
      </c>
      <c r="D6" s="132" t="s">
        <v>44</v>
      </c>
      <c r="E6" s="133">
        <v>0.25</v>
      </c>
      <c r="F6" s="134">
        <f>IFERROR(_xlfn.XLOOKUP(C6,Projection_!A:A,Projection_!P:P),0)</f>
        <v>0</v>
      </c>
      <c r="G6" s="162">
        <v>0</v>
      </c>
      <c r="H6" s="162">
        <v>0</v>
      </c>
      <c r="I6" s="162">
        <v>0</v>
      </c>
      <c r="J6" s="162">
        <v>0</v>
      </c>
      <c r="K6" s="162">
        <v>0</v>
      </c>
      <c r="L6" s="162">
        <v>0</v>
      </c>
      <c r="M6" s="162">
        <v>0</v>
      </c>
      <c r="N6" s="162">
        <v>0</v>
      </c>
      <c r="O6" s="162">
        <v>0</v>
      </c>
      <c r="P6" s="162">
        <v>0</v>
      </c>
      <c r="Q6" s="162">
        <v>0</v>
      </c>
      <c r="R6" s="162">
        <v>0</v>
      </c>
      <c r="S6" s="162">
        <v>0</v>
      </c>
      <c r="T6" s="162">
        <v>0</v>
      </c>
      <c r="U6" s="162">
        <v>0</v>
      </c>
      <c r="V6" s="162">
        <v>0</v>
      </c>
      <c r="W6" s="162">
        <v>0</v>
      </c>
      <c r="X6" s="162">
        <v>0</v>
      </c>
      <c r="Y6" s="162">
        <v>0</v>
      </c>
      <c r="Z6" s="162">
        <v>0</v>
      </c>
      <c r="AA6" s="162">
        <v>0</v>
      </c>
      <c r="AB6" s="162">
        <v>0</v>
      </c>
      <c r="AC6" s="162">
        <v>0</v>
      </c>
      <c r="AD6" s="162">
        <v>0</v>
      </c>
      <c r="AE6" s="162">
        <v>0</v>
      </c>
      <c r="AF6" s="162">
        <v>0</v>
      </c>
      <c r="AG6" s="162">
        <v>0</v>
      </c>
      <c r="AH6" s="162">
        <v>0</v>
      </c>
      <c r="AI6" s="162">
        <v>0</v>
      </c>
      <c r="AJ6" s="162">
        <v>0</v>
      </c>
      <c r="AK6" s="162">
        <v>0</v>
      </c>
      <c r="AL6" s="162"/>
      <c r="AM6" s="162"/>
      <c r="AN6" s="162"/>
      <c r="AO6" s="162"/>
      <c r="AP6" s="162"/>
      <c r="AQ6" s="162"/>
      <c r="AR6" s="162"/>
      <c r="AS6" s="150">
        <f t="shared" si="0"/>
        <v>0</v>
      </c>
      <c r="AT6" s="150">
        <f t="shared" si="1"/>
        <v>0</v>
      </c>
      <c r="AU6" s="150">
        <f t="shared" si="2"/>
        <v>0</v>
      </c>
      <c r="AV6" s="165">
        <f t="shared" si="3"/>
        <v>0</v>
      </c>
      <c r="AW6" s="106"/>
      <c r="AX6" s="106"/>
      <c r="AY6" s="78"/>
      <c r="AZ6" s="78"/>
      <c r="BA6" s="78"/>
    </row>
    <row r="7" spans="1:53" ht="18">
      <c r="A7" s="130">
        <v>5</v>
      </c>
      <c r="B7" s="131" t="s">
        <v>12</v>
      </c>
      <c r="C7" s="132" t="s">
        <v>76</v>
      </c>
      <c r="D7" s="161" t="s">
        <v>26</v>
      </c>
      <c r="E7" s="133">
        <v>0.5</v>
      </c>
      <c r="F7" s="134">
        <f>IFERROR(_xlfn.XLOOKUP(C7,Projection_!A:A,Projection_!P:P),0)</f>
        <v>495</v>
      </c>
      <c r="G7" s="162"/>
      <c r="H7" s="162"/>
      <c r="I7" s="162"/>
      <c r="J7" s="162"/>
      <c r="K7" s="162"/>
      <c r="L7" s="162"/>
      <c r="M7" s="162"/>
      <c r="N7" s="162"/>
      <c r="O7" s="162"/>
      <c r="P7" s="162"/>
      <c r="Q7" s="162"/>
      <c r="R7" s="162"/>
      <c r="S7" s="162"/>
      <c r="T7" s="162"/>
      <c r="U7" s="162"/>
      <c r="V7" s="162"/>
      <c r="W7" s="162"/>
      <c r="X7" s="162"/>
      <c r="Y7" s="162"/>
      <c r="Z7" s="162"/>
      <c r="AA7" s="162"/>
      <c r="AB7" s="162"/>
      <c r="AC7" s="162"/>
      <c r="AD7" s="162"/>
      <c r="AE7" s="162"/>
      <c r="AF7" s="162"/>
      <c r="AG7" s="162"/>
      <c r="AH7" s="162"/>
      <c r="AI7" s="162"/>
      <c r="AJ7" s="162"/>
      <c r="AK7" s="162"/>
      <c r="AL7" s="162"/>
      <c r="AM7" s="162"/>
      <c r="AN7" s="162"/>
      <c r="AO7" s="162"/>
      <c r="AP7" s="162"/>
      <c r="AQ7" s="162"/>
      <c r="AR7" s="162"/>
      <c r="AS7" s="150">
        <f t="shared" si="0"/>
        <v>0</v>
      </c>
      <c r="AT7" s="150">
        <f t="shared" si="1"/>
        <v>0</v>
      </c>
      <c r="AU7" s="150">
        <f t="shared" si="2"/>
        <v>-495</v>
      </c>
      <c r="AV7" s="165">
        <f t="shared" si="3"/>
        <v>0</v>
      </c>
      <c r="AW7" s="167"/>
      <c r="AX7" s="106"/>
      <c r="AY7" s="78"/>
      <c r="AZ7" s="78"/>
      <c r="BA7" s="78"/>
    </row>
    <row r="8" spans="1:53" ht="18" hidden="1">
      <c r="A8" s="139">
        <v>6</v>
      </c>
      <c r="B8" s="131" t="s">
        <v>12</v>
      </c>
      <c r="C8" s="132" t="s">
        <v>73</v>
      </c>
      <c r="D8" s="132" t="s">
        <v>23</v>
      </c>
      <c r="E8" s="133">
        <v>0.5</v>
      </c>
      <c r="F8" s="134">
        <f>IFERROR(_xlfn.XLOOKUP(C8,Projection_!A:A,Projection_!P:P),0)</f>
        <v>0</v>
      </c>
      <c r="G8" s="162">
        <v>0</v>
      </c>
      <c r="H8" s="162">
        <v>0</v>
      </c>
      <c r="I8" s="162">
        <v>0</v>
      </c>
      <c r="J8" s="162">
        <v>0</v>
      </c>
      <c r="K8" s="162">
        <v>0</v>
      </c>
      <c r="L8" s="162">
        <v>0</v>
      </c>
      <c r="M8" s="162">
        <v>0</v>
      </c>
      <c r="N8" s="162">
        <v>0</v>
      </c>
      <c r="O8" s="162">
        <v>0</v>
      </c>
      <c r="P8" s="162">
        <v>0</v>
      </c>
      <c r="Q8" s="162">
        <v>0</v>
      </c>
      <c r="R8" s="162">
        <v>0</v>
      </c>
      <c r="S8" s="162">
        <v>0</v>
      </c>
      <c r="T8" s="162">
        <v>0</v>
      </c>
      <c r="U8" s="162">
        <v>0</v>
      </c>
      <c r="V8" s="162">
        <v>0</v>
      </c>
      <c r="W8" s="162">
        <v>0</v>
      </c>
      <c r="X8" s="162">
        <v>0</v>
      </c>
      <c r="Y8" s="162">
        <v>0</v>
      </c>
      <c r="Z8" s="162">
        <v>0</v>
      </c>
      <c r="AA8" s="162">
        <v>0</v>
      </c>
      <c r="AB8" s="162">
        <v>0</v>
      </c>
      <c r="AC8" s="162">
        <v>0</v>
      </c>
      <c r="AD8" s="162">
        <v>0</v>
      </c>
      <c r="AE8" s="162">
        <v>0</v>
      </c>
      <c r="AF8" s="162">
        <v>0</v>
      </c>
      <c r="AG8" s="162">
        <v>0</v>
      </c>
      <c r="AH8" s="162">
        <v>0</v>
      </c>
      <c r="AI8" s="162">
        <v>0</v>
      </c>
      <c r="AJ8" s="162">
        <v>0</v>
      </c>
      <c r="AK8" s="162">
        <v>0</v>
      </c>
      <c r="AL8" s="162"/>
      <c r="AM8" s="162"/>
      <c r="AN8" s="162"/>
      <c r="AO8" s="162"/>
      <c r="AP8" s="162"/>
      <c r="AQ8" s="162"/>
      <c r="AR8" s="162"/>
      <c r="AS8" s="150">
        <f t="shared" si="0"/>
        <v>0</v>
      </c>
      <c r="AT8" s="150">
        <f t="shared" si="1"/>
        <v>0</v>
      </c>
      <c r="AU8" s="150">
        <f t="shared" si="2"/>
        <v>0</v>
      </c>
      <c r="AV8" s="165">
        <f t="shared" si="3"/>
        <v>0</v>
      </c>
      <c r="AW8" s="106"/>
      <c r="AX8" s="106"/>
      <c r="AY8" s="78"/>
      <c r="AZ8" s="78"/>
      <c r="BA8" s="78"/>
    </row>
    <row r="9" spans="1:53" ht="18" hidden="1">
      <c r="A9" s="130">
        <v>7</v>
      </c>
      <c r="B9" s="131" t="s">
        <v>12</v>
      </c>
      <c r="C9" s="132" t="s">
        <v>74</v>
      </c>
      <c r="D9" s="132" t="s">
        <v>24</v>
      </c>
      <c r="E9" s="112">
        <v>0.5</v>
      </c>
      <c r="F9" s="134">
        <f>IFERROR(_xlfn.XLOOKUP(C9,Projection_!A:A,Projection_!P:P),0)</f>
        <v>0</v>
      </c>
      <c r="G9" s="162">
        <v>0</v>
      </c>
      <c r="H9" s="162">
        <v>0</v>
      </c>
      <c r="I9" s="162">
        <v>0</v>
      </c>
      <c r="J9" s="162">
        <v>0</v>
      </c>
      <c r="K9" s="162">
        <v>0</v>
      </c>
      <c r="L9" s="162">
        <v>0</v>
      </c>
      <c r="M9" s="162">
        <v>0</v>
      </c>
      <c r="N9" s="162">
        <v>0</v>
      </c>
      <c r="O9" s="162">
        <v>0</v>
      </c>
      <c r="P9" s="162">
        <v>0</v>
      </c>
      <c r="Q9" s="162">
        <v>0</v>
      </c>
      <c r="R9" s="162">
        <v>0</v>
      </c>
      <c r="S9" s="162">
        <v>0</v>
      </c>
      <c r="T9" s="162">
        <v>0</v>
      </c>
      <c r="U9" s="162">
        <v>0</v>
      </c>
      <c r="V9" s="162">
        <v>0</v>
      </c>
      <c r="W9" s="162">
        <v>0</v>
      </c>
      <c r="X9" s="162">
        <v>0</v>
      </c>
      <c r="Y9" s="162">
        <v>0</v>
      </c>
      <c r="Z9" s="162">
        <v>0</v>
      </c>
      <c r="AA9" s="162">
        <v>0</v>
      </c>
      <c r="AB9" s="162">
        <v>0</v>
      </c>
      <c r="AC9" s="162">
        <v>0</v>
      </c>
      <c r="AD9" s="162">
        <v>0</v>
      </c>
      <c r="AE9" s="162">
        <v>0</v>
      </c>
      <c r="AF9" s="162">
        <v>0</v>
      </c>
      <c r="AG9" s="162">
        <v>0</v>
      </c>
      <c r="AH9" s="162">
        <v>0</v>
      </c>
      <c r="AI9" s="162">
        <v>0</v>
      </c>
      <c r="AJ9" s="162">
        <v>0</v>
      </c>
      <c r="AK9" s="162">
        <v>0</v>
      </c>
      <c r="AL9" s="162"/>
      <c r="AM9" s="162"/>
      <c r="AN9" s="162"/>
      <c r="AO9" s="162"/>
      <c r="AP9" s="162"/>
      <c r="AQ9" s="162"/>
      <c r="AR9" s="162"/>
      <c r="AS9" s="150">
        <f t="shared" si="0"/>
        <v>0</v>
      </c>
      <c r="AT9" s="150">
        <f t="shared" si="1"/>
        <v>0</v>
      </c>
      <c r="AU9" s="150">
        <f t="shared" si="2"/>
        <v>0</v>
      </c>
      <c r="AV9" s="165">
        <f t="shared" si="3"/>
        <v>0</v>
      </c>
      <c r="AW9" s="106"/>
      <c r="AX9" s="106"/>
      <c r="AY9" s="78"/>
      <c r="AZ9" s="78"/>
      <c r="BA9" s="78"/>
    </row>
    <row r="10" spans="1:53" ht="18">
      <c r="A10" s="139">
        <v>8</v>
      </c>
      <c r="B10" s="131" t="s">
        <v>12</v>
      </c>
      <c r="C10" s="132" t="s">
        <v>125</v>
      </c>
      <c r="D10" s="161" t="s">
        <v>46</v>
      </c>
      <c r="E10" s="133">
        <v>0.1</v>
      </c>
      <c r="F10" s="134">
        <f>IFERROR(_xlfn.XLOOKUP(C10,Projection_!A:A,Projection_!P:P),0)</f>
        <v>111</v>
      </c>
      <c r="G10" s="162"/>
      <c r="H10" s="162"/>
      <c r="I10" s="162"/>
      <c r="J10" s="162"/>
      <c r="K10" s="162"/>
      <c r="L10" s="162"/>
      <c r="M10" s="162"/>
      <c r="N10" s="162"/>
      <c r="O10" s="162"/>
      <c r="P10" s="162"/>
      <c r="Q10" s="162"/>
      <c r="R10" s="162"/>
      <c r="S10" s="162"/>
      <c r="T10" s="162"/>
      <c r="U10" s="162"/>
      <c r="V10" s="162"/>
      <c r="W10" s="162"/>
      <c r="X10" s="162"/>
      <c r="Y10" s="162"/>
      <c r="Z10" s="162"/>
      <c r="AA10" s="162"/>
      <c r="AB10" s="162"/>
      <c r="AC10" s="162"/>
      <c r="AD10" s="162"/>
      <c r="AE10" s="162"/>
      <c r="AF10" s="162"/>
      <c r="AG10" s="162"/>
      <c r="AH10" s="162"/>
      <c r="AI10" s="162"/>
      <c r="AJ10" s="162"/>
      <c r="AK10" s="162"/>
      <c r="AL10" s="162"/>
      <c r="AM10" s="162"/>
      <c r="AN10" s="162"/>
      <c r="AO10" s="162"/>
      <c r="AP10" s="162"/>
      <c r="AQ10" s="162"/>
      <c r="AR10" s="162"/>
      <c r="AS10" s="150">
        <f t="shared" si="0"/>
        <v>0</v>
      </c>
      <c r="AT10" s="150">
        <f t="shared" si="1"/>
        <v>0</v>
      </c>
      <c r="AU10" s="164">
        <f t="shared" si="2"/>
        <v>-111</v>
      </c>
      <c r="AV10" s="165">
        <f t="shared" si="3"/>
        <v>0</v>
      </c>
      <c r="AW10" s="166" t="s">
        <v>152</v>
      </c>
      <c r="AX10" s="106" t="s">
        <v>153</v>
      </c>
      <c r="AY10" s="78"/>
      <c r="AZ10" s="78"/>
      <c r="BA10" s="78"/>
    </row>
    <row r="11" spans="1:53" ht="18" hidden="1">
      <c r="A11" s="130">
        <v>9</v>
      </c>
      <c r="B11" s="131" t="s">
        <v>12</v>
      </c>
      <c r="C11" s="132" t="s">
        <v>81</v>
      </c>
      <c r="D11" s="132" t="s">
        <v>42</v>
      </c>
      <c r="E11" s="133">
        <v>1</v>
      </c>
      <c r="F11" s="134">
        <f>IFERROR(_xlfn.XLOOKUP(C11,Projection_!A:A,Projection_!P:P),0)</f>
        <v>0</v>
      </c>
      <c r="G11" s="162">
        <v>0</v>
      </c>
      <c r="H11" s="162">
        <v>0</v>
      </c>
      <c r="I11" s="162">
        <v>0</v>
      </c>
      <c r="J11" s="162">
        <v>0</v>
      </c>
      <c r="K11" s="162">
        <v>0</v>
      </c>
      <c r="L11" s="162">
        <v>0</v>
      </c>
      <c r="M11" s="162">
        <v>0</v>
      </c>
      <c r="N11" s="162">
        <v>0</v>
      </c>
      <c r="O11" s="162">
        <v>0</v>
      </c>
      <c r="P11" s="162">
        <v>0</v>
      </c>
      <c r="Q11" s="162">
        <v>0</v>
      </c>
      <c r="R11" s="162">
        <v>0</v>
      </c>
      <c r="S11" s="162">
        <v>0</v>
      </c>
      <c r="T11" s="162">
        <v>0</v>
      </c>
      <c r="U11" s="162">
        <v>0</v>
      </c>
      <c r="V11" s="162">
        <v>0</v>
      </c>
      <c r="W11" s="162">
        <v>0</v>
      </c>
      <c r="X11" s="162">
        <v>0</v>
      </c>
      <c r="Y11" s="162">
        <v>0</v>
      </c>
      <c r="Z11" s="162">
        <v>0</v>
      </c>
      <c r="AA11" s="162">
        <v>0</v>
      </c>
      <c r="AB11" s="162">
        <v>0</v>
      </c>
      <c r="AC11" s="162">
        <v>0</v>
      </c>
      <c r="AD11" s="162">
        <v>0</v>
      </c>
      <c r="AE11" s="162">
        <v>0</v>
      </c>
      <c r="AF11" s="162">
        <v>0</v>
      </c>
      <c r="AG11" s="162">
        <v>0</v>
      </c>
      <c r="AH11" s="162">
        <v>0</v>
      </c>
      <c r="AI11" s="162">
        <v>0</v>
      </c>
      <c r="AJ11" s="162">
        <v>0</v>
      </c>
      <c r="AK11" s="162">
        <v>0</v>
      </c>
      <c r="AL11" s="162"/>
      <c r="AM11" s="162"/>
      <c r="AN11" s="162"/>
      <c r="AO11" s="162"/>
      <c r="AP11" s="162"/>
      <c r="AQ11" s="162"/>
      <c r="AR11" s="162"/>
      <c r="AS11" s="150">
        <f t="shared" si="0"/>
        <v>0</v>
      </c>
      <c r="AT11" s="150">
        <f t="shared" si="1"/>
        <v>0</v>
      </c>
      <c r="AU11" s="150">
        <f t="shared" si="2"/>
        <v>0</v>
      </c>
      <c r="AV11" s="165">
        <f t="shared" si="3"/>
        <v>0</v>
      </c>
      <c r="AW11" s="106"/>
      <c r="AX11" s="106"/>
      <c r="AY11" s="78"/>
      <c r="AZ11" s="78"/>
      <c r="BA11" s="78"/>
    </row>
    <row r="12" spans="1:53" ht="18" hidden="1">
      <c r="A12" s="139">
        <v>10</v>
      </c>
      <c r="B12" s="131" t="s">
        <v>12</v>
      </c>
      <c r="C12" s="132" t="s">
        <v>75</v>
      </c>
      <c r="D12" s="132" t="s">
        <v>25</v>
      </c>
      <c r="E12" s="133">
        <v>0.1</v>
      </c>
      <c r="F12" s="134">
        <f>IFERROR(_xlfn.XLOOKUP(C12,Projection_!A:A,Projection_!P:P),0)</f>
        <v>0</v>
      </c>
      <c r="G12" s="162">
        <v>0</v>
      </c>
      <c r="H12" s="162">
        <v>0</v>
      </c>
      <c r="I12" s="162">
        <v>0</v>
      </c>
      <c r="J12" s="162">
        <v>0</v>
      </c>
      <c r="K12" s="162">
        <v>0</v>
      </c>
      <c r="L12" s="162">
        <v>0</v>
      </c>
      <c r="M12" s="162">
        <v>0</v>
      </c>
      <c r="N12" s="162">
        <v>0</v>
      </c>
      <c r="O12" s="162">
        <v>0</v>
      </c>
      <c r="P12" s="162">
        <v>0</v>
      </c>
      <c r="Q12" s="162">
        <v>0</v>
      </c>
      <c r="R12" s="162">
        <v>0</v>
      </c>
      <c r="S12" s="162">
        <v>0</v>
      </c>
      <c r="T12" s="162">
        <v>0</v>
      </c>
      <c r="U12" s="162">
        <v>0</v>
      </c>
      <c r="V12" s="162">
        <v>0</v>
      </c>
      <c r="W12" s="162">
        <v>0</v>
      </c>
      <c r="X12" s="162">
        <v>0</v>
      </c>
      <c r="Y12" s="162">
        <v>0</v>
      </c>
      <c r="Z12" s="162">
        <v>0</v>
      </c>
      <c r="AA12" s="162">
        <v>0</v>
      </c>
      <c r="AB12" s="162">
        <v>0</v>
      </c>
      <c r="AC12" s="162">
        <v>0</v>
      </c>
      <c r="AD12" s="162">
        <v>0</v>
      </c>
      <c r="AE12" s="162">
        <v>0</v>
      </c>
      <c r="AF12" s="162">
        <v>0</v>
      </c>
      <c r="AG12" s="162">
        <v>0</v>
      </c>
      <c r="AH12" s="162">
        <v>0</v>
      </c>
      <c r="AI12" s="162">
        <v>0</v>
      </c>
      <c r="AJ12" s="162">
        <v>0</v>
      </c>
      <c r="AK12" s="162">
        <v>0</v>
      </c>
      <c r="AL12" s="162"/>
      <c r="AM12" s="162"/>
      <c r="AN12" s="162"/>
      <c r="AO12" s="162"/>
      <c r="AP12" s="162"/>
      <c r="AQ12" s="162"/>
      <c r="AR12" s="162"/>
      <c r="AS12" s="150">
        <f t="shared" si="0"/>
        <v>0</v>
      </c>
      <c r="AT12" s="150">
        <f t="shared" si="1"/>
        <v>0</v>
      </c>
      <c r="AU12" s="150">
        <f t="shared" si="2"/>
        <v>0</v>
      </c>
      <c r="AV12" s="165">
        <f t="shared" si="3"/>
        <v>0</v>
      </c>
      <c r="AW12" s="106"/>
      <c r="AX12" s="106"/>
      <c r="AY12" s="78"/>
      <c r="AZ12" s="78"/>
      <c r="BA12" s="78"/>
    </row>
    <row r="13" spans="1:53" ht="18" hidden="1">
      <c r="A13" s="130">
        <v>11</v>
      </c>
      <c r="B13" s="131" t="s">
        <v>12</v>
      </c>
      <c r="C13" s="132" t="s">
        <v>144</v>
      </c>
      <c r="D13" s="132" t="s">
        <v>145</v>
      </c>
      <c r="E13" s="133">
        <v>1</v>
      </c>
      <c r="F13" s="134">
        <f>IFERROR(_xlfn.XLOOKUP(C13,Projection_!A:A,Projection_!P:P),0)</f>
        <v>0</v>
      </c>
      <c r="G13" s="162">
        <v>0</v>
      </c>
      <c r="H13" s="162">
        <v>0</v>
      </c>
      <c r="I13" s="162">
        <v>0</v>
      </c>
      <c r="J13" s="162">
        <v>0</v>
      </c>
      <c r="K13" s="162">
        <v>0</v>
      </c>
      <c r="L13" s="162">
        <v>0</v>
      </c>
      <c r="M13" s="162">
        <v>0</v>
      </c>
      <c r="N13" s="162">
        <v>0</v>
      </c>
      <c r="O13" s="162">
        <v>0</v>
      </c>
      <c r="P13" s="162">
        <v>0</v>
      </c>
      <c r="Q13" s="162">
        <v>0</v>
      </c>
      <c r="R13" s="162">
        <v>0</v>
      </c>
      <c r="S13" s="162">
        <v>0</v>
      </c>
      <c r="T13" s="162">
        <v>0</v>
      </c>
      <c r="U13" s="162">
        <v>0</v>
      </c>
      <c r="V13" s="162">
        <v>0</v>
      </c>
      <c r="W13" s="162">
        <v>0</v>
      </c>
      <c r="X13" s="162">
        <v>0</v>
      </c>
      <c r="Y13" s="162">
        <v>0</v>
      </c>
      <c r="Z13" s="162">
        <v>0</v>
      </c>
      <c r="AA13" s="162">
        <v>0</v>
      </c>
      <c r="AB13" s="162">
        <v>0</v>
      </c>
      <c r="AC13" s="162">
        <v>0</v>
      </c>
      <c r="AD13" s="162">
        <v>0</v>
      </c>
      <c r="AE13" s="162">
        <v>0</v>
      </c>
      <c r="AF13" s="162">
        <v>0</v>
      </c>
      <c r="AG13" s="162">
        <v>0</v>
      </c>
      <c r="AH13" s="162">
        <v>0</v>
      </c>
      <c r="AI13" s="162">
        <v>0</v>
      </c>
      <c r="AJ13" s="162">
        <v>0</v>
      </c>
      <c r="AK13" s="162">
        <v>0</v>
      </c>
      <c r="AL13" s="162"/>
      <c r="AM13" s="162"/>
      <c r="AN13" s="162"/>
      <c r="AO13" s="162"/>
      <c r="AP13" s="162"/>
      <c r="AQ13" s="162"/>
      <c r="AR13" s="162"/>
      <c r="AS13" s="150">
        <f t="shared" si="0"/>
        <v>0</v>
      </c>
      <c r="AT13" s="150">
        <f t="shared" si="1"/>
        <v>0</v>
      </c>
      <c r="AU13" s="150">
        <f t="shared" si="2"/>
        <v>0</v>
      </c>
      <c r="AV13" s="165">
        <f t="shared" si="3"/>
        <v>0</v>
      </c>
      <c r="AW13" s="106"/>
      <c r="AX13" s="106"/>
      <c r="AY13" s="78"/>
      <c r="AZ13" s="78"/>
      <c r="BA13" s="78"/>
    </row>
    <row r="14" spans="1:53" ht="18" hidden="1">
      <c r="A14" s="139">
        <v>12</v>
      </c>
      <c r="B14" s="131" t="s">
        <v>12</v>
      </c>
      <c r="C14" s="132" t="s">
        <v>68</v>
      </c>
      <c r="D14" s="132" t="s">
        <v>13</v>
      </c>
      <c r="E14" s="133">
        <v>0.2</v>
      </c>
      <c r="F14" s="134">
        <f>IFERROR(_xlfn.XLOOKUP(C14,Projection_!A:A,Projection_!P:P),0)</f>
        <v>0</v>
      </c>
      <c r="G14" s="162">
        <v>0</v>
      </c>
      <c r="H14" s="162">
        <v>0</v>
      </c>
      <c r="I14" s="162">
        <v>0</v>
      </c>
      <c r="J14" s="162">
        <v>0</v>
      </c>
      <c r="K14" s="162">
        <v>0</v>
      </c>
      <c r="L14" s="162">
        <v>0</v>
      </c>
      <c r="M14" s="162">
        <v>0</v>
      </c>
      <c r="N14" s="162">
        <v>0</v>
      </c>
      <c r="O14" s="162">
        <v>0</v>
      </c>
      <c r="P14" s="162">
        <v>0</v>
      </c>
      <c r="Q14" s="162">
        <v>0</v>
      </c>
      <c r="R14" s="162">
        <v>0</v>
      </c>
      <c r="S14" s="162">
        <v>0</v>
      </c>
      <c r="T14" s="162">
        <v>0</v>
      </c>
      <c r="U14" s="162">
        <v>0</v>
      </c>
      <c r="V14" s="162">
        <v>0</v>
      </c>
      <c r="W14" s="162">
        <v>0</v>
      </c>
      <c r="X14" s="162">
        <v>0</v>
      </c>
      <c r="Y14" s="162">
        <v>0</v>
      </c>
      <c r="Z14" s="162">
        <v>0</v>
      </c>
      <c r="AA14" s="162">
        <v>0</v>
      </c>
      <c r="AB14" s="162">
        <v>0</v>
      </c>
      <c r="AC14" s="162">
        <v>0</v>
      </c>
      <c r="AD14" s="162">
        <v>0</v>
      </c>
      <c r="AE14" s="162">
        <v>0</v>
      </c>
      <c r="AF14" s="162">
        <v>0</v>
      </c>
      <c r="AG14" s="162">
        <v>0</v>
      </c>
      <c r="AH14" s="162">
        <v>0</v>
      </c>
      <c r="AI14" s="162">
        <v>0</v>
      </c>
      <c r="AJ14" s="162">
        <v>0</v>
      </c>
      <c r="AK14" s="162">
        <v>0</v>
      </c>
      <c r="AL14" s="162"/>
      <c r="AM14" s="162"/>
      <c r="AN14" s="162"/>
      <c r="AO14" s="162"/>
      <c r="AP14" s="162"/>
      <c r="AQ14" s="162"/>
      <c r="AR14" s="162"/>
      <c r="AS14" s="150">
        <f t="shared" si="0"/>
        <v>0</v>
      </c>
      <c r="AT14" s="150">
        <f t="shared" si="1"/>
        <v>0</v>
      </c>
      <c r="AU14" s="150">
        <f t="shared" si="2"/>
        <v>0</v>
      </c>
      <c r="AV14" s="165">
        <f t="shared" si="3"/>
        <v>0</v>
      </c>
      <c r="AW14" s="106"/>
      <c r="AX14" s="106"/>
      <c r="AY14" s="78"/>
      <c r="AZ14" s="78"/>
      <c r="BA14" s="78"/>
    </row>
    <row r="15" spans="1:53" ht="18" hidden="1">
      <c r="A15" s="130">
        <v>13</v>
      </c>
      <c r="B15" s="131" t="s">
        <v>12</v>
      </c>
      <c r="C15" s="132" t="s">
        <v>78</v>
      </c>
      <c r="D15" s="132" t="s">
        <v>35</v>
      </c>
      <c r="E15" s="133">
        <v>0.2</v>
      </c>
      <c r="F15" s="134">
        <f>IFERROR(_xlfn.XLOOKUP(C15,Projection_!A:A,Projection_!P:P),0)</f>
        <v>0</v>
      </c>
      <c r="G15" s="162">
        <v>0</v>
      </c>
      <c r="H15" s="162">
        <v>0</v>
      </c>
      <c r="I15" s="162">
        <v>0</v>
      </c>
      <c r="J15" s="162">
        <v>0</v>
      </c>
      <c r="K15" s="162">
        <v>0</v>
      </c>
      <c r="L15" s="162">
        <v>0</v>
      </c>
      <c r="M15" s="162">
        <v>0</v>
      </c>
      <c r="N15" s="162">
        <v>0</v>
      </c>
      <c r="O15" s="162">
        <v>0</v>
      </c>
      <c r="P15" s="162">
        <v>0</v>
      </c>
      <c r="Q15" s="162">
        <v>0</v>
      </c>
      <c r="R15" s="162">
        <v>0</v>
      </c>
      <c r="S15" s="162">
        <v>0</v>
      </c>
      <c r="T15" s="162">
        <v>0</v>
      </c>
      <c r="U15" s="162">
        <v>0</v>
      </c>
      <c r="V15" s="162">
        <v>0</v>
      </c>
      <c r="W15" s="162">
        <v>0</v>
      </c>
      <c r="X15" s="162">
        <v>0</v>
      </c>
      <c r="Y15" s="162">
        <v>0</v>
      </c>
      <c r="Z15" s="162">
        <v>0</v>
      </c>
      <c r="AA15" s="162">
        <v>0</v>
      </c>
      <c r="AB15" s="162">
        <v>0</v>
      </c>
      <c r="AC15" s="162">
        <v>0</v>
      </c>
      <c r="AD15" s="162">
        <v>0</v>
      </c>
      <c r="AE15" s="162">
        <v>0</v>
      </c>
      <c r="AF15" s="162">
        <v>0</v>
      </c>
      <c r="AG15" s="162">
        <v>0</v>
      </c>
      <c r="AH15" s="162">
        <v>0</v>
      </c>
      <c r="AI15" s="162">
        <v>0</v>
      </c>
      <c r="AJ15" s="162">
        <v>0</v>
      </c>
      <c r="AK15" s="162">
        <v>0</v>
      </c>
      <c r="AL15" s="162"/>
      <c r="AM15" s="162"/>
      <c r="AN15" s="162"/>
      <c r="AO15" s="162"/>
      <c r="AP15" s="162"/>
      <c r="AQ15" s="162"/>
      <c r="AR15" s="162"/>
      <c r="AS15" s="150">
        <f t="shared" si="0"/>
        <v>0</v>
      </c>
      <c r="AT15" s="150">
        <f t="shared" si="1"/>
        <v>0</v>
      </c>
      <c r="AU15" s="150">
        <f t="shared" si="2"/>
        <v>0</v>
      </c>
      <c r="AV15" s="165">
        <f t="shared" si="3"/>
        <v>0</v>
      </c>
      <c r="AW15" s="106"/>
      <c r="AX15" s="106"/>
      <c r="AY15" s="78"/>
      <c r="AZ15" s="78"/>
      <c r="BA15" s="78"/>
    </row>
    <row r="16" spans="1:53" ht="18" hidden="1">
      <c r="A16" s="139">
        <v>14</v>
      </c>
      <c r="B16" s="131" t="s">
        <v>12</v>
      </c>
      <c r="C16" s="132" t="s">
        <v>71</v>
      </c>
      <c r="D16" s="132" t="s">
        <v>21</v>
      </c>
      <c r="E16" s="133">
        <v>0.2</v>
      </c>
      <c r="F16" s="134">
        <f>IFERROR(_xlfn.XLOOKUP(C16,Projection_!A:A,Projection_!P:P),0)</f>
        <v>0</v>
      </c>
      <c r="G16" s="162">
        <v>0</v>
      </c>
      <c r="H16" s="162">
        <v>0</v>
      </c>
      <c r="I16" s="162">
        <v>0</v>
      </c>
      <c r="J16" s="162">
        <v>0</v>
      </c>
      <c r="K16" s="162">
        <v>0</v>
      </c>
      <c r="L16" s="162">
        <v>0</v>
      </c>
      <c r="M16" s="162">
        <v>0</v>
      </c>
      <c r="N16" s="162">
        <v>0</v>
      </c>
      <c r="O16" s="162">
        <v>0</v>
      </c>
      <c r="P16" s="162">
        <v>0</v>
      </c>
      <c r="Q16" s="162">
        <v>0</v>
      </c>
      <c r="R16" s="162">
        <v>0</v>
      </c>
      <c r="S16" s="162">
        <v>0</v>
      </c>
      <c r="T16" s="162">
        <v>0</v>
      </c>
      <c r="U16" s="162">
        <v>0</v>
      </c>
      <c r="V16" s="162">
        <v>0</v>
      </c>
      <c r="W16" s="162">
        <v>0</v>
      </c>
      <c r="X16" s="162">
        <v>0</v>
      </c>
      <c r="Y16" s="162">
        <v>0</v>
      </c>
      <c r="Z16" s="162">
        <v>0</v>
      </c>
      <c r="AA16" s="162">
        <v>0</v>
      </c>
      <c r="AB16" s="162">
        <v>0</v>
      </c>
      <c r="AC16" s="162">
        <v>0</v>
      </c>
      <c r="AD16" s="162">
        <v>0</v>
      </c>
      <c r="AE16" s="162">
        <v>0</v>
      </c>
      <c r="AF16" s="162">
        <v>0</v>
      </c>
      <c r="AG16" s="162">
        <v>0</v>
      </c>
      <c r="AH16" s="162">
        <v>0</v>
      </c>
      <c r="AI16" s="162">
        <v>0</v>
      </c>
      <c r="AJ16" s="162">
        <v>0</v>
      </c>
      <c r="AK16" s="162">
        <v>0</v>
      </c>
      <c r="AL16" s="162"/>
      <c r="AM16" s="162"/>
      <c r="AN16" s="162"/>
      <c r="AO16" s="162"/>
      <c r="AP16" s="162"/>
      <c r="AQ16" s="162"/>
      <c r="AR16" s="162"/>
      <c r="AS16" s="150">
        <f t="shared" si="0"/>
        <v>0</v>
      </c>
      <c r="AT16" s="150">
        <f t="shared" si="1"/>
        <v>0</v>
      </c>
      <c r="AU16" s="150">
        <f t="shared" si="2"/>
        <v>0</v>
      </c>
      <c r="AV16" s="165">
        <f t="shared" si="3"/>
        <v>0</v>
      </c>
      <c r="AW16" s="106"/>
      <c r="AX16" s="106"/>
      <c r="AY16" s="78"/>
      <c r="AZ16" s="78"/>
      <c r="BA16" s="78"/>
    </row>
    <row r="17" spans="1:53" ht="18" hidden="1">
      <c r="A17" s="130">
        <v>15</v>
      </c>
      <c r="B17" s="131" t="s">
        <v>12</v>
      </c>
      <c r="C17" s="132" t="s">
        <v>72</v>
      </c>
      <c r="D17" s="132" t="s">
        <v>22</v>
      </c>
      <c r="E17" s="133">
        <v>0.2</v>
      </c>
      <c r="F17" s="134">
        <f>IFERROR(_xlfn.XLOOKUP(C17,Projection_!A:A,Projection_!P:P),0)</f>
        <v>0</v>
      </c>
      <c r="G17" s="162">
        <v>0</v>
      </c>
      <c r="H17" s="162">
        <v>0</v>
      </c>
      <c r="I17" s="162">
        <v>0</v>
      </c>
      <c r="J17" s="162">
        <v>0</v>
      </c>
      <c r="K17" s="162">
        <v>0</v>
      </c>
      <c r="L17" s="162">
        <v>0</v>
      </c>
      <c r="M17" s="162">
        <v>0</v>
      </c>
      <c r="N17" s="162">
        <v>0</v>
      </c>
      <c r="O17" s="162">
        <v>0</v>
      </c>
      <c r="P17" s="162">
        <v>0</v>
      </c>
      <c r="Q17" s="162">
        <v>0</v>
      </c>
      <c r="R17" s="162">
        <v>0</v>
      </c>
      <c r="S17" s="162">
        <v>0</v>
      </c>
      <c r="T17" s="162">
        <v>0</v>
      </c>
      <c r="U17" s="162">
        <v>0</v>
      </c>
      <c r="V17" s="162">
        <v>0</v>
      </c>
      <c r="W17" s="162">
        <v>0</v>
      </c>
      <c r="X17" s="162">
        <v>0</v>
      </c>
      <c r="Y17" s="162">
        <v>0</v>
      </c>
      <c r="Z17" s="162">
        <v>0</v>
      </c>
      <c r="AA17" s="162">
        <v>0</v>
      </c>
      <c r="AB17" s="162">
        <v>0</v>
      </c>
      <c r="AC17" s="162">
        <v>0</v>
      </c>
      <c r="AD17" s="162">
        <v>0</v>
      </c>
      <c r="AE17" s="162">
        <v>0</v>
      </c>
      <c r="AF17" s="162">
        <v>0</v>
      </c>
      <c r="AG17" s="162">
        <v>0</v>
      </c>
      <c r="AH17" s="162">
        <v>0</v>
      </c>
      <c r="AI17" s="162">
        <v>0</v>
      </c>
      <c r="AJ17" s="162">
        <v>0</v>
      </c>
      <c r="AK17" s="162">
        <v>0</v>
      </c>
      <c r="AL17" s="162"/>
      <c r="AM17" s="162"/>
      <c r="AN17" s="162"/>
      <c r="AO17" s="162"/>
      <c r="AP17" s="162"/>
      <c r="AQ17" s="162"/>
      <c r="AR17" s="162"/>
      <c r="AS17" s="150">
        <f t="shared" si="0"/>
        <v>0</v>
      </c>
      <c r="AT17" s="150">
        <f t="shared" si="1"/>
        <v>0</v>
      </c>
      <c r="AU17" s="150">
        <f t="shared" si="2"/>
        <v>0</v>
      </c>
      <c r="AV17" s="165">
        <f t="shared" si="3"/>
        <v>0</v>
      </c>
      <c r="AW17" s="106"/>
      <c r="AX17" s="106"/>
      <c r="AY17" s="78"/>
      <c r="AZ17" s="78"/>
      <c r="BA17" s="78"/>
    </row>
    <row r="18" spans="1:53" ht="18" hidden="1">
      <c r="A18" s="139">
        <v>16</v>
      </c>
      <c r="B18" s="131" t="s">
        <v>12</v>
      </c>
      <c r="C18" s="132" t="s">
        <v>70</v>
      </c>
      <c r="D18" s="132" t="s">
        <v>14</v>
      </c>
      <c r="E18" s="133">
        <v>0.2</v>
      </c>
      <c r="F18" s="134">
        <f>IFERROR(_xlfn.XLOOKUP(C18,Projection_!A:A,Projection_!P:P),0)</f>
        <v>0</v>
      </c>
      <c r="G18" s="162">
        <v>0</v>
      </c>
      <c r="H18" s="162">
        <v>0</v>
      </c>
      <c r="I18" s="162">
        <v>0</v>
      </c>
      <c r="J18" s="162">
        <v>0</v>
      </c>
      <c r="K18" s="162">
        <v>0</v>
      </c>
      <c r="L18" s="162">
        <v>0</v>
      </c>
      <c r="M18" s="162">
        <v>0</v>
      </c>
      <c r="N18" s="162">
        <v>0</v>
      </c>
      <c r="O18" s="162">
        <v>0</v>
      </c>
      <c r="P18" s="162">
        <v>0</v>
      </c>
      <c r="Q18" s="162">
        <v>0</v>
      </c>
      <c r="R18" s="162">
        <v>0</v>
      </c>
      <c r="S18" s="162">
        <v>0</v>
      </c>
      <c r="T18" s="162">
        <v>0</v>
      </c>
      <c r="U18" s="162">
        <v>0</v>
      </c>
      <c r="V18" s="162">
        <v>0</v>
      </c>
      <c r="W18" s="162">
        <v>0</v>
      </c>
      <c r="X18" s="162">
        <v>0</v>
      </c>
      <c r="Y18" s="162">
        <v>0</v>
      </c>
      <c r="Z18" s="162">
        <v>0</v>
      </c>
      <c r="AA18" s="162">
        <v>0</v>
      </c>
      <c r="AB18" s="162">
        <v>0</v>
      </c>
      <c r="AC18" s="162">
        <v>0</v>
      </c>
      <c r="AD18" s="162">
        <v>0</v>
      </c>
      <c r="AE18" s="162">
        <v>0</v>
      </c>
      <c r="AF18" s="162">
        <v>0</v>
      </c>
      <c r="AG18" s="162">
        <v>0</v>
      </c>
      <c r="AH18" s="162">
        <v>0</v>
      </c>
      <c r="AI18" s="162">
        <v>0</v>
      </c>
      <c r="AJ18" s="162">
        <v>0</v>
      </c>
      <c r="AK18" s="162">
        <v>0</v>
      </c>
      <c r="AL18" s="162"/>
      <c r="AM18" s="162"/>
      <c r="AN18" s="162"/>
      <c r="AO18" s="162"/>
      <c r="AP18" s="162"/>
      <c r="AQ18" s="162"/>
      <c r="AR18" s="162"/>
      <c r="AS18" s="150">
        <f t="shared" si="0"/>
        <v>0</v>
      </c>
      <c r="AT18" s="150">
        <f t="shared" si="1"/>
        <v>0</v>
      </c>
      <c r="AU18" s="150">
        <f t="shared" si="2"/>
        <v>0</v>
      </c>
      <c r="AV18" s="165">
        <f t="shared" si="3"/>
        <v>0</v>
      </c>
      <c r="AW18" s="106"/>
      <c r="AX18" s="106"/>
      <c r="AY18" s="78"/>
      <c r="AZ18" s="78"/>
      <c r="BA18" s="78"/>
    </row>
    <row r="19" spans="1:53" ht="18" hidden="1">
      <c r="A19" s="130">
        <v>17</v>
      </c>
      <c r="B19" s="131" t="s">
        <v>12</v>
      </c>
      <c r="C19" s="132" t="s">
        <v>67</v>
      </c>
      <c r="D19" s="132" t="s">
        <v>9</v>
      </c>
      <c r="E19" s="133">
        <v>0.2</v>
      </c>
      <c r="F19" s="134">
        <f>IFERROR(_xlfn.XLOOKUP(C19,Projection_!A:A,Projection_!P:P),0)</f>
        <v>0</v>
      </c>
      <c r="G19" s="162">
        <v>0</v>
      </c>
      <c r="H19" s="162">
        <v>0</v>
      </c>
      <c r="I19" s="162">
        <v>0</v>
      </c>
      <c r="J19" s="162">
        <v>0</v>
      </c>
      <c r="K19" s="162">
        <v>0</v>
      </c>
      <c r="L19" s="162">
        <v>0</v>
      </c>
      <c r="M19" s="162">
        <v>0</v>
      </c>
      <c r="N19" s="162">
        <v>0</v>
      </c>
      <c r="O19" s="162">
        <v>0</v>
      </c>
      <c r="P19" s="162">
        <v>0</v>
      </c>
      <c r="Q19" s="162">
        <v>0</v>
      </c>
      <c r="R19" s="162">
        <v>0</v>
      </c>
      <c r="S19" s="162">
        <v>0</v>
      </c>
      <c r="T19" s="162">
        <v>0</v>
      </c>
      <c r="U19" s="162">
        <v>0</v>
      </c>
      <c r="V19" s="162">
        <v>0</v>
      </c>
      <c r="W19" s="162">
        <v>0</v>
      </c>
      <c r="X19" s="162">
        <v>0</v>
      </c>
      <c r="Y19" s="162">
        <v>0</v>
      </c>
      <c r="Z19" s="162">
        <v>0</v>
      </c>
      <c r="AA19" s="162">
        <v>0</v>
      </c>
      <c r="AB19" s="162">
        <v>0</v>
      </c>
      <c r="AC19" s="162">
        <v>0</v>
      </c>
      <c r="AD19" s="162">
        <v>0</v>
      </c>
      <c r="AE19" s="162">
        <v>0</v>
      </c>
      <c r="AF19" s="162">
        <v>0</v>
      </c>
      <c r="AG19" s="162">
        <v>0</v>
      </c>
      <c r="AH19" s="162">
        <v>0</v>
      </c>
      <c r="AI19" s="162">
        <v>0</v>
      </c>
      <c r="AJ19" s="162">
        <v>0</v>
      </c>
      <c r="AK19" s="162">
        <v>0</v>
      </c>
      <c r="AL19" s="162"/>
      <c r="AM19" s="162"/>
      <c r="AN19" s="162"/>
      <c r="AO19" s="162"/>
      <c r="AP19" s="162"/>
      <c r="AQ19" s="162"/>
      <c r="AR19" s="162"/>
      <c r="AS19" s="150">
        <f t="shared" si="0"/>
        <v>0</v>
      </c>
      <c r="AT19" s="150">
        <f t="shared" si="1"/>
        <v>0</v>
      </c>
      <c r="AU19" s="150">
        <f t="shared" si="2"/>
        <v>0</v>
      </c>
      <c r="AV19" s="165">
        <f t="shared" si="3"/>
        <v>0</v>
      </c>
      <c r="AW19" s="106"/>
      <c r="AX19" s="114"/>
      <c r="AY19" s="168"/>
      <c r="AZ19" s="168"/>
      <c r="BA19" s="168"/>
    </row>
    <row r="20" spans="1:53" ht="18" hidden="1">
      <c r="A20" s="139">
        <v>18</v>
      </c>
      <c r="B20" s="131" t="s">
        <v>12</v>
      </c>
      <c r="C20" s="132" t="s">
        <v>146</v>
      </c>
      <c r="D20" s="132" t="s">
        <v>147</v>
      </c>
      <c r="E20" s="133"/>
      <c r="F20" s="134">
        <f>IFERROR(_xlfn.XLOOKUP(C20,Projection_!A:A,Projection_!P:P),0)</f>
        <v>0</v>
      </c>
      <c r="G20" s="162">
        <v>0</v>
      </c>
      <c r="H20" s="162">
        <v>0</v>
      </c>
      <c r="I20" s="162">
        <v>0</v>
      </c>
      <c r="J20" s="162">
        <v>0</v>
      </c>
      <c r="K20" s="162">
        <v>0</v>
      </c>
      <c r="L20" s="162">
        <v>0</v>
      </c>
      <c r="M20" s="162">
        <v>0</v>
      </c>
      <c r="N20" s="162">
        <v>0</v>
      </c>
      <c r="O20" s="162">
        <v>0</v>
      </c>
      <c r="P20" s="162">
        <v>0</v>
      </c>
      <c r="Q20" s="162">
        <v>0</v>
      </c>
      <c r="R20" s="162">
        <v>0</v>
      </c>
      <c r="S20" s="162">
        <v>0</v>
      </c>
      <c r="T20" s="162">
        <v>0</v>
      </c>
      <c r="U20" s="162">
        <v>0</v>
      </c>
      <c r="V20" s="162">
        <v>0</v>
      </c>
      <c r="W20" s="162">
        <v>0</v>
      </c>
      <c r="X20" s="162">
        <v>0</v>
      </c>
      <c r="Y20" s="162">
        <v>0</v>
      </c>
      <c r="Z20" s="162">
        <v>0</v>
      </c>
      <c r="AA20" s="162">
        <v>0</v>
      </c>
      <c r="AB20" s="162">
        <v>0</v>
      </c>
      <c r="AC20" s="162">
        <v>0</v>
      </c>
      <c r="AD20" s="162">
        <v>0</v>
      </c>
      <c r="AE20" s="162">
        <v>0</v>
      </c>
      <c r="AF20" s="162">
        <v>0</v>
      </c>
      <c r="AG20" s="162">
        <v>0</v>
      </c>
      <c r="AH20" s="162">
        <v>0</v>
      </c>
      <c r="AI20" s="162">
        <v>0</v>
      </c>
      <c r="AJ20" s="162">
        <v>0</v>
      </c>
      <c r="AK20" s="162">
        <v>0</v>
      </c>
      <c r="AL20" s="162"/>
      <c r="AM20" s="162"/>
      <c r="AN20" s="162"/>
      <c r="AO20" s="162"/>
      <c r="AP20" s="162"/>
      <c r="AQ20" s="162"/>
      <c r="AR20" s="162"/>
      <c r="AS20" s="150">
        <f t="shared" si="0"/>
        <v>0</v>
      </c>
      <c r="AT20" s="150">
        <f t="shared" si="1"/>
        <v>0</v>
      </c>
      <c r="AU20" s="150">
        <f t="shared" si="2"/>
        <v>0</v>
      </c>
      <c r="AV20" s="165">
        <f t="shared" si="3"/>
        <v>0</v>
      </c>
      <c r="AW20" s="106"/>
      <c r="AX20" s="114"/>
      <c r="AY20" s="168"/>
      <c r="AZ20" s="168"/>
      <c r="BA20" s="168"/>
    </row>
    <row r="21" spans="1:53" ht="18" hidden="1">
      <c r="A21" s="130">
        <v>19</v>
      </c>
      <c r="B21" s="141" t="s">
        <v>12</v>
      </c>
      <c r="C21" s="142" t="s">
        <v>77</v>
      </c>
      <c r="D21" s="143" t="s">
        <v>140</v>
      </c>
      <c r="E21" s="152"/>
      <c r="F21" s="134">
        <f>IFERROR(_xlfn.XLOOKUP(C21,Projection_!A:A,Projection_!P:P),0)</f>
        <v>0</v>
      </c>
      <c r="G21" s="162">
        <v>0</v>
      </c>
      <c r="H21" s="162">
        <v>0</v>
      </c>
      <c r="I21" s="162">
        <v>0</v>
      </c>
      <c r="J21" s="162">
        <v>0</v>
      </c>
      <c r="K21" s="162">
        <v>0</v>
      </c>
      <c r="L21" s="162">
        <v>0</v>
      </c>
      <c r="M21" s="162">
        <v>0</v>
      </c>
      <c r="N21" s="162">
        <v>0</v>
      </c>
      <c r="O21" s="162">
        <v>0</v>
      </c>
      <c r="P21" s="162">
        <v>0</v>
      </c>
      <c r="Q21" s="162">
        <v>0</v>
      </c>
      <c r="R21" s="162">
        <v>0</v>
      </c>
      <c r="S21" s="162">
        <v>0</v>
      </c>
      <c r="T21" s="162">
        <v>0</v>
      </c>
      <c r="U21" s="162">
        <v>0</v>
      </c>
      <c r="V21" s="162">
        <v>0</v>
      </c>
      <c r="W21" s="162">
        <v>0</v>
      </c>
      <c r="X21" s="162">
        <v>0</v>
      </c>
      <c r="Y21" s="162">
        <v>0</v>
      </c>
      <c r="Z21" s="162">
        <v>0</v>
      </c>
      <c r="AA21" s="162">
        <v>0</v>
      </c>
      <c r="AB21" s="162">
        <v>0</v>
      </c>
      <c r="AC21" s="162">
        <v>0</v>
      </c>
      <c r="AD21" s="162">
        <v>0</v>
      </c>
      <c r="AE21" s="162">
        <v>0</v>
      </c>
      <c r="AF21" s="162">
        <v>0</v>
      </c>
      <c r="AG21" s="162">
        <v>0</v>
      </c>
      <c r="AH21" s="162">
        <v>0</v>
      </c>
      <c r="AI21" s="162">
        <v>0</v>
      </c>
      <c r="AJ21" s="162">
        <v>0</v>
      </c>
      <c r="AK21" s="162">
        <v>0</v>
      </c>
      <c r="AL21" s="162"/>
      <c r="AM21" s="162"/>
      <c r="AN21" s="162"/>
      <c r="AO21" s="162"/>
      <c r="AP21" s="162"/>
      <c r="AQ21" s="162"/>
      <c r="AR21" s="162"/>
      <c r="AS21" s="150">
        <f t="shared" si="0"/>
        <v>0</v>
      </c>
      <c r="AT21" s="150">
        <f t="shared" si="1"/>
        <v>0</v>
      </c>
      <c r="AU21" s="150">
        <f t="shared" si="2"/>
        <v>0</v>
      </c>
      <c r="AV21" s="165">
        <f t="shared" si="3"/>
        <v>0</v>
      </c>
      <c r="AW21" s="106"/>
      <c r="AX21" s="106"/>
      <c r="AY21" s="78"/>
      <c r="AZ21" s="78"/>
      <c r="BA21" s="78"/>
    </row>
    <row r="22" spans="1:53" ht="30" customHeight="1">
      <c r="A22" s="147" t="s">
        <v>127</v>
      </c>
      <c r="B22" s="147"/>
      <c r="C22" s="147"/>
      <c r="D22" s="147"/>
      <c r="E22" s="152"/>
      <c r="F22" s="118">
        <f t="shared" ref="F22:AU22" si="4">SUM(F3:F21)</f>
        <v>6995</v>
      </c>
      <c r="G22" s="118">
        <f t="shared" si="4"/>
        <v>0</v>
      </c>
      <c r="H22" s="118">
        <f t="shared" si="4"/>
        <v>0</v>
      </c>
      <c r="I22" s="118">
        <f t="shared" si="4"/>
        <v>0</v>
      </c>
      <c r="J22" s="118">
        <f t="shared" si="4"/>
        <v>0</v>
      </c>
      <c r="K22" s="118">
        <f t="shared" si="4"/>
        <v>0</v>
      </c>
      <c r="L22" s="118">
        <f t="shared" si="4"/>
        <v>0</v>
      </c>
      <c r="M22" s="118">
        <f t="shared" si="4"/>
        <v>0</v>
      </c>
      <c r="N22" s="118">
        <f t="shared" si="4"/>
        <v>0</v>
      </c>
      <c r="O22" s="118">
        <f t="shared" si="4"/>
        <v>0</v>
      </c>
      <c r="P22" s="118">
        <f t="shared" si="4"/>
        <v>0</v>
      </c>
      <c r="Q22" s="118">
        <f t="shared" si="4"/>
        <v>0</v>
      </c>
      <c r="R22" s="118">
        <f t="shared" si="4"/>
        <v>0</v>
      </c>
      <c r="S22" s="118">
        <f t="shared" si="4"/>
        <v>0</v>
      </c>
      <c r="T22" s="118">
        <f t="shared" si="4"/>
        <v>0</v>
      </c>
      <c r="U22" s="118">
        <f t="shared" si="4"/>
        <v>0</v>
      </c>
      <c r="V22" s="118">
        <f t="shared" si="4"/>
        <v>0</v>
      </c>
      <c r="W22" s="118">
        <f t="shared" si="4"/>
        <v>0</v>
      </c>
      <c r="X22" s="118">
        <f t="shared" si="4"/>
        <v>0</v>
      </c>
      <c r="Y22" s="118">
        <f t="shared" si="4"/>
        <v>0</v>
      </c>
      <c r="Z22" s="118">
        <f t="shared" si="4"/>
        <v>0</v>
      </c>
      <c r="AA22" s="118">
        <f t="shared" si="4"/>
        <v>0</v>
      </c>
      <c r="AB22" s="118">
        <f t="shared" si="4"/>
        <v>0</v>
      </c>
      <c r="AC22" s="118">
        <f t="shared" si="4"/>
        <v>0</v>
      </c>
      <c r="AD22" s="118">
        <f t="shared" si="4"/>
        <v>0</v>
      </c>
      <c r="AE22" s="118">
        <f t="shared" si="4"/>
        <v>0</v>
      </c>
      <c r="AF22" s="118">
        <f t="shared" si="4"/>
        <v>0</v>
      </c>
      <c r="AG22" s="118">
        <f t="shared" si="4"/>
        <v>0</v>
      </c>
      <c r="AH22" s="118">
        <f t="shared" si="4"/>
        <v>0</v>
      </c>
      <c r="AI22" s="118">
        <f t="shared" si="4"/>
        <v>10</v>
      </c>
      <c r="AJ22" s="118">
        <f t="shared" si="4"/>
        <v>0</v>
      </c>
      <c r="AK22" s="118">
        <f t="shared" si="4"/>
        <v>0</v>
      </c>
      <c r="AL22" s="118">
        <f t="shared" si="4"/>
        <v>0</v>
      </c>
      <c r="AM22" s="118">
        <f t="shared" si="4"/>
        <v>0</v>
      </c>
      <c r="AN22" s="118">
        <f t="shared" si="4"/>
        <v>0</v>
      </c>
      <c r="AO22" s="118">
        <f t="shared" si="4"/>
        <v>0</v>
      </c>
      <c r="AP22" s="118">
        <f t="shared" si="4"/>
        <v>0</v>
      </c>
      <c r="AQ22" s="118">
        <f t="shared" si="4"/>
        <v>0</v>
      </c>
      <c r="AR22" s="118">
        <f t="shared" si="4"/>
        <v>0</v>
      </c>
      <c r="AS22" s="118">
        <f t="shared" si="4"/>
        <v>10</v>
      </c>
      <c r="AT22" s="118">
        <f t="shared" si="4"/>
        <v>5</v>
      </c>
      <c r="AU22" s="118">
        <f t="shared" si="4"/>
        <v>-6985</v>
      </c>
      <c r="AV22" s="146">
        <f t="shared" si="3"/>
        <v>1.4295925661186562E-3</v>
      </c>
      <c r="AW22" s="106"/>
      <c r="AX22" s="106"/>
      <c r="AY22" s="78"/>
      <c r="AZ22" s="78"/>
      <c r="BA22" s="78"/>
    </row>
    <row r="23" spans="1:53" ht="22.5" customHeight="1">
      <c r="A23" s="78"/>
      <c r="B23" s="79"/>
      <c r="C23" s="79"/>
      <c r="D23" s="154"/>
      <c r="E23" s="79"/>
      <c r="F23" s="79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AH23" s="78"/>
      <c r="AI23" s="78"/>
      <c r="AJ23" s="78"/>
      <c r="AK23" s="78"/>
      <c r="AL23" s="78"/>
      <c r="AM23" s="78"/>
      <c r="AN23" s="78"/>
      <c r="AO23" s="78"/>
      <c r="AP23" s="78"/>
      <c r="AQ23" s="78"/>
      <c r="AR23" s="78"/>
      <c r="AS23" s="79"/>
      <c r="AT23" s="78"/>
      <c r="AU23" s="79"/>
      <c r="AV23" s="80"/>
      <c r="AW23" s="78"/>
      <c r="AX23" s="78"/>
      <c r="AY23" s="78"/>
      <c r="AZ23" s="78"/>
      <c r="BA23" s="78"/>
    </row>
  </sheetData>
  <autoFilter ref="A2:BA22" xr:uid="{26193EA5-1973-45F5-AB02-C3421BACFBAD}">
    <filterColumn colId="5">
      <filters>
        <filter val="111"/>
        <filter val="135"/>
        <filter val="495"/>
        <filter val="5439"/>
        <filter val="6995"/>
        <filter val="815"/>
      </filters>
    </filterColumn>
  </autoFilter>
  <mergeCells count="1">
    <mergeCell ref="A22:D22"/>
  </mergeCells>
  <conditionalFormatting sqref="G3:AR21">
    <cfRule type="cellIs" dxfId="13" priority="6" stopIfTrue="1" operator="lessThanOrEqual">
      <formula>0</formula>
    </cfRule>
  </conditionalFormatting>
  <pageMargins left="0.70000000000000007" right="0.70000000000000007" top="0.75" bottom="0.75" header="0.30000000000000004" footer="0.30000000000000004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D0259-E091-406A-8EDE-6F50950B4FA6}">
  <sheetPr filterMode="1"/>
  <dimension ref="A1:AY19"/>
  <sheetViews>
    <sheetView workbookViewId="0"/>
  </sheetViews>
  <sheetFormatPr defaultRowHeight="12.75" customHeight="1"/>
  <cols>
    <col min="1" max="1" width="8.7265625" customWidth="1"/>
    <col min="2" max="2" width="9.26953125" customWidth="1"/>
    <col min="3" max="3" width="9.26953125" hidden="1" customWidth="1"/>
    <col min="4" max="4" width="22.08984375" customWidth="1"/>
    <col min="5" max="5" width="5.1796875" style="178" hidden="1" customWidth="1"/>
    <col min="6" max="6" width="7.1796875" bestFit="1" customWidth="1"/>
    <col min="7" max="7" width="7.453125" hidden="1" customWidth="1"/>
    <col min="8" max="9" width="6.90625" customWidth="1"/>
    <col min="10" max="10" width="6.6328125" customWidth="1"/>
    <col min="11" max="11" width="6.54296875" customWidth="1"/>
    <col min="12" max="12" width="6.81640625" customWidth="1"/>
    <col min="13" max="14" width="6.90625" customWidth="1"/>
    <col min="15" max="15" width="6.81640625" customWidth="1"/>
    <col min="16" max="16" width="6.90625" customWidth="1"/>
    <col min="17" max="17" width="6.81640625" customWidth="1"/>
    <col min="18" max="18" width="6.90625" customWidth="1"/>
    <col min="19" max="19" width="7.08984375" customWidth="1"/>
    <col min="20" max="20" width="6.81640625" customWidth="1"/>
    <col min="21" max="21" width="7.1796875" customWidth="1"/>
    <col min="22" max="23" width="7.08984375" customWidth="1"/>
    <col min="24" max="24" width="6.90625" customWidth="1"/>
    <col min="25" max="25" width="7.6328125" customWidth="1"/>
    <col min="26" max="27" width="6.90625" customWidth="1"/>
    <col min="28" max="28" width="7.7265625" customWidth="1"/>
    <col min="29" max="29" width="7.453125" customWidth="1"/>
    <col min="30" max="30" width="7.08984375" customWidth="1"/>
    <col min="31" max="31" width="6.81640625" customWidth="1"/>
    <col min="32" max="33" width="7.453125" customWidth="1"/>
    <col min="34" max="34" width="7.1796875" customWidth="1"/>
    <col min="35" max="35" width="7.08984375" customWidth="1"/>
    <col min="36" max="37" width="7.36328125" customWidth="1"/>
    <col min="38" max="45" width="7.453125" customWidth="1"/>
    <col min="46" max="46" width="12.08984375" customWidth="1"/>
    <col min="47" max="47" width="11.453125" customWidth="1"/>
    <col min="48" max="48" width="12.08984375" customWidth="1"/>
    <col min="49" max="49" width="11.7265625" customWidth="1"/>
    <col min="50" max="50" width="12" customWidth="1"/>
    <col min="51" max="51" width="11.26953125" customWidth="1"/>
    <col min="52" max="52" width="8.7265625" customWidth="1"/>
  </cols>
  <sheetData>
    <row r="1" spans="1:51" ht="13">
      <c r="A1" s="170" t="s">
        <v>154</v>
      </c>
      <c r="B1" s="170"/>
      <c r="C1" s="170"/>
      <c r="D1" s="170"/>
      <c r="E1" s="171"/>
      <c r="F1" s="170">
        <f>SUBTOTAL(9,F3:F19)</f>
        <v>6819</v>
      </c>
      <c r="G1" s="170">
        <f>SUBTOTAL(9,G3:G19)</f>
        <v>6819</v>
      </c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170"/>
      <c r="AC1" s="170"/>
      <c r="AD1" s="170"/>
      <c r="AE1" s="170"/>
      <c r="AF1" s="170"/>
      <c r="AG1" s="170"/>
      <c r="AH1" s="170"/>
      <c r="AI1" s="170"/>
      <c r="AJ1" s="170"/>
      <c r="AK1" s="170"/>
      <c r="AL1" s="170"/>
      <c r="AM1" s="170"/>
      <c r="AN1" s="170"/>
      <c r="AO1" s="170"/>
      <c r="AP1" s="170"/>
      <c r="AQ1" s="170"/>
      <c r="AR1" s="170"/>
      <c r="AS1" s="170"/>
      <c r="AT1" s="170"/>
      <c r="AU1" s="170"/>
      <c r="AV1" s="170"/>
      <c r="AW1" s="170"/>
      <c r="AX1" s="170"/>
      <c r="AY1" s="170"/>
    </row>
    <row r="2" spans="1:51" ht="65">
      <c r="A2" s="172" t="s">
        <v>106</v>
      </c>
      <c r="B2" s="172" t="s">
        <v>6</v>
      </c>
      <c r="C2" s="172" t="s">
        <v>59</v>
      </c>
      <c r="D2" s="172" t="s">
        <v>108</v>
      </c>
      <c r="E2" s="173" t="s">
        <v>109</v>
      </c>
      <c r="F2" s="172" t="s">
        <v>43</v>
      </c>
      <c r="G2" s="172" t="s">
        <v>155</v>
      </c>
      <c r="H2" s="172" t="s">
        <v>143</v>
      </c>
      <c r="I2" s="172">
        <v>25</v>
      </c>
      <c r="J2" s="172">
        <v>26</v>
      </c>
      <c r="K2" s="172">
        <v>27</v>
      </c>
      <c r="L2" s="172">
        <v>28</v>
      </c>
      <c r="M2" s="172">
        <v>29</v>
      </c>
      <c r="N2" s="172">
        <v>30</v>
      </c>
      <c r="O2" s="172">
        <v>31</v>
      </c>
      <c r="P2" s="172">
        <v>1</v>
      </c>
      <c r="Q2" s="172">
        <v>2</v>
      </c>
      <c r="R2" s="172">
        <v>3</v>
      </c>
      <c r="S2" s="172">
        <v>4</v>
      </c>
      <c r="T2" s="172">
        <v>5</v>
      </c>
      <c r="U2" s="172">
        <v>6</v>
      </c>
      <c r="V2" s="172">
        <v>7</v>
      </c>
      <c r="W2" s="172">
        <v>8</v>
      </c>
      <c r="X2" s="172">
        <v>9</v>
      </c>
      <c r="Y2" s="172">
        <v>10</v>
      </c>
      <c r="Z2" s="172">
        <v>11</v>
      </c>
      <c r="AA2" s="172">
        <v>12</v>
      </c>
      <c r="AB2" s="172">
        <v>13</v>
      </c>
      <c r="AC2" s="172">
        <v>14</v>
      </c>
      <c r="AD2" s="172">
        <v>15</v>
      </c>
      <c r="AE2" s="172">
        <v>16</v>
      </c>
      <c r="AF2" s="172">
        <v>17</v>
      </c>
      <c r="AG2" s="172">
        <v>18</v>
      </c>
      <c r="AH2" s="172">
        <v>19</v>
      </c>
      <c r="AI2" s="172">
        <v>20</v>
      </c>
      <c r="AJ2" s="172">
        <v>21</v>
      </c>
      <c r="AK2" s="172">
        <v>22</v>
      </c>
      <c r="AL2" s="172">
        <v>23</v>
      </c>
      <c r="AM2" s="172">
        <v>24</v>
      </c>
      <c r="AN2" s="172">
        <v>25</v>
      </c>
      <c r="AO2" s="172">
        <v>26</v>
      </c>
      <c r="AP2" s="172">
        <v>27</v>
      </c>
      <c r="AQ2" s="172">
        <v>28</v>
      </c>
      <c r="AR2" s="172">
        <v>29</v>
      </c>
      <c r="AS2" s="172">
        <v>30</v>
      </c>
      <c r="AT2" s="172" t="s">
        <v>156</v>
      </c>
      <c r="AU2" s="172" t="s">
        <v>112</v>
      </c>
      <c r="AV2" s="172" t="s">
        <v>157</v>
      </c>
      <c r="AW2" s="172" t="s">
        <v>158</v>
      </c>
      <c r="AX2" s="172" t="s">
        <v>115</v>
      </c>
      <c r="AY2" s="172" t="s">
        <v>63</v>
      </c>
    </row>
    <row r="3" spans="1:51" ht="13">
      <c r="A3" s="174">
        <f>1</f>
        <v>1</v>
      </c>
      <c r="B3" s="174" t="str">
        <f>IFERROR(_xlfn.XLOOKUP($C3,Projection_!$A:$A,Projection_!$C:$C),"")</f>
        <v>Ghee</v>
      </c>
      <c r="C3" s="174" t="str">
        <f>Projection_!A4</f>
        <v>FG00002</v>
      </c>
      <c r="D3" s="174" t="str">
        <f>Projection_!B4</f>
        <v>A2 Cultured Ghee - 500 ml</v>
      </c>
      <c r="E3" s="175">
        <f>IFERROR(_xlfn.XLOOKUP($C3,Projection_!$A:$A,Projection_!$D:$D),0)</f>
        <v>0.5</v>
      </c>
      <c r="F3" s="174">
        <f>IFERROR(_xlfn.XLOOKUP($C3,Projection_!$A:$A,Projection_!$M:$M),0)</f>
        <v>4179</v>
      </c>
      <c r="G3" s="174">
        <f t="shared" ref="G3:G19" si="0">F3</f>
        <v>4179</v>
      </c>
      <c r="H3" s="176">
        <v>0</v>
      </c>
      <c r="I3" s="176">
        <v>0</v>
      </c>
      <c r="J3" s="176">
        <v>0</v>
      </c>
      <c r="K3" s="176">
        <v>0</v>
      </c>
      <c r="L3" s="176">
        <v>0</v>
      </c>
      <c r="M3" s="176">
        <v>463</v>
      </c>
      <c r="N3" s="176">
        <v>0</v>
      </c>
      <c r="O3" s="176">
        <v>818</v>
      </c>
      <c r="P3" s="176">
        <v>323</v>
      </c>
      <c r="Q3" s="176">
        <v>0</v>
      </c>
      <c r="R3" s="176">
        <v>330</v>
      </c>
      <c r="S3" s="176">
        <v>0</v>
      </c>
      <c r="T3" s="176">
        <v>1201</v>
      </c>
      <c r="U3" s="176">
        <v>0</v>
      </c>
      <c r="V3" s="176">
        <v>583</v>
      </c>
      <c r="W3" s="176">
        <v>55</v>
      </c>
      <c r="X3" s="176">
        <v>183</v>
      </c>
      <c r="Y3" s="176">
        <v>229</v>
      </c>
      <c r="Z3" s="176">
        <v>0</v>
      </c>
      <c r="AA3" s="176">
        <v>0</v>
      </c>
      <c r="AB3" s="176">
        <v>0</v>
      </c>
      <c r="AC3" s="176">
        <v>0</v>
      </c>
      <c r="AD3" s="176">
        <v>0</v>
      </c>
      <c r="AE3" s="176">
        <v>0</v>
      </c>
      <c r="AF3" s="176">
        <v>0</v>
      </c>
      <c r="AG3" s="176">
        <v>0</v>
      </c>
      <c r="AH3" s="176">
        <v>0</v>
      </c>
      <c r="AI3" s="176">
        <v>0</v>
      </c>
      <c r="AJ3" s="176">
        <v>0</v>
      </c>
      <c r="AK3" s="176">
        <v>0</v>
      </c>
      <c r="AL3" s="176">
        <v>0</v>
      </c>
      <c r="AM3" s="176"/>
      <c r="AN3" s="176"/>
      <c r="AO3" s="176"/>
      <c r="AP3" s="176"/>
      <c r="AQ3" s="176"/>
      <c r="AR3" s="176"/>
      <c r="AS3" s="176"/>
      <c r="AT3" s="176">
        <f t="shared" ref="AT3:AT19" si="1">SUM(H3:AL3)</f>
        <v>4185</v>
      </c>
      <c r="AU3" s="176">
        <f t="shared" ref="AU3:AU19" si="2">AT3*E3</f>
        <v>2092.5</v>
      </c>
      <c r="AV3" s="176">
        <f t="shared" ref="AV3:AV19" si="3">AT3-G3</f>
        <v>6</v>
      </c>
      <c r="AW3" s="176">
        <f t="shared" ref="AW3:AW19" si="4">AV3*E3</f>
        <v>3</v>
      </c>
      <c r="AX3" s="177">
        <f t="shared" ref="AX3:AX19" si="5">IFERROR(AT3/G3,0)</f>
        <v>1.0014357501794688</v>
      </c>
      <c r="AY3" s="176"/>
    </row>
    <row r="4" spans="1:51" ht="13" hidden="1">
      <c r="A4" s="174">
        <f>2</f>
        <v>2</v>
      </c>
      <c r="B4" s="174" t="str">
        <f>IFERROR(_xlfn.XLOOKUP($C4,Projection_!$A:$A,Projection_!$C:$C),"")</f>
        <v>Ghee</v>
      </c>
      <c r="C4" s="174" t="str">
        <f>Projection_!A5</f>
        <v>FG00562</v>
      </c>
      <c r="D4" s="174" t="str">
        <f>Projection_!B5</f>
        <v>A2 Cultured Ghee - 250 ml</v>
      </c>
      <c r="E4" s="175">
        <f>IFERROR(_xlfn.XLOOKUP($C4,Projection_!$A:$A,Projection_!$D:$D),0)</f>
        <v>0.25</v>
      </c>
      <c r="F4" s="174">
        <f>IFERROR(_xlfn.XLOOKUP($C4,Projection_!$A:$A,Projection_!$M:$M),0)</f>
        <v>0</v>
      </c>
      <c r="G4" s="174">
        <f t="shared" si="0"/>
        <v>0</v>
      </c>
      <c r="H4" s="176">
        <v>0</v>
      </c>
      <c r="I4" s="176">
        <v>0</v>
      </c>
      <c r="J4" s="176">
        <v>0</v>
      </c>
      <c r="K4" s="176">
        <v>0</v>
      </c>
      <c r="L4" s="176">
        <v>0</v>
      </c>
      <c r="M4" s="176">
        <v>0</v>
      </c>
      <c r="N4" s="176"/>
      <c r="O4" s="176">
        <v>0</v>
      </c>
      <c r="P4" s="176">
        <v>0</v>
      </c>
      <c r="Q4" s="176">
        <v>0</v>
      </c>
      <c r="R4" s="176">
        <v>0</v>
      </c>
      <c r="S4" s="176">
        <v>0</v>
      </c>
      <c r="T4" s="176">
        <v>0</v>
      </c>
      <c r="U4" s="176">
        <v>0</v>
      </c>
      <c r="V4" s="176">
        <v>0</v>
      </c>
      <c r="W4" s="176">
        <v>0</v>
      </c>
      <c r="X4" s="176">
        <v>0</v>
      </c>
      <c r="Y4" s="176">
        <v>0</v>
      </c>
      <c r="Z4" s="176">
        <v>0</v>
      </c>
      <c r="AA4" s="176">
        <v>0</v>
      </c>
      <c r="AB4" s="176">
        <v>0</v>
      </c>
      <c r="AC4" s="176">
        <v>0</v>
      </c>
      <c r="AD4" s="176">
        <v>0</v>
      </c>
      <c r="AE4" s="176">
        <v>0</v>
      </c>
      <c r="AF4" s="176">
        <v>0</v>
      </c>
      <c r="AG4" s="176">
        <v>0</v>
      </c>
      <c r="AH4" s="176">
        <v>0</v>
      </c>
      <c r="AI4" s="176">
        <v>0</v>
      </c>
      <c r="AJ4" s="176">
        <v>0</v>
      </c>
      <c r="AK4" s="176">
        <v>0</v>
      </c>
      <c r="AL4" s="176">
        <v>0</v>
      </c>
      <c r="AM4" s="176"/>
      <c r="AN4" s="176"/>
      <c r="AO4" s="176"/>
      <c r="AP4" s="176"/>
      <c r="AQ4" s="176"/>
      <c r="AR4" s="176"/>
      <c r="AS4" s="176"/>
      <c r="AT4" s="176">
        <f t="shared" si="1"/>
        <v>0</v>
      </c>
      <c r="AU4" s="176">
        <f t="shared" si="2"/>
        <v>0</v>
      </c>
      <c r="AV4" s="176">
        <f t="shared" si="3"/>
        <v>0</v>
      </c>
      <c r="AW4" s="176">
        <f t="shared" si="4"/>
        <v>0</v>
      </c>
      <c r="AX4" s="177">
        <f t="shared" si="5"/>
        <v>0</v>
      </c>
      <c r="AY4" s="176"/>
    </row>
    <row r="5" spans="1:51" ht="13" hidden="1">
      <c r="A5" s="174">
        <f>3</f>
        <v>3</v>
      </c>
      <c r="B5" s="174" t="str">
        <f>IFERROR(_xlfn.XLOOKUP($C5,Projection_!$A:$A,Projection_!$C:$C),"")</f>
        <v>Ghee</v>
      </c>
      <c r="C5" s="174" t="str">
        <f>Projection_!A6</f>
        <v>FG00703</v>
      </c>
      <c r="D5" s="174" t="str">
        <f>Projection_!B6</f>
        <v>A2 Cultured Ghee - 100 ml</v>
      </c>
      <c r="E5" s="175">
        <f>IFERROR(_xlfn.XLOOKUP($C5,Projection_!$A:$A,Projection_!$D:$D),0)</f>
        <v>0.1</v>
      </c>
      <c r="F5" s="174">
        <f>IFERROR(_xlfn.XLOOKUP($C5,Projection_!$A:$A,Projection_!$M:$M),0)</f>
        <v>0</v>
      </c>
      <c r="G5" s="174">
        <f t="shared" si="0"/>
        <v>0</v>
      </c>
      <c r="H5" s="176">
        <v>0</v>
      </c>
      <c r="I5" s="176">
        <v>0</v>
      </c>
      <c r="J5" s="176">
        <v>0</v>
      </c>
      <c r="K5" s="176">
        <v>0</v>
      </c>
      <c r="L5" s="176">
        <v>0</v>
      </c>
      <c r="M5" s="176">
        <v>0</v>
      </c>
      <c r="N5" s="176"/>
      <c r="O5" s="176">
        <v>0</v>
      </c>
      <c r="P5" s="176">
        <v>0</v>
      </c>
      <c r="Q5" s="176">
        <v>0</v>
      </c>
      <c r="R5" s="176">
        <v>0</v>
      </c>
      <c r="S5" s="176">
        <v>0</v>
      </c>
      <c r="T5" s="176">
        <v>0</v>
      </c>
      <c r="U5" s="176">
        <v>0</v>
      </c>
      <c r="V5" s="176">
        <v>0</v>
      </c>
      <c r="W5" s="176">
        <v>0</v>
      </c>
      <c r="X5" s="176">
        <v>0</v>
      </c>
      <c r="Y5" s="176">
        <v>0</v>
      </c>
      <c r="Z5" s="176">
        <v>0</v>
      </c>
      <c r="AA5" s="176">
        <v>0</v>
      </c>
      <c r="AB5" s="176">
        <v>0</v>
      </c>
      <c r="AC5" s="176">
        <v>0</v>
      </c>
      <c r="AD5" s="176">
        <v>0</v>
      </c>
      <c r="AE5" s="176">
        <v>0</v>
      </c>
      <c r="AF5" s="176">
        <v>0</v>
      </c>
      <c r="AG5" s="176">
        <v>0</v>
      </c>
      <c r="AH5" s="176">
        <v>0</v>
      </c>
      <c r="AI5" s="176">
        <v>0</v>
      </c>
      <c r="AJ5" s="176">
        <v>0</v>
      </c>
      <c r="AK5" s="176">
        <v>0</v>
      </c>
      <c r="AL5" s="176">
        <v>0</v>
      </c>
      <c r="AM5" s="176"/>
      <c r="AN5" s="176"/>
      <c r="AO5" s="176"/>
      <c r="AP5" s="176"/>
      <c r="AQ5" s="176"/>
      <c r="AR5" s="176"/>
      <c r="AS5" s="176"/>
      <c r="AT5" s="176">
        <f t="shared" si="1"/>
        <v>0</v>
      </c>
      <c r="AU5" s="176">
        <f t="shared" si="2"/>
        <v>0</v>
      </c>
      <c r="AV5" s="176">
        <f t="shared" si="3"/>
        <v>0</v>
      </c>
      <c r="AW5" s="176">
        <f t="shared" si="4"/>
        <v>0</v>
      </c>
      <c r="AX5" s="177">
        <f t="shared" si="5"/>
        <v>0</v>
      </c>
      <c r="AY5" s="176"/>
    </row>
    <row r="6" spans="1:51" ht="13">
      <c r="A6" s="174">
        <f>4</f>
        <v>4</v>
      </c>
      <c r="B6" s="174" t="str">
        <f>IFERROR(_xlfn.XLOOKUP($C6,Projection_!$A:$A,Projection_!$C:$C),"")</f>
        <v>Ghee</v>
      </c>
      <c r="C6" s="174" t="str">
        <f>Projection_!A7</f>
        <v>FG00563</v>
      </c>
      <c r="D6" s="174" t="str">
        <f>Projection_!B7</f>
        <v>A2 Cultured Ghee - 1000 ml</v>
      </c>
      <c r="E6" s="175">
        <f>IFERROR(_xlfn.XLOOKUP($C6,Projection_!$A:$A,Projection_!$D:$D),0)</f>
        <v>1</v>
      </c>
      <c r="F6" s="174">
        <f>IFERROR(_xlfn.XLOOKUP($C6,Projection_!$A:$A,Projection_!$M:$M),0)</f>
        <v>2640</v>
      </c>
      <c r="G6" s="174">
        <f t="shared" si="0"/>
        <v>2640</v>
      </c>
      <c r="H6" s="176">
        <f>325+80</f>
        <v>405</v>
      </c>
      <c r="I6" s="176">
        <v>0</v>
      </c>
      <c r="J6" s="176">
        <v>1170</v>
      </c>
      <c r="K6" s="176">
        <v>0</v>
      </c>
      <c r="L6" s="176">
        <v>420</v>
      </c>
      <c r="M6" s="176">
        <v>0</v>
      </c>
      <c r="N6" s="176">
        <v>0</v>
      </c>
      <c r="O6" s="176">
        <v>0</v>
      </c>
      <c r="P6" s="176">
        <v>0</v>
      </c>
      <c r="Q6" s="176">
        <v>0</v>
      </c>
      <c r="R6" s="176">
        <v>0</v>
      </c>
      <c r="S6" s="176">
        <v>0</v>
      </c>
      <c r="T6" s="176">
        <v>0</v>
      </c>
      <c r="U6" s="176">
        <v>0</v>
      </c>
      <c r="V6" s="176">
        <v>466</v>
      </c>
      <c r="W6" s="176">
        <v>159</v>
      </c>
      <c r="X6" s="176">
        <v>0</v>
      </c>
      <c r="Y6" s="176">
        <v>0</v>
      </c>
      <c r="Z6" s="176">
        <v>20</v>
      </c>
      <c r="AA6" s="176">
        <v>0</v>
      </c>
      <c r="AB6" s="176">
        <v>0</v>
      </c>
      <c r="AC6" s="176">
        <v>0</v>
      </c>
      <c r="AD6" s="176">
        <v>0</v>
      </c>
      <c r="AE6" s="176">
        <v>0</v>
      </c>
      <c r="AF6" s="176">
        <v>0</v>
      </c>
      <c r="AG6" s="176">
        <v>0</v>
      </c>
      <c r="AH6" s="176">
        <v>0</v>
      </c>
      <c r="AI6" s="176">
        <v>0</v>
      </c>
      <c r="AJ6" s="176">
        <v>0</v>
      </c>
      <c r="AK6" s="176">
        <v>0</v>
      </c>
      <c r="AL6" s="176">
        <v>0</v>
      </c>
      <c r="AM6" s="176"/>
      <c r="AN6" s="176"/>
      <c r="AO6" s="176"/>
      <c r="AP6" s="176"/>
      <c r="AQ6" s="176"/>
      <c r="AR6" s="176"/>
      <c r="AS6" s="176"/>
      <c r="AT6" s="176">
        <f t="shared" si="1"/>
        <v>2640</v>
      </c>
      <c r="AU6" s="176">
        <f t="shared" si="2"/>
        <v>2640</v>
      </c>
      <c r="AV6" s="176">
        <f t="shared" si="3"/>
        <v>0</v>
      </c>
      <c r="AW6" s="176">
        <f t="shared" si="4"/>
        <v>0</v>
      </c>
      <c r="AX6" s="177">
        <f t="shared" si="5"/>
        <v>1</v>
      </c>
      <c r="AY6" s="176"/>
    </row>
    <row r="7" spans="1:51" ht="13" hidden="1">
      <c r="A7" s="174">
        <f>5</f>
        <v>5</v>
      </c>
      <c r="B7" s="174" t="str">
        <f>IFERROR(_xlfn.XLOOKUP($C7,Projection_!$A:$A,Projection_!$C:$C),"")</f>
        <v>ghee</v>
      </c>
      <c r="C7" s="174" t="str">
        <f>Projection_!A8</f>
        <v>FG01068</v>
      </c>
      <c r="D7" s="174" t="str">
        <f>Projection_!B8</f>
        <v>Non cultured ghee 1l</v>
      </c>
      <c r="E7" s="175">
        <f>IFERROR(_xlfn.XLOOKUP($C7,Projection_!$A:$A,Projection_!$D:$D),0)</f>
        <v>1</v>
      </c>
      <c r="F7" s="174">
        <f>IFERROR(_xlfn.XLOOKUP($C7,Projection_!$A:$A,Projection_!$M:$M),0)</f>
        <v>0</v>
      </c>
      <c r="G7" s="174">
        <f t="shared" si="0"/>
        <v>0</v>
      </c>
      <c r="H7" s="176">
        <v>0</v>
      </c>
      <c r="I7" s="176">
        <v>0</v>
      </c>
      <c r="J7" s="176">
        <v>0</v>
      </c>
      <c r="K7" s="176">
        <v>0</v>
      </c>
      <c r="L7" s="176">
        <v>0</v>
      </c>
      <c r="M7" s="176">
        <v>0</v>
      </c>
      <c r="N7" s="176"/>
      <c r="O7" s="176">
        <v>0</v>
      </c>
      <c r="P7" s="176">
        <v>0</v>
      </c>
      <c r="Q7" s="176">
        <v>0</v>
      </c>
      <c r="R7" s="176">
        <v>0</v>
      </c>
      <c r="S7" s="176">
        <v>0</v>
      </c>
      <c r="T7" s="176">
        <v>0</v>
      </c>
      <c r="U7" s="176">
        <v>0</v>
      </c>
      <c r="V7" s="176">
        <v>0</v>
      </c>
      <c r="W7" s="176">
        <v>0</v>
      </c>
      <c r="X7" s="176">
        <v>0</v>
      </c>
      <c r="Y7" s="176">
        <v>0</v>
      </c>
      <c r="Z7" s="176">
        <v>0</v>
      </c>
      <c r="AA7" s="176">
        <v>0</v>
      </c>
      <c r="AB7" s="176">
        <v>0</v>
      </c>
      <c r="AC7" s="176">
        <v>0</v>
      </c>
      <c r="AD7" s="176">
        <v>0</v>
      </c>
      <c r="AE7" s="176">
        <v>0</v>
      </c>
      <c r="AF7" s="176">
        <v>0</v>
      </c>
      <c r="AG7" s="176">
        <v>0</v>
      </c>
      <c r="AH7" s="176">
        <v>0</v>
      </c>
      <c r="AI7" s="176">
        <v>0</v>
      </c>
      <c r="AJ7" s="176">
        <v>0</v>
      </c>
      <c r="AK7" s="176">
        <v>0</v>
      </c>
      <c r="AL7" s="176">
        <v>0</v>
      </c>
      <c r="AM7" s="176"/>
      <c r="AN7" s="176"/>
      <c r="AO7" s="176"/>
      <c r="AP7" s="176"/>
      <c r="AQ7" s="176"/>
      <c r="AR7" s="176"/>
      <c r="AS7" s="176"/>
      <c r="AT7" s="176">
        <f t="shared" si="1"/>
        <v>0</v>
      </c>
      <c r="AU7" s="176">
        <f t="shared" si="2"/>
        <v>0</v>
      </c>
      <c r="AV7" s="176">
        <f t="shared" si="3"/>
        <v>0</v>
      </c>
      <c r="AW7" s="176">
        <f t="shared" si="4"/>
        <v>0</v>
      </c>
      <c r="AX7" s="177">
        <f t="shared" si="5"/>
        <v>0</v>
      </c>
      <c r="AY7" s="176"/>
    </row>
    <row r="8" spans="1:51" ht="13" hidden="1">
      <c r="A8" s="174">
        <f>6</f>
        <v>6</v>
      </c>
      <c r="B8" s="174" t="str">
        <f>IFERROR(_xlfn.XLOOKUP($C8,Projection_!$A:$A,Projection_!$C:$C),"")</f>
        <v>Ghee</v>
      </c>
      <c r="C8" s="174" t="str">
        <f>Projection_!A9</f>
        <v>FG00043</v>
      </c>
      <c r="D8" s="174" t="str">
        <f>Projection_!B9</f>
        <v>Buffalo Ghee - A2 Cultured 500ml</v>
      </c>
      <c r="E8" s="175">
        <f>IFERROR(_xlfn.XLOOKUP($C8,Projection_!$A:$A,Projection_!$D:$D),0)</f>
        <v>0.5</v>
      </c>
      <c r="F8" s="174">
        <f>IFERROR(_xlfn.XLOOKUP($C8,Projection_!$A:$A,Projection_!$M:$M),0)</f>
        <v>0</v>
      </c>
      <c r="G8" s="174">
        <f t="shared" si="0"/>
        <v>0</v>
      </c>
      <c r="H8" s="176">
        <v>0</v>
      </c>
      <c r="I8" s="176">
        <v>0</v>
      </c>
      <c r="J8" s="176">
        <v>0</v>
      </c>
      <c r="K8" s="176">
        <v>0</v>
      </c>
      <c r="L8" s="176">
        <v>0</v>
      </c>
      <c r="M8" s="176">
        <v>0</v>
      </c>
      <c r="N8" s="176"/>
      <c r="O8" s="176">
        <v>0</v>
      </c>
      <c r="P8" s="176">
        <v>0</v>
      </c>
      <c r="Q8" s="176">
        <v>0</v>
      </c>
      <c r="R8" s="176">
        <v>0</v>
      </c>
      <c r="S8" s="176">
        <v>0</v>
      </c>
      <c r="T8" s="176">
        <v>0</v>
      </c>
      <c r="U8" s="176">
        <v>0</v>
      </c>
      <c r="V8" s="176">
        <v>0</v>
      </c>
      <c r="W8" s="176">
        <v>0</v>
      </c>
      <c r="X8" s="176">
        <v>0</v>
      </c>
      <c r="Y8" s="176">
        <v>0</v>
      </c>
      <c r="Z8" s="176">
        <v>0</v>
      </c>
      <c r="AA8" s="176">
        <v>0</v>
      </c>
      <c r="AB8" s="176">
        <v>0</v>
      </c>
      <c r="AC8" s="176">
        <v>0</v>
      </c>
      <c r="AD8" s="176">
        <v>0</v>
      </c>
      <c r="AE8" s="176">
        <v>0</v>
      </c>
      <c r="AF8" s="176">
        <v>0</v>
      </c>
      <c r="AG8" s="176">
        <v>0</v>
      </c>
      <c r="AH8" s="176">
        <v>0</v>
      </c>
      <c r="AI8" s="176">
        <v>0</v>
      </c>
      <c r="AJ8" s="176">
        <v>0</v>
      </c>
      <c r="AK8" s="176">
        <v>0</v>
      </c>
      <c r="AL8" s="176">
        <v>0</v>
      </c>
      <c r="AM8" s="176"/>
      <c r="AN8" s="176"/>
      <c r="AO8" s="176"/>
      <c r="AP8" s="176"/>
      <c r="AQ8" s="176"/>
      <c r="AR8" s="176"/>
      <c r="AS8" s="176"/>
      <c r="AT8" s="176">
        <f t="shared" si="1"/>
        <v>0</v>
      </c>
      <c r="AU8" s="176">
        <f t="shared" si="2"/>
        <v>0</v>
      </c>
      <c r="AV8" s="176">
        <f t="shared" si="3"/>
        <v>0</v>
      </c>
      <c r="AW8" s="176">
        <f t="shared" si="4"/>
        <v>0</v>
      </c>
      <c r="AX8" s="177">
        <f t="shared" si="5"/>
        <v>0</v>
      </c>
      <c r="AY8" s="176"/>
    </row>
    <row r="9" spans="1:51" ht="13" hidden="1">
      <c r="A9" s="174">
        <f>7</f>
        <v>7</v>
      </c>
      <c r="B9" s="174" t="str">
        <f>IFERROR(_xlfn.XLOOKUP($C9,Projection_!$A:$A,Projection_!$C:$C),"")</f>
        <v>Ghee</v>
      </c>
      <c r="C9" s="174" t="str">
        <f>Projection_!A10</f>
        <v>FG00904</v>
      </c>
      <c r="D9" s="174" t="str">
        <f>Projection_!B10</f>
        <v>A2 Desi Cow Ghee - 500ml</v>
      </c>
      <c r="E9" s="175">
        <f>IFERROR(_xlfn.XLOOKUP($C9,Projection_!$A:$A,Projection_!$D:$D),0)</f>
        <v>0.5</v>
      </c>
      <c r="F9" s="174">
        <f>IFERROR(_xlfn.XLOOKUP($C9,Projection_!$A:$A,Projection_!$M:$M),0)</f>
        <v>0</v>
      </c>
      <c r="G9" s="174">
        <f t="shared" si="0"/>
        <v>0</v>
      </c>
      <c r="H9" s="176">
        <v>0</v>
      </c>
      <c r="I9" s="176">
        <v>0</v>
      </c>
      <c r="J9" s="176">
        <v>0</v>
      </c>
      <c r="K9" s="176">
        <v>0</v>
      </c>
      <c r="L9" s="176">
        <v>0</v>
      </c>
      <c r="M9" s="176">
        <v>0</v>
      </c>
      <c r="N9" s="176"/>
      <c r="O9" s="176">
        <v>0</v>
      </c>
      <c r="P9" s="176">
        <v>0</v>
      </c>
      <c r="Q9" s="176">
        <v>0</v>
      </c>
      <c r="R9" s="176">
        <v>0</v>
      </c>
      <c r="S9" s="176">
        <v>0</v>
      </c>
      <c r="T9" s="176">
        <v>0</v>
      </c>
      <c r="U9" s="176">
        <v>0</v>
      </c>
      <c r="V9" s="176">
        <v>0</v>
      </c>
      <c r="W9" s="176">
        <v>0</v>
      </c>
      <c r="X9" s="176">
        <v>0</v>
      </c>
      <c r="Y9" s="176">
        <v>0</v>
      </c>
      <c r="Z9" s="176">
        <v>0</v>
      </c>
      <c r="AA9" s="176">
        <v>0</v>
      </c>
      <c r="AB9" s="176">
        <v>0</v>
      </c>
      <c r="AC9" s="176">
        <v>0</v>
      </c>
      <c r="AD9" s="176">
        <v>0</v>
      </c>
      <c r="AE9" s="176">
        <v>0</v>
      </c>
      <c r="AF9" s="176">
        <v>0</v>
      </c>
      <c r="AG9" s="176">
        <v>0</v>
      </c>
      <c r="AH9" s="176">
        <v>0</v>
      </c>
      <c r="AI9" s="176">
        <v>0</v>
      </c>
      <c r="AJ9" s="176">
        <v>0</v>
      </c>
      <c r="AK9" s="176">
        <v>0</v>
      </c>
      <c r="AL9" s="176">
        <v>0</v>
      </c>
      <c r="AM9" s="176"/>
      <c r="AN9" s="176"/>
      <c r="AO9" s="176"/>
      <c r="AP9" s="176"/>
      <c r="AQ9" s="176"/>
      <c r="AR9" s="176"/>
      <c r="AS9" s="176"/>
      <c r="AT9" s="176">
        <f t="shared" si="1"/>
        <v>0</v>
      </c>
      <c r="AU9" s="176">
        <f t="shared" si="2"/>
        <v>0</v>
      </c>
      <c r="AV9" s="176">
        <f t="shared" si="3"/>
        <v>0</v>
      </c>
      <c r="AW9" s="176">
        <f t="shared" si="4"/>
        <v>0</v>
      </c>
      <c r="AX9" s="177">
        <f t="shared" si="5"/>
        <v>0</v>
      </c>
      <c r="AY9" s="176"/>
    </row>
    <row r="10" spans="1:51" ht="13" hidden="1">
      <c r="A10" s="174">
        <f>8</f>
        <v>8</v>
      </c>
      <c r="B10" s="174" t="str">
        <f>IFERROR(_xlfn.XLOOKUP($C10,Projection_!$A:$A,Projection_!$C:$C),"")</f>
        <v>Ghee</v>
      </c>
      <c r="C10" s="174" t="str">
        <f>Projection_!A11</f>
        <v>FG00097</v>
      </c>
      <c r="D10" s="174" t="str">
        <f>Projection_!B11</f>
        <v>Full Moon Cultured Ghee - 500 ml</v>
      </c>
      <c r="E10" s="175">
        <f>IFERROR(_xlfn.XLOOKUP($C10,Projection_!$A:$A,Projection_!$D:$D),0)</f>
        <v>0.5</v>
      </c>
      <c r="F10" s="174">
        <f>IFERROR(_xlfn.XLOOKUP($C10,Projection_!$A:$A,Projection_!$M:$M),0)</f>
        <v>0</v>
      </c>
      <c r="G10" s="174">
        <f t="shared" si="0"/>
        <v>0</v>
      </c>
      <c r="H10" s="176">
        <v>0</v>
      </c>
      <c r="I10" s="176">
        <v>0</v>
      </c>
      <c r="J10" s="176">
        <v>0</v>
      </c>
      <c r="K10" s="176">
        <v>0</v>
      </c>
      <c r="L10" s="176">
        <v>0</v>
      </c>
      <c r="M10" s="176">
        <v>0</v>
      </c>
      <c r="N10" s="176"/>
      <c r="O10" s="176">
        <v>0</v>
      </c>
      <c r="P10" s="176">
        <v>0</v>
      </c>
      <c r="Q10" s="176">
        <v>0</v>
      </c>
      <c r="R10" s="176">
        <v>0</v>
      </c>
      <c r="S10" s="176">
        <v>0</v>
      </c>
      <c r="T10" s="176">
        <v>0</v>
      </c>
      <c r="U10" s="176">
        <v>0</v>
      </c>
      <c r="V10" s="176">
        <v>0</v>
      </c>
      <c r="W10" s="176">
        <v>0</v>
      </c>
      <c r="X10" s="176">
        <v>0</v>
      </c>
      <c r="Y10" s="176">
        <v>0</v>
      </c>
      <c r="Z10" s="176">
        <v>0</v>
      </c>
      <c r="AA10" s="176">
        <v>0</v>
      </c>
      <c r="AB10" s="176">
        <v>0</v>
      </c>
      <c r="AC10" s="176">
        <v>0</v>
      </c>
      <c r="AD10" s="176">
        <v>0</v>
      </c>
      <c r="AE10" s="176">
        <v>0</v>
      </c>
      <c r="AF10" s="176">
        <v>0</v>
      </c>
      <c r="AG10" s="176">
        <v>0</v>
      </c>
      <c r="AH10" s="176">
        <v>0</v>
      </c>
      <c r="AI10" s="176">
        <v>0</v>
      </c>
      <c r="AJ10" s="176">
        <v>0</v>
      </c>
      <c r="AK10" s="176">
        <v>0</v>
      </c>
      <c r="AL10" s="176">
        <v>0</v>
      </c>
      <c r="AM10" s="176"/>
      <c r="AN10" s="176"/>
      <c r="AO10" s="176"/>
      <c r="AP10" s="176"/>
      <c r="AQ10" s="176"/>
      <c r="AR10" s="176"/>
      <c r="AS10" s="176"/>
      <c r="AT10" s="176">
        <f t="shared" si="1"/>
        <v>0</v>
      </c>
      <c r="AU10" s="176">
        <f t="shared" si="2"/>
        <v>0</v>
      </c>
      <c r="AV10" s="176">
        <f t="shared" si="3"/>
        <v>0</v>
      </c>
      <c r="AW10" s="176">
        <f t="shared" si="4"/>
        <v>0</v>
      </c>
      <c r="AX10" s="177">
        <f t="shared" si="5"/>
        <v>0</v>
      </c>
      <c r="AY10" s="176"/>
    </row>
    <row r="11" spans="1:51" ht="13" hidden="1">
      <c r="A11" s="174">
        <f>9</f>
        <v>9</v>
      </c>
      <c r="B11" s="174" t="str">
        <f>IFERROR(_xlfn.XLOOKUP($C11,Projection_!$A:$A,Projection_!$C:$C),"")</f>
        <v>Ghee</v>
      </c>
      <c r="C11" s="174" t="str">
        <f>Projection_!A12</f>
        <v>FG00566</v>
      </c>
      <c r="D11" s="174" t="str">
        <f>Projection_!B12</f>
        <v xml:space="preserve">A2 Cultured Ghee - 5 Ltr </v>
      </c>
      <c r="E11" s="175">
        <f>IFERROR(_xlfn.XLOOKUP($C11,Projection_!$A:$A,Projection_!$D:$D),0)</f>
        <v>5</v>
      </c>
      <c r="F11" s="174">
        <f>IFERROR(_xlfn.XLOOKUP($C11,Projection_!$A:$A,Projection_!$M:$M),0)</f>
        <v>0</v>
      </c>
      <c r="G11" s="174">
        <f t="shared" si="0"/>
        <v>0</v>
      </c>
      <c r="H11" s="176">
        <v>0</v>
      </c>
      <c r="I11" s="176">
        <v>0</v>
      </c>
      <c r="J11" s="176">
        <v>0</v>
      </c>
      <c r="K11" s="176">
        <v>0</v>
      </c>
      <c r="L11" s="176">
        <v>0</v>
      </c>
      <c r="M11" s="176">
        <v>0</v>
      </c>
      <c r="N11" s="176"/>
      <c r="O11" s="176">
        <v>0</v>
      </c>
      <c r="P11" s="176">
        <v>0</v>
      </c>
      <c r="Q11" s="176">
        <v>0</v>
      </c>
      <c r="R11" s="176">
        <v>0</v>
      </c>
      <c r="S11" s="176">
        <v>0</v>
      </c>
      <c r="T11" s="176">
        <v>0</v>
      </c>
      <c r="U11" s="176">
        <v>0</v>
      </c>
      <c r="V11" s="176">
        <v>0</v>
      </c>
      <c r="W11" s="176">
        <v>0</v>
      </c>
      <c r="X11" s="176">
        <v>0</v>
      </c>
      <c r="Y11" s="176">
        <v>0</v>
      </c>
      <c r="Z11" s="176">
        <v>0</v>
      </c>
      <c r="AA11" s="176">
        <v>0</v>
      </c>
      <c r="AB11" s="176">
        <v>0</v>
      </c>
      <c r="AC11" s="176">
        <v>0</v>
      </c>
      <c r="AD11" s="176">
        <v>0</v>
      </c>
      <c r="AE11" s="176">
        <v>0</v>
      </c>
      <c r="AF11" s="176">
        <v>0</v>
      </c>
      <c r="AG11" s="176">
        <v>0</v>
      </c>
      <c r="AH11" s="176">
        <v>0</v>
      </c>
      <c r="AI11" s="176">
        <v>0</v>
      </c>
      <c r="AJ11" s="176">
        <v>0</v>
      </c>
      <c r="AK11" s="176">
        <v>0</v>
      </c>
      <c r="AL11" s="176">
        <v>0</v>
      </c>
      <c r="AM11" s="176"/>
      <c r="AN11" s="176"/>
      <c r="AO11" s="176"/>
      <c r="AP11" s="176"/>
      <c r="AQ11" s="176"/>
      <c r="AR11" s="176"/>
      <c r="AS11" s="176"/>
      <c r="AT11" s="176">
        <f t="shared" si="1"/>
        <v>0</v>
      </c>
      <c r="AU11" s="176">
        <f t="shared" si="2"/>
        <v>0</v>
      </c>
      <c r="AV11" s="176">
        <f t="shared" si="3"/>
        <v>0</v>
      </c>
      <c r="AW11" s="176">
        <f t="shared" si="4"/>
        <v>0</v>
      </c>
      <c r="AX11" s="177">
        <f t="shared" si="5"/>
        <v>0</v>
      </c>
      <c r="AY11" s="176"/>
    </row>
    <row r="12" spans="1:51" ht="13" hidden="1">
      <c r="A12" s="174">
        <f>10</f>
        <v>10</v>
      </c>
      <c r="B12" s="174" t="str">
        <f>IFERROR(_xlfn.XLOOKUP($C12,Projection_!$A:$A,Projection_!$C:$C),"")</f>
        <v>breakfast and snacks</v>
      </c>
      <c r="C12" s="174" t="str">
        <f>Projection_!A13</f>
        <v>FG00052</v>
      </c>
      <c r="D12" s="174" t="str">
        <f>Projection_!B13</f>
        <v>Colostrum Powder, Desi Gir Cow - 100 gm</v>
      </c>
      <c r="E12" s="175">
        <f>IFERROR(_xlfn.XLOOKUP($C12,Projection_!$A:$A,Projection_!$D:$D),0)</f>
        <v>0.1</v>
      </c>
      <c r="F12" s="174">
        <f>IFERROR(_xlfn.XLOOKUP($C12,Projection_!$A:$A,Projection_!$M:$M),0)</f>
        <v>0</v>
      </c>
      <c r="G12" s="174">
        <f t="shared" si="0"/>
        <v>0</v>
      </c>
      <c r="H12" s="176">
        <v>0</v>
      </c>
      <c r="I12" s="176">
        <v>0</v>
      </c>
      <c r="J12" s="176">
        <v>0</v>
      </c>
      <c r="K12" s="176">
        <v>0</v>
      </c>
      <c r="L12" s="176">
        <v>0</v>
      </c>
      <c r="M12" s="176">
        <v>0</v>
      </c>
      <c r="N12" s="176"/>
      <c r="O12" s="176">
        <v>0</v>
      </c>
      <c r="P12" s="176">
        <v>0</v>
      </c>
      <c r="Q12" s="176">
        <v>0</v>
      </c>
      <c r="R12" s="176">
        <v>0</v>
      </c>
      <c r="S12" s="176">
        <v>0</v>
      </c>
      <c r="T12" s="176">
        <v>0</v>
      </c>
      <c r="U12" s="176">
        <v>0</v>
      </c>
      <c r="V12" s="176">
        <v>0</v>
      </c>
      <c r="W12" s="176">
        <v>0</v>
      </c>
      <c r="X12" s="176">
        <v>0</v>
      </c>
      <c r="Y12" s="176">
        <v>0</v>
      </c>
      <c r="Z12" s="176">
        <v>0</v>
      </c>
      <c r="AA12" s="176">
        <v>0</v>
      </c>
      <c r="AB12" s="176">
        <v>0</v>
      </c>
      <c r="AC12" s="176">
        <v>0</v>
      </c>
      <c r="AD12" s="176">
        <v>0</v>
      </c>
      <c r="AE12" s="176">
        <v>0</v>
      </c>
      <c r="AF12" s="176">
        <v>0</v>
      </c>
      <c r="AG12" s="176">
        <v>0</v>
      </c>
      <c r="AH12" s="176">
        <v>0</v>
      </c>
      <c r="AI12" s="176">
        <v>0</v>
      </c>
      <c r="AJ12" s="176">
        <v>0</v>
      </c>
      <c r="AK12" s="176">
        <v>0</v>
      </c>
      <c r="AL12" s="176">
        <v>0</v>
      </c>
      <c r="AM12" s="176"/>
      <c r="AN12" s="176"/>
      <c r="AO12" s="176"/>
      <c r="AP12" s="176"/>
      <c r="AQ12" s="176"/>
      <c r="AR12" s="176"/>
      <c r="AS12" s="176"/>
      <c r="AT12" s="176">
        <f t="shared" si="1"/>
        <v>0</v>
      </c>
      <c r="AU12" s="176">
        <f t="shared" si="2"/>
        <v>0</v>
      </c>
      <c r="AV12" s="176">
        <f t="shared" si="3"/>
        <v>0</v>
      </c>
      <c r="AW12" s="176">
        <f t="shared" si="4"/>
        <v>0</v>
      </c>
      <c r="AX12" s="177">
        <f t="shared" si="5"/>
        <v>0</v>
      </c>
      <c r="AY12" s="176"/>
    </row>
    <row r="13" spans="1:51" ht="13" hidden="1">
      <c r="A13" s="174">
        <f>11</f>
        <v>11</v>
      </c>
      <c r="B13" s="174" t="str">
        <f>IFERROR(_xlfn.XLOOKUP($C13,Projection_!$A:$A,Projection_!$C:$C),"")</f>
        <v>Ghee</v>
      </c>
      <c r="C13" s="174" t="str">
        <f>Projection_!A14</f>
        <v>GHEE1000_STEEL_CAN</v>
      </c>
      <c r="D13" s="174" t="str">
        <f>Projection_!B14</f>
        <v>Steel Can Ghee 1 Ltr</v>
      </c>
      <c r="E13" s="175">
        <f>IFERROR(_xlfn.XLOOKUP($C13,Projection_!$A:$A,Projection_!$D:$D),0)</f>
        <v>1</v>
      </c>
      <c r="F13" s="174">
        <f>IFERROR(_xlfn.XLOOKUP($C13,Projection_!$A:$A,Projection_!$M:$M),0)</f>
        <v>0</v>
      </c>
      <c r="G13" s="174">
        <f t="shared" si="0"/>
        <v>0</v>
      </c>
      <c r="H13" s="176">
        <v>0</v>
      </c>
      <c r="I13" s="176">
        <v>0</v>
      </c>
      <c r="J13" s="176">
        <v>0</v>
      </c>
      <c r="K13" s="176">
        <v>0</v>
      </c>
      <c r="L13" s="176">
        <v>0</v>
      </c>
      <c r="M13" s="176">
        <v>0</v>
      </c>
      <c r="N13" s="176"/>
      <c r="O13" s="176">
        <v>0</v>
      </c>
      <c r="P13" s="176">
        <v>0</v>
      </c>
      <c r="Q13" s="176">
        <v>0</v>
      </c>
      <c r="R13" s="176">
        <v>0</v>
      </c>
      <c r="S13" s="176">
        <v>0</v>
      </c>
      <c r="T13" s="176">
        <v>0</v>
      </c>
      <c r="U13" s="176">
        <v>0</v>
      </c>
      <c r="V13" s="176">
        <v>0</v>
      </c>
      <c r="W13" s="176">
        <v>0</v>
      </c>
      <c r="X13" s="176">
        <v>0</v>
      </c>
      <c r="Y13" s="176">
        <v>0</v>
      </c>
      <c r="Z13" s="176">
        <v>0</v>
      </c>
      <c r="AA13" s="176">
        <v>0</v>
      </c>
      <c r="AB13" s="176">
        <v>0</v>
      </c>
      <c r="AC13" s="176">
        <v>0</v>
      </c>
      <c r="AD13" s="176">
        <v>0</v>
      </c>
      <c r="AE13" s="176">
        <v>0</v>
      </c>
      <c r="AF13" s="176">
        <v>0</v>
      </c>
      <c r="AG13" s="176">
        <v>0</v>
      </c>
      <c r="AH13" s="176">
        <v>0</v>
      </c>
      <c r="AI13" s="176">
        <v>0</v>
      </c>
      <c r="AJ13" s="176">
        <v>0</v>
      </c>
      <c r="AK13" s="176">
        <v>0</v>
      </c>
      <c r="AL13" s="176">
        <v>0</v>
      </c>
      <c r="AM13" s="176"/>
      <c r="AN13" s="176"/>
      <c r="AO13" s="176"/>
      <c r="AP13" s="176"/>
      <c r="AQ13" s="176"/>
      <c r="AR13" s="176"/>
      <c r="AS13" s="176"/>
      <c r="AT13" s="176">
        <f t="shared" si="1"/>
        <v>0</v>
      </c>
      <c r="AU13" s="176">
        <f t="shared" si="2"/>
        <v>0</v>
      </c>
      <c r="AV13" s="176">
        <f t="shared" si="3"/>
        <v>0</v>
      </c>
      <c r="AW13" s="176">
        <f t="shared" si="4"/>
        <v>0</v>
      </c>
      <c r="AX13" s="177">
        <f t="shared" si="5"/>
        <v>0</v>
      </c>
      <c r="AY13" s="176"/>
    </row>
    <row r="14" spans="1:51" ht="13" hidden="1">
      <c r="A14" s="174">
        <f>12</f>
        <v>12</v>
      </c>
      <c r="B14" s="174" t="str">
        <f>IFERROR(_xlfn.XLOOKUP($C14,Projection_!$A:$A,Projection_!$C:$C),"")</f>
        <v>Ghee</v>
      </c>
      <c r="C14" s="174" t="str">
        <f>Projection_!A15</f>
        <v>FG00024</v>
      </c>
      <c r="D14" s="174" t="str">
        <f>Projection_!B15</f>
        <v>Ashwagandha Ghee - 250 gm</v>
      </c>
      <c r="E14" s="175">
        <f>IFERROR(_xlfn.XLOOKUP($C14,Projection_!$A:$A,Projection_!$D:$D),0)</f>
        <v>0.25</v>
      </c>
      <c r="F14" s="174">
        <f>IFERROR(_xlfn.XLOOKUP($C14,Projection_!$A:$A,Projection_!$M:$M),0)</f>
        <v>0</v>
      </c>
      <c r="G14" s="174">
        <f t="shared" si="0"/>
        <v>0</v>
      </c>
      <c r="H14" s="176">
        <v>0</v>
      </c>
      <c r="I14" s="176">
        <v>0</v>
      </c>
      <c r="J14" s="176">
        <v>0</v>
      </c>
      <c r="K14" s="176">
        <v>0</v>
      </c>
      <c r="L14" s="176">
        <v>0</v>
      </c>
      <c r="M14" s="176">
        <v>0</v>
      </c>
      <c r="N14" s="176"/>
      <c r="O14" s="176">
        <v>0</v>
      </c>
      <c r="P14" s="176">
        <v>0</v>
      </c>
      <c r="Q14" s="176">
        <v>0</v>
      </c>
      <c r="R14" s="176">
        <v>0</v>
      </c>
      <c r="S14" s="176">
        <v>0</v>
      </c>
      <c r="T14" s="176">
        <v>0</v>
      </c>
      <c r="U14" s="176">
        <v>0</v>
      </c>
      <c r="V14" s="176">
        <v>0</v>
      </c>
      <c r="W14" s="176">
        <v>0</v>
      </c>
      <c r="X14" s="176">
        <v>0</v>
      </c>
      <c r="Y14" s="176">
        <v>0</v>
      </c>
      <c r="Z14" s="176">
        <v>0</v>
      </c>
      <c r="AA14" s="176">
        <v>0</v>
      </c>
      <c r="AB14" s="176">
        <v>0</v>
      </c>
      <c r="AC14" s="176">
        <v>0</v>
      </c>
      <c r="AD14" s="176">
        <v>0</v>
      </c>
      <c r="AE14" s="176">
        <v>0</v>
      </c>
      <c r="AF14" s="176">
        <v>0</v>
      </c>
      <c r="AG14" s="176">
        <v>0</v>
      </c>
      <c r="AH14" s="176">
        <v>0</v>
      </c>
      <c r="AI14" s="176">
        <v>0</v>
      </c>
      <c r="AJ14" s="176">
        <v>0</v>
      </c>
      <c r="AK14" s="176">
        <v>0</v>
      </c>
      <c r="AL14" s="176">
        <v>0</v>
      </c>
      <c r="AM14" s="176"/>
      <c r="AN14" s="176"/>
      <c r="AO14" s="176"/>
      <c r="AP14" s="176"/>
      <c r="AQ14" s="176"/>
      <c r="AR14" s="176"/>
      <c r="AS14" s="176"/>
      <c r="AT14" s="176">
        <f t="shared" si="1"/>
        <v>0</v>
      </c>
      <c r="AU14" s="176">
        <f t="shared" si="2"/>
        <v>0</v>
      </c>
      <c r="AV14" s="176">
        <f t="shared" si="3"/>
        <v>0</v>
      </c>
      <c r="AW14" s="176">
        <f t="shared" si="4"/>
        <v>0</v>
      </c>
      <c r="AX14" s="177">
        <f t="shared" si="5"/>
        <v>0</v>
      </c>
      <c r="AY14" s="176"/>
    </row>
    <row r="15" spans="1:51" ht="13" hidden="1">
      <c r="A15" s="174">
        <f>13</f>
        <v>13</v>
      </c>
      <c r="B15" s="174" t="str">
        <f>IFERROR(_xlfn.XLOOKUP($C15,Projection_!$A:$A,Projection_!$C:$C),"")</f>
        <v>Others</v>
      </c>
      <c r="C15" s="174" t="str">
        <f>Projection_!A16</f>
        <v>FG00005</v>
      </c>
      <c r="D15" s="174" t="str">
        <f>Projection_!B16</f>
        <v>Butter/Makhan - 200 gm</v>
      </c>
      <c r="E15" s="175">
        <f>IFERROR(_xlfn.XLOOKUP($C15,Projection_!$A:$A,Projection_!$D:$D),0)</f>
        <v>0.2</v>
      </c>
      <c r="F15" s="174">
        <f>IFERROR(_xlfn.XLOOKUP($C15,Projection_!$A:$A,Projection_!$M:$M),0)</f>
        <v>0</v>
      </c>
      <c r="G15" s="174">
        <f t="shared" si="0"/>
        <v>0</v>
      </c>
      <c r="H15" s="176">
        <v>0</v>
      </c>
      <c r="I15" s="176">
        <v>0</v>
      </c>
      <c r="J15" s="176">
        <v>0</v>
      </c>
      <c r="K15" s="176">
        <v>0</v>
      </c>
      <c r="L15" s="176">
        <v>0</v>
      </c>
      <c r="M15" s="176">
        <v>0</v>
      </c>
      <c r="N15" s="176"/>
      <c r="O15" s="176">
        <v>0</v>
      </c>
      <c r="P15" s="176">
        <v>0</v>
      </c>
      <c r="Q15" s="176">
        <v>0</v>
      </c>
      <c r="R15" s="176">
        <v>0</v>
      </c>
      <c r="S15" s="176">
        <v>0</v>
      </c>
      <c r="T15" s="176">
        <v>0</v>
      </c>
      <c r="U15" s="176">
        <v>0</v>
      </c>
      <c r="V15" s="176">
        <v>0</v>
      </c>
      <c r="W15" s="176">
        <v>0</v>
      </c>
      <c r="X15" s="176">
        <v>0</v>
      </c>
      <c r="Y15" s="176">
        <v>0</v>
      </c>
      <c r="Z15" s="176">
        <v>0</v>
      </c>
      <c r="AA15" s="176">
        <v>0</v>
      </c>
      <c r="AB15" s="176">
        <v>0</v>
      </c>
      <c r="AC15" s="176">
        <v>0</v>
      </c>
      <c r="AD15" s="176">
        <v>0</v>
      </c>
      <c r="AE15" s="176">
        <v>0</v>
      </c>
      <c r="AF15" s="176">
        <v>0</v>
      </c>
      <c r="AG15" s="176">
        <v>0</v>
      </c>
      <c r="AH15" s="176">
        <v>0</v>
      </c>
      <c r="AI15" s="176">
        <v>0</v>
      </c>
      <c r="AJ15" s="176">
        <v>0</v>
      </c>
      <c r="AK15" s="176">
        <v>0</v>
      </c>
      <c r="AL15" s="176">
        <v>0</v>
      </c>
      <c r="AM15" s="176"/>
      <c r="AN15" s="176"/>
      <c r="AO15" s="176"/>
      <c r="AP15" s="176"/>
      <c r="AQ15" s="176"/>
      <c r="AR15" s="176"/>
      <c r="AS15" s="176"/>
      <c r="AT15" s="176">
        <f t="shared" si="1"/>
        <v>0</v>
      </c>
      <c r="AU15" s="176">
        <f t="shared" si="2"/>
        <v>0</v>
      </c>
      <c r="AV15" s="176">
        <f t="shared" si="3"/>
        <v>0</v>
      </c>
      <c r="AW15" s="176">
        <f t="shared" si="4"/>
        <v>0</v>
      </c>
      <c r="AX15" s="177">
        <f t="shared" si="5"/>
        <v>0</v>
      </c>
      <c r="AY15" s="176"/>
    </row>
    <row r="16" spans="1:51" ht="13" hidden="1">
      <c r="A16" s="174">
        <f>14</f>
        <v>14</v>
      </c>
      <c r="B16" s="174" t="str">
        <f>IFERROR(_xlfn.XLOOKUP($C16,Projection_!$A:$A,Projection_!$C:$C),"")</f>
        <v>Ghee</v>
      </c>
      <c r="C16" s="174" t="str">
        <f>Projection_!A17</f>
        <v>FG00227</v>
      </c>
      <c r="D16" s="174" t="str">
        <f>Projection_!B17</f>
        <v>Shatavari Ghee - 250 gm</v>
      </c>
      <c r="E16" s="175">
        <f>IFERROR(_xlfn.XLOOKUP($C16,Projection_!$A:$A,Projection_!$D:$D),0)</f>
        <v>0.25</v>
      </c>
      <c r="F16" s="174">
        <f>IFERROR(_xlfn.XLOOKUP($C16,Projection_!$A:$A,Projection_!$M:$M),0)</f>
        <v>0</v>
      </c>
      <c r="G16" s="174">
        <f t="shared" si="0"/>
        <v>0</v>
      </c>
      <c r="H16" s="176">
        <v>0</v>
      </c>
      <c r="I16" s="176">
        <v>0</v>
      </c>
      <c r="J16" s="176">
        <v>0</v>
      </c>
      <c r="K16" s="176">
        <v>0</v>
      </c>
      <c r="L16" s="176">
        <v>0</v>
      </c>
      <c r="M16" s="176">
        <v>0</v>
      </c>
      <c r="N16" s="176"/>
      <c r="O16" s="176">
        <v>0</v>
      </c>
      <c r="P16" s="176">
        <v>0</v>
      </c>
      <c r="Q16" s="176">
        <v>0</v>
      </c>
      <c r="R16" s="176">
        <v>0</v>
      </c>
      <c r="S16" s="176">
        <v>0</v>
      </c>
      <c r="T16" s="176">
        <v>0</v>
      </c>
      <c r="U16" s="176">
        <v>0</v>
      </c>
      <c r="V16" s="176">
        <v>0</v>
      </c>
      <c r="W16" s="176">
        <v>0</v>
      </c>
      <c r="X16" s="176">
        <v>0</v>
      </c>
      <c r="Y16" s="176">
        <v>0</v>
      </c>
      <c r="Z16" s="176">
        <v>0</v>
      </c>
      <c r="AA16" s="176">
        <v>0</v>
      </c>
      <c r="AB16" s="176">
        <v>0</v>
      </c>
      <c r="AC16" s="176">
        <v>0</v>
      </c>
      <c r="AD16" s="176">
        <v>0</v>
      </c>
      <c r="AE16" s="176">
        <v>0</v>
      </c>
      <c r="AF16" s="176">
        <v>0</v>
      </c>
      <c r="AG16" s="176">
        <v>0</v>
      </c>
      <c r="AH16" s="176">
        <v>0</v>
      </c>
      <c r="AI16" s="176">
        <v>0</v>
      </c>
      <c r="AJ16" s="176">
        <v>0</v>
      </c>
      <c r="AK16" s="176">
        <v>0</v>
      </c>
      <c r="AL16" s="176">
        <v>0</v>
      </c>
      <c r="AM16" s="176"/>
      <c r="AN16" s="176"/>
      <c r="AO16" s="176"/>
      <c r="AP16" s="176"/>
      <c r="AQ16" s="176"/>
      <c r="AR16" s="176"/>
      <c r="AS16" s="176"/>
      <c r="AT16" s="176">
        <f t="shared" si="1"/>
        <v>0</v>
      </c>
      <c r="AU16" s="176">
        <f t="shared" si="2"/>
        <v>0</v>
      </c>
      <c r="AV16" s="176">
        <f t="shared" si="3"/>
        <v>0</v>
      </c>
      <c r="AW16" s="176">
        <f t="shared" si="4"/>
        <v>0</v>
      </c>
      <c r="AX16" s="177">
        <f t="shared" si="5"/>
        <v>0</v>
      </c>
      <c r="AY16" s="176"/>
    </row>
    <row r="17" spans="1:51" ht="13" hidden="1">
      <c r="A17" s="174">
        <f>15</f>
        <v>15</v>
      </c>
      <c r="B17" s="174" t="str">
        <f>IFERROR(_xlfn.XLOOKUP($C17,Projection_!$A:$A,Projection_!$C:$C),"")</f>
        <v>Ghee</v>
      </c>
      <c r="C17" s="174" t="str">
        <f>Projection_!A18</f>
        <v>FG00039</v>
      </c>
      <c r="D17" s="174" t="str">
        <f>Projection_!B18</f>
        <v>Brahmi Ghee - 250 gm</v>
      </c>
      <c r="E17" s="175">
        <f>IFERROR(_xlfn.XLOOKUP($C17,Projection_!$A:$A,Projection_!$D:$D),0)</f>
        <v>0.25</v>
      </c>
      <c r="F17" s="174">
        <f>IFERROR(_xlfn.XLOOKUP($C17,Projection_!$A:$A,Projection_!$M:$M),0)</f>
        <v>0</v>
      </c>
      <c r="G17" s="174">
        <f t="shared" si="0"/>
        <v>0</v>
      </c>
      <c r="H17" s="176">
        <v>0</v>
      </c>
      <c r="I17" s="176">
        <v>0</v>
      </c>
      <c r="J17" s="176">
        <v>0</v>
      </c>
      <c r="K17" s="176">
        <v>0</v>
      </c>
      <c r="L17" s="176">
        <v>0</v>
      </c>
      <c r="M17" s="176">
        <v>0</v>
      </c>
      <c r="N17" s="176"/>
      <c r="O17" s="176">
        <v>0</v>
      </c>
      <c r="P17" s="176">
        <v>0</v>
      </c>
      <c r="Q17" s="176">
        <v>0</v>
      </c>
      <c r="R17" s="176">
        <v>0</v>
      </c>
      <c r="S17" s="176">
        <v>0</v>
      </c>
      <c r="T17" s="176">
        <v>0</v>
      </c>
      <c r="U17" s="176">
        <v>0</v>
      </c>
      <c r="V17" s="176">
        <v>0</v>
      </c>
      <c r="W17" s="176">
        <v>0</v>
      </c>
      <c r="X17" s="176">
        <v>0</v>
      </c>
      <c r="Y17" s="176">
        <v>0</v>
      </c>
      <c r="Z17" s="176">
        <v>0</v>
      </c>
      <c r="AA17" s="176">
        <v>0</v>
      </c>
      <c r="AB17" s="176">
        <v>0</v>
      </c>
      <c r="AC17" s="176">
        <v>0</v>
      </c>
      <c r="AD17" s="176">
        <v>0</v>
      </c>
      <c r="AE17" s="176">
        <v>0</v>
      </c>
      <c r="AF17" s="176">
        <v>0</v>
      </c>
      <c r="AG17" s="176">
        <v>0</v>
      </c>
      <c r="AH17" s="176">
        <v>0</v>
      </c>
      <c r="AI17" s="176">
        <v>0</v>
      </c>
      <c r="AJ17" s="176">
        <v>0</v>
      </c>
      <c r="AK17" s="176">
        <v>0</v>
      </c>
      <c r="AL17" s="176">
        <v>0</v>
      </c>
      <c r="AM17" s="176"/>
      <c r="AN17" s="176"/>
      <c r="AO17" s="176"/>
      <c r="AP17" s="176"/>
      <c r="AQ17" s="176"/>
      <c r="AR17" s="176"/>
      <c r="AS17" s="176"/>
      <c r="AT17" s="176">
        <f t="shared" si="1"/>
        <v>0</v>
      </c>
      <c r="AU17" s="176">
        <f t="shared" si="2"/>
        <v>0</v>
      </c>
      <c r="AV17" s="176">
        <f t="shared" si="3"/>
        <v>0</v>
      </c>
      <c r="AW17" s="176">
        <f t="shared" si="4"/>
        <v>0</v>
      </c>
      <c r="AX17" s="177">
        <f t="shared" si="5"/>
        <v>0</v>
      </c>
      <c r="AY17" s="176"/>
    </row>
    <row r="18" spans="1:51" ht="13" hidden="1">
      <c r="A18" s="174">
        <f>16</f>
        <v>16</v>
      </c>
      <c r="B18" s="174" t="str">
        <f>IFERROR(_xlfn.XLOOKUP($C18,Projection_!$A:$A,Projection_!$C:$C),"")</f>
        <v>Ghee</v>
      </c>
      <c r="C18" s="174" t="str">
        <f>Projection_!A19</f>
        <v>FG00265</v>
      </c>
      <c r="D18" s="174" t="str">
        <f>Projection_!B19</f>
        <v>Turmeric Ghee 250gm</v>
      </c>
      <c r="E18" s="175">
        <f>IFERROR(_xlfn.XLOOKUP($C18,Projection_!$A:$A,Projection_!$D:$D),0)</f>
        <v>0.25</v>
      </c>
      <c r="F18" s="174">
        <f>IFERROR(_xlfn.XLOOKUP($C18,Projection_!$A:$A,Projection_!$M:$M),0)</f>
        <v>0</v>
      </c>
      <c r="G18" s="174">
        <f t="shared" si="0"/>
        <v>0</v>
      </c>
      <c r="H18" s="176">
        <v>0</v>
      </c>
      <c r="I18" s="176">
        <v>0</v>
      </c>
      <c r="J18" s="176">
        <v>0</v>
      </c>
      <c r="K18" s="176">
        <v>0</v>
      </c>
      <c r="L18" s="176">
        <v>0</v>
      </c>
      <c r="M18" s="176">
        <v>0</v>
      </c>
      <c r="N18" s="176"/>
      <c r="O18" s="176">
        <v>0</v>
      </c>
      <c r="P18" s="176">
        <v>0</v>
      </c>
      <c r="Q18" s="176">
        <v>0</v>
      </c>
      <c r="R18" s="176">
        <v>0</v>
      </c>
      <c r="S18" s="176">
        <v>0</v>
      </c>
      <c r="T18" s="176">
        <v>0</v>
      </c>
      <c r="U18" s="176">
        <v>0</v>
      </c>
      <c r="V18" s="176">
        <v>0</v>
      </c>
      <c r="W18" s="176">
        <v>0</v>
      </c>
      <c r="X18" s="176">
        <v>0</v>
      </c>
      <c r="Y18" s="176">
        <v>0</v>
      </c>
      <c r="Z18" s="176">
        <v>0</v>
      </c>
      <c r="AA18" s="176">
        <v>0</v>
      </c>
      <c r="AB18" s="176">
        <v>0</v>
      </c>
      <c r="AC18" s="176">
        <v>0</v>
      </c>
      <c r="AD18" s="176">
        <v>0</v>
      </c>
      <c r="AE18" s="176">
        <v>0</v>
      </c>
      <c r="AF18" s="176">
        <v>0</v>
      </c>
      <c r="AG18" s="176">
        <v>0</v>
      </c>
      <c r="AH18" s="176">
        <v>0</v>
      </c>
      <c r="AI18" s="176">
        <v>0</v>
      </c>
      <c r="AJ18" s="176">
        <v>0</v>
      </c>
      <c r="AK18" s="176">
        <v>0</v>
      </c>
      <c r="AL18" s="176">
        <v>0</v>
      </c>
      <c r="AM18" s="176"/>
      <c r="AN18" s="176"/>
      <c r="AO18" s="176"/>
      <c r="AP18" s="176"/>
      <c r="AQ18" s="176"/>
      <c r="AR18" s="176"/>
      <c r="AS18" s="176"/>
      <c r="AT18" s="176">
        <f t="shared" si="1"/>
        <v>0</v>
      </c>
      <c r="AU18" s="176">
        <f t="shared" si="2"/>
        <v>0</v>
      </c>
      <c r="AV18" s="176">
        <f t="shared" si="3"/>
        <v>0</v>
      </c>
      <c r="AW18" s="176">
        <f t="shared" si="4"/>
        <v>0</v>
      </c>
      <c r="AX18" s="177">
        <f t="shared" si="5"/>
        <v>0</v>
      </c>
      <c r="AY18" s="176"/>
    </row>
    <row r="19" spans="1:51" ht="13" hidden="1">
      <c r="A19" s="174">
        <f>17</f>
        <v>17</v>
      </c>
      <c r="B19" s="174" t="str">
        <f>IFERROR(_xlfn.XLOOKUP($C19,Projection_!$A:$A,Projection_!$C:$C),"")</f>
        <v>Ghee</v>
      </c>
      <c r="C19" s="174" t="str">
        <f>Projection_!A20</f>
        <v>FG00596</v>
      </c>
      <c r="D19" s="174" t="str">
        <f>Projection_!B20</f>
        <v>Tulsi Ghee - 250gm</v>
      </c>
      <c r="E19" s="175">
        <f>IFERROR(_xlfn.XLOOKUP($C19,Projection_!$A:$A,Projection_!$D:$D),0)</f>
        <v>0.25</v>
      </c>
      <c r="F19" s="174">
        <f>IFERROR(_xlfn.XLOOKUP($C19,Projection_!$A:$A,Projection_!$M:$M),0)</f>
        <v>0</v>
      </c>
      <c r="G19" s="174">
        <f t="shared" si="0"/>
        <v>0</v>
      </c>
      <c r="H19" s="176">
        <v>0</v>
      </c>
      <c r="I19" s="176">
        <v>0</v>
      </c>
      <c r="J19" s="176">
        <v>0</v>
      </c>
      <c r="K19" s="176">
        <v>0</v>
      </c>
      <c r="L19" s="176">
        <v>0</v>
      </c>
      <c r="M19" s="176">
        <v>0</v>
      </c>
      <c r="N19" s="176"/>
      <c r="O19" s="176">
        <v>0</v>
      </c>
      <c r="P19" s="176">
        <v>0</v>
      </c>
      <c r="Q19" s="176">
        <v>0</v>
      </c>
      <c r="R19" s="176">
        <v>0</v>
      </c>
      <c r="S19" s="176">
        <v>0</v>
      </c>
      <c r="T19" s="176">
        <v>0</v>
      </c>
      <c r="U19" s="176">
        <v>0</v>
      </c>
      <c r="V19" s="176">
        <v>0</v>
      </c>
      <c r="W19" s="176">
        <v>0</v>
      </c>
      <c r="X19" s="176">
        <v>0</v>
      </c>
      <c r="Y19" s="176">
        <v>0</v>
      </c>
      <c r="Z19" s="176">
        <v>0</v>
      </c>
      <c r="AA19" s="176">
        <v>0</v>
      </c>
      <c r="AB19" s="176">
        <v>0</v>
      </c>
      <c r="AC19" s="176">
        <v>0</v>
      </c>
      <c r="AD19" s="176">
        <v>0</v>
      </c>
      <c r="AE19" s="176">
        <v>0</v>
      </c>
      <c r="AF19" s="176">
        <v>0</v>
      </c>
      <c r="AG19" s="176">
        <v>0</v>
      </c>
      <c r="AH19" s="176">
        <v>0</v>
      </c>
      <c r="AI19" s="176">
        <v>0</v>
      </c>
      <c r="AJ19" s="176">
        <v>0</v>
      </c>
      <c r="AK19" s="176">
        <v>0</v>
      </c>
      <c r="AL19" s="176">
        <v>0</v>
      </c>
      <c r="AM19" s="176"/>
      <c r="AN19" s="176"/>
      <c r="AO19" s="176"/>
      <c r="AP19" s="176"/>
      <c r="AQ19" s="176"/>
      <c r="AR19" s="176"/>
      <c r="AS19" s="176"/>
      <c r="AT19" s="176">
        <f t="shared" si="1"/>
        <v>0</v>
      </c>
      <c r="AU19" s="176">
        <f t="shared" si="2"/>
        <v>0</v>
      </c>
      <c r="AV19" s="176">
        <f t="shared" si="3"/>
        <v>0</v>
      </c>
      <c r="AW19" s="176">
        <f t="shared" si="4"/>
        <v>0</v>
      </c>
      <c r="AX19" s="177">
        <f t="shared" si="5"/>
        <v>0</v>
      </c>
      <c r="AY19" s="176"/>
    </row>
  </sheetData>
  <autoFilter ref="A2:AY19" xr:uid="{596EE05F-92C9-448E-BEEA-3B8F2F27CE30}">
    <filterColumn colId="48">
      <filters>
        <filter val="-2640"/>
        <filter val="-2089.5"/>
      </filters>
    </filterColumn>
  </autoFilter>
  <pageMargins left="0.70000000000000007" right="0.70000000000000007" top="0.75" bottom="0.75" header="0.30000000000000004" footer="0.30000000000000004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0842C-7EAC-4D32-8CE1-6709E8E3C1B7}">
  <sheetPr filterMode="1"/>
  <dimension ref="A1:BA23"/>
  <sheetViews>
    <sheetView workbookViewId="0"/>
  </sheetViews>
  <sheetFormatPr defaultColWidth="12" defaultRowHeight="15.75" customHeight="1"/>
  <cols>
    <col min="1" max="1" width="11.54296875" customWidth="1"/>
    <col min="2" max="2" width="13.08984375" customWidth="1"/>
    <col min="3" max="3" width="14" hidden="1" customWidth="1"/>
    <col min="4" max="4" width="53.453125" customWidth="1"/>
    <col min="5" max="5" width="9.08984375" hidden="1" customWidth="1"/>
    <col min="6" max="6" width="15.26953125" customWidth="1"/>
    <col min="7" max="8" width="8.81640625" customWidth="1"/>
    <col min="9" max="9" width="7.7265625" customWidth="1"/>
    <col min="10" max="10" width="8.26953125" customWidth="1"/>
    <col min="11" max="14" width="7.7265625" customWidth="1"/>
    <col min="15" max="21" width="9.26953125" customWidth="1"/>
    <col min="22" max="22" width="8.26953125" customWidth="1"/>
    <col min="23" max="23" width="7.7265625" customWidth="1"/>
    <col min="24" max="34" width="8.26953125" customWidth="1"/>
    <col min="35" max="44" width="9.26953125" customWidth="1"/>
    <col min="45" max="45" width="15.54296875" customWidth="1"/>
    <col min="46" max="46" width="16.453125" hidden="1" customWidth="1"/>
    <col min="47" max="47" width="17.54296875" customWidth="1"/>
    <col min="48" max="48" width="18.36328125" customWidth="1"/>
    <col min="49" max="49" width="36" customWidth="1"/>
    <col min="50" max="53" width="34.08984375" customWidth="1"/>
    <col min="54" max="54" width="12" customWidth="1"/>
  </cols>
  <sheetData>
    <row r="1" spans="1:53" ht="22.5" customHeight="1">
      <c r="A1" s="78"/>
      <c r="B1" s="79"/>
      <c r="C1" s="79"/>
      <c r="D1" s="79"/>
      <c r="E1" s="79"/>
      <c r="F1" s="79">
        <f>SUBTOTAL(9,F3:F19)</f>
        <v>288</v>
      </c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78"/>
      <c r="AP1" s="78"/>
      <c r="AQ1" s="78"/>
      <c r="AR1" s="78"/>
      <c r="AS1" s="155">
        <f>SUBTOTAL(9,AS3:AS21)</f>
        <v>0</v>
      </c>
      <c r="AT1" s="78">
        <f>SUBTOTAL(9,AT3:AT21)</f>
        <v>0</v>
      </c>
      <c r="AU1" s="155">
        <f>SUBTOTAL(9,AU3:AU21)</f>
        <v>-288</v>
      </c>
      <c r="AV1" s="80">
        <f>IFERROR(AS1/SUBTOTAL(9,F3:F21),0)</f>
        <v>0</v>
      </c>
      <c r="AW1" s="78"/>
      <c r="AX1" s="78"/>
      <c r="AY1" s="78"/>
      <c r="AZ1" s="78"/>
      <c r="BA1" s="78"/>
    </row>
    <row r="2" spans="1:53" s="113" customFormat="1" ht="87" customHeight="1">
      <c r="A2" s="126" t="s">
        <v>106</v>
      </c>
      <c r="B2" s="126" t="s">
        <v>6</v>
      </c>
      <c r="C2" s="83" t="s">
        <v>59</v>
      </c>
      <c r="D2" s="83" t="s">
        <v>108</v>
      </c>
      <c r="E2" s="84" t="s">
        <v>109</v>
      </c>
      <c r="F2" s="85" t="s">
        <v>162</v>
      </c>
      <c r="G2" s="90">
        <v>24</v>
      </c>
      <c r="H2" s="90">
        <v>25</v>
      </c>
      <c r="I2" s="90">
        <v>26</v>
      </c>
      <c r="J2" s="90">
        <v>27</v>
      </c>
      <c r="K2" s="90">
        <v>28</v>
      </c>
      <c r="L2" s="90">
        <v>29</v>
      </c>
      <c r="M2" s="90">
        <v>30</v>
      </c>
      <c r="N2" s="90">
        <v>31</v>
      </c>
      <c r="O2" s="90">
        <v>1</v>
      </c>
      <c r="P2" s="90">
        <v>2</v>
      </c>
      <c r="Q2" s="90">
        <v>3</v>
      </c>
      <c r="R2" s="90">
        <v>4</v>
      </c>
      <c r="S2" s="90">
        <v>5</v>
      </c>
      <c r="T2" s="90">
        <v>6</v>
      </c>
      <c r="U2" s="90">
        <v>7</v>
      </c>
      <c r="V2" s="90">
        <v>8</v>
      </c>
      <c r="W2" s="90">
        <v>9</v>
      </c>
      <c r="X2" s="90">
        <v>10</v>
      </c>
      <c r="Y2" s="90">
        <v>11</v>
      </c>
      <c r="Z2" s="90">
        <v>12</v>
      </c>
      <c r="AA2" s="90">
        <v>13</v>
      </c>
      <c r="AB2" s="90">
        <v>14</v>
      </c>
      <c r="AC2" s="90">
        <v>15</v>
      </c>
      <c r="AD2" s="90">
        <v>16</v>
      </c>
      <c r="AE2" s="90">
        <v>17</v>
      </c>
      <c r="AF2" s="90">
        <v>18</v>
      </c>
      <c r="AG2" s="90">
        <v>19</v>
      </c>
      <c r="AH2" s="90">
        <v>20</v>
      </c>
      <c r="AI2" s="90">
        <v>21</v>
      </c>
      <c r="AJ2" s="90">
        <v>22</v>
      </c>
      <c r="AK2" s="90">
        <v>23</v>
      </c>
      <c r="AL2" s="90">
        <v>24</v>
      </c>
      <c r="AM2" s="90">
        <v>25</v>
      </c>
      <c r="AN2" s="90">
        <v>26</v>
      </c>
      <c r="AO2" s="90">
        <v>27</v>
      </c>
      <c r="AP2" s="90">
        <v>28</v>
      </c>
      <c r="AQ2" s="90">
        <v>29</v>
      </c>
      <c r="AR2" s="90">
        <v>30</v>
      </c>
      <c r="AS2" s="157" t="s">
        <v>150</v>
      </c>
      <c r="AT2" s="158" t="s">
        <v>112</v>
      </c>
      <c r="AU2" s="159" t="s">
        <v>151</v>
      </c>
      <c r="AV2" s="160" t="s">
        <v>115</v>
      </c>
      <c r="AW2" s="90" t="s">
        <v>63</v>
      </c>
      <c r="AX2" s="90" t="s">
        <v>130</v>
      </c>
      <c r="AY2" s="91" t="s">
        <v>131</v>
      </c>
      <c r="AZ2" s="91" t="s">
        <v>132</v>
      </c>
      <c r="BA2" s="91" t="s">
        <v>133</v>
      </c>
    </row>
    <row r="3" spans="1:53" ht="18" hidden="1">
      <c r="A3" s="130">
        <v>1</v>
      </c>
      <c r="B3" s="131" t="s">
        <v>12</v>
      </c>
      <c r="C3" s="132" t="s">
        <v>79</v>
      </c>
      <c r="D3" s="132" t="s">
        <v>37</v>
      </c>
      <c r="E3" s="133">
        <v>0</v>
      </c>
      <c r="F3" s="134">
        <f>IFERROR(_xlfn.XLOOKUP(C3,Projection_!A:A,Projection_!Q:Q),0)</f>
        <v>0</v>
      </c>
      <c r="G3" s="162">
        <v>0</v>
      </c>
      <c r="H3" s="162">
        <v>0</v>
      </c>
      <c r="I3" s="162">
        <v>0</v>
      </c>
      <c r="J3" s="162">
        <v>0</v>
      </c>
      <c r="K3" s="162">
        <v>0</v>
      </c>
      <c r="L3" s="162">
        <v>0</v>
      </c>
      <c r="M3" s="162">
        <v>0</v>
      </c>
      <c r="N3" s="162">
        <v>0</v>
      </c>
      <c r="O3" s="162">
        <v>0</v>
      </c>
      <c r="P3" s="162">
        <v>0</v>
      </c>
      <c r="Q3" s="162">
        <v>0</v>
      </c>
      <c r="R3" s="162">
        <v>0</v>
      </c>
      <c r="S3" s="162">
        <v>0</v>
      </c>
      <c r="T3" s="162">
        <v>0</v>
      </c>
      <c r="U3" s="162">
        <v>0</v>
      </c>
      <c r="V3" s="162">
        <v>0</v>
      </c>
      <c r="W3" s="162">
        <v>0</v>
      </c>
      <c r="X3" s="162">
        <v>0</v>
      </c>
      <c r="Y3" s="162">
        <v>0</v>
      </c>
      <c r="Z3" s="162">
        <v>0</v>
      </c>
      <c r="AA3" s="162">
        <v>0</v>
      </c>
      <c r="AB3" s="162">
        <v>0</v>
      </c>
      <c r="AC3" s="162">
        <v>0</v>
      </c>
      <c r="AD3" s="162">
        <v>0</v>
      </c>
      <c r="AE3" s="162">
        <v>0</v>
      </c>
      <c r="AF3" s="162">
        <v>0</v>
      </c>
      <c r="AG3" s="162">
        <v>0</v>
      </c>
      <c r="AH3" s="162">
        <v>0</v>
      </c>
      <c r="AI3" s="162">
        <v>0</v>
      </c>
      <c r="AJ3" s="162">
        <v>0</v>
      </c>
      <c r="AK3" s="162">
        <v>0</v>
      </c>
      <c r="AL3" s="162"/>
      <c r="AM3" s="162"/>
      <c r="AN3" s="162"/>
      <c r="AO3" s="162"/>
      <c r="AP3" s="162"/>
      <c r="AQ3" s="162"/>
      <c r="AR3" s="162"/>
      <c r="AS3" s="150">
        <f t="shared" ref="AS3:AS21" si="0">SUM(G3:AK3)</f>
        <v>0</v>
      </c>
      <c r="AT3" s="150">
        <f t="shared" ref="AT3:AT21" si="1">AS3*E3</f>
        <v>0</v>
      </c>
      <c r="AU3" s="150">
        <f t="shared" ref="AU3:AU21" si="2">IFERROR(AS3-F3,0)</f>
        <v>0</v>
      </c>
      <c r="AV3" s="165">
        <f t="shared" ref="AV3:AV22" si="3">IFERROR(AS3/F3,0)</f>
        <v>0</v>
      </c>
      <c r="AW3" s="106"/>
      <c r="AX3" s="106"/>
      <c r="AY3" s="78"/>
      <c r="AZ3" s="78"/>
      <c r="BA3" s="78"/>
    </row>
    <row r="4" spans="1:53" ht="18" hidden="1">
      <c r="A4" s="139">
        <v>2</v>
      </c>
      <c r="B4" s="131" t="s">
        <v>12</v>
      </c>
      <c r="C4" s="132" t="s">
        <v>83</v>
      </c>
      <c r="D4" s="132" t="s">
        <v>48</v>
      </c>
      <c r="E4" s="133">
        <v>1</v>
      </c>
      <c r="F4" s="134">
        <f>IFERROR(_xlfn.XLOOKUP(C4,Projection_!A:A,Projection_!Q:Q),0)</f>
        <v>0</v>
      </c>
      <c r="G4" s="162">
        <v>0</v>
      </c>
      <c r="H4" s="162">
        <v>0</v>
      </c>
      <c r="I4" s="162">
        <v>0</v>
      </c>
      <c r="J4" s="162">
        <v>0</v>
      </c>
      <c r="K4" s="162">
        <v>0</v>
      </c>
      <c r="L4" s="162">
        <v>0</v>
      </c>
      <c r="M4" s="162">
        <v>0</v>
      </c>
      <c r="N4" s="162">
        <v>0</v>
      </c>
      <c r="O4" s="162">
        <v>0</v>
      </c>
      <c r="P4" s="162">
        <v>0</v>
      </c>
      <c r="Q4" s="162">
        <v>0</v>
      </c>
      <c r="R4" s="162">
        <v>0</v>
      </c>
      <c r="S4" s="162">
        <v>0</v>
      </c>
      <c r="T4" s="162">
        <v>0</v>
      </c>
      <c r="U4" s="162">
        <v>0</v>
      </c>
      <c r="V4" s="162">
        <v>0</v>
      </c>
      <c r="W4" s="162">
        <v>0</v>
      </c>
      <c r="X4" s="162">
        <v>0</v>
      </c>
      <c r="Y4" s="162">
        <v>0</v>
      </c>
      <c r="Z4" s="162">
        <v>0</v>
      </c>
      <c r="AA4" s="162">
        <v>0</v>
      </c>
      <c r="AB4" s="162">
        <v>0</v>
      </c>
      <c r="AC4" s="162">
        <v>0</v>
      </c>
      <c r="AD4" s="162">
        <v>0</v>
      </c>
      <c r="AE4" s="162">
        <v>0</v>
      </c>
      <c r="AF4" s="162">
        <v>0</v>
      </c>
      <c r="AG4" s="162">
        <v>0</v>
      </c>
      <c r="AH4" s="162">
        <v>0</v>
      </c>
      <c r="AI4" s="162">
        <v>0</v>
      </c>
      <c r="AJ4" s="162">
        <v>0</v>
      </c>
      <c r="AK4" s="162">
        <v>0</v>
      </c>
      <c r="AL4" s="162"/>
      <c r="AM4" s="162"/>
      <c r="AN4" s="162"/>
      <c r="AO4" s="162"/>
      <c r="AP4" s="162"/>
      <c r="AQ4" s="162"/>
      <c r="AR4" s="162"/>
      <c r="AS4" s="150">
        <f t="shared" si="0"/>
        <v>0</v>
      </c>
      <c r="AT4" s="150">
        <f t="shared" si="1"/>
        <v>0</v>
      </c>
      <c r="AU4" s="150">
        <f t="shared" si="2"/>
        <v>0</v>
      </c>
      <c r="AV4" s="165">
        <f t="shared" si="3"/>
        <v>0</v>
      </c>
      <c r="AW4" s="106"/>
      <c r="AX4" s="106"/>
      <c r="AY4" s="78"/>
      <c r="AZ4" s="78"/>
      <c r="BA4" s="78"/>
    </row>
    <row r="5" spans="1:53" ht="18" hidden="1">
      <c r="A5" s="130">
        <v>3</v>
      </c>
      <c r="B5" s="131" t="s">
        <v>12</v>
      </c>
      <c r="C5" s="132" t="s">
        <v>80</v>
      </c>
      <c r="D5" s="132" t="s">
        <v>136</v>
      </c>
      <c r="E5" s="133">
        <v>5</v>
      </c>
      <c r="F5" s="134">
        <f>IFERROR(_xlfn.XLOOKUP(C5,Projection_!A:A,Projection_!Q:Q),0)</f>
        <v>0</v>
      </c>
      <c r="G5" s="162">
        <v>0</v>
      </c>
      <c r="H5" s="162">
        <v>0</v>
      </c>
      <c r="I5" s="162">
        <v>0</v>
      </c>
      <c r="J5" s="162">
        <v>0</v>
      </c>
      <c r="K5" s="162">
        <v>0</v>
      </c>
      <c r="L5" s="162">
        <v>0</v>
      </c>
      <c r="M5" s="162">
        <v>0</v>
      </c>
      <c r="N5" s="162">
        <v>0</v>
      </c>
      <c r="O5" s="162">
        <v>0</v>
      </c>
      <c r="P5" s="162">
        <v>0</v>
      </c>
      <c r="Q5" s="162">
        <v>0</v>
      </c>
      <c r="R5" s="162">
        <v>0</v>
      </c>
      <c r="S5" s="162">
        <v>0</v>
      </c>
      <c r="T5" s="162">
        <v>0</v>
      </c>
      <c r="U5" s="162">
        <v>0</v>
      </c>
      <c r="V5" s="162">
        <v>0</v>
      </c>
      <c r="W5" s="162">
        <v>0</v>
      </c>
      <c r="X5" s="162">
        <v>0</v>
      </c>
      <c r="Y5" s="162">
        <v>0</v>
      </c>
      <c r="Z5" s="162">
        <v>0</v>
      </c>
      <c r="AA5" s="162">
        <v>0</v>
      </c>
      <c r="AB5" s="162">
        <v>0</v>
      </c>
      <c r="AC5" s="162">
        <v>0</v>
      </c>
      <c r="AD5" s="162">
        <v>0</v>
      </c>
      <c r="AE5" s="162">
        <v>0</v>
      </c>
      <c r="AF5" s="162">
        <v>0</v>
      </c>
      <c r="AG5" s="162">
        <v>0</v>
      </c>
      <c r="AH5" s="162">
        <v>0</v>
      </c>
      <c r="AI5" s="162">
        <v>0</v>
      </c>
      <c r="AJ5" s="162">
        <v>0</v>
      </c>
      <c r="AK5" s="162">
        <v>0</v>
      </c>
      <c r="AL5" s="162"/>
      <c r="AM5" s="162"/>
      <c r="AN5" s="162"/>
      <c r="AO5" s="162"/>
      <c r="AP5" s="162"/>
      <c r="AQ5" s="162"/>
      <c r="AR5" s="162"/>
      <c r="AS5" s="150">
        <f t="shared" si="0"/>
        <v>0</v>
      </c>
      <c r="AT5" s="150">
        <f t="shared" si="1"/>
        <v>0</v>
      </c>
      <c r="AU5" s="150">
        <f t="shared" si="2"/>
        <v>0</v>
      </c>
      <c r="AV5" s="165">
        <f t="shared" si="3"/>
        <v>0</v>
      </c>
      <c r="AW5" s="106"/>
      <c r="AX5" s="106"/>
      <c r="AY5" s="78"/>
      <c r="AZ5" s="78"/>
      <c r="BA5" s="78"/>
    </row>
    <row r="6" spans="1:53" ht="18" hidden="1">
      <c r="A6" s="139">
        <v>4</v>
      </c>
      <c r="B6" s="131" t="s">
        <v>12</v>
      </c>
      <c r="C6" s="132" t="s">
        <v>82</v>
      </c>
      <c r="D6" s="132" t="s">
        <v>44</v>
      </c>
      <c r="E6" s="133">
        <v>0.25</v>
      </c>
      <c r="F6" s="134">
        <f>IFERROR(_xlfn.XLOOKUP(C6,Projection_!A:A,Projection_!Q:Q),0)</f>
        <v>0</v>
      </c>
      <c r="G6" s="162">
        <v>0</v>
      </c>
      <c r="H6" s="162">
        <v>0</v>
      </c>
      <c r="I6" s="162">
        <v>0</v>
      </c>
      <c r="J6" s="162">
        <v>0</v>
      </c>
      <c r="K6" s="162">
        <v>0</v>
      </c>
      <c r="L6" s="162">
        <v>0</v>
      </c>
      <c r="M6" s="162">
        <v>0</v>
      </c>
      <c r="N6" s="162">
        <v>0</v>
      </c>
      <c r="O6" s="162">
        <v>0</v>
      </c>
      <c r="P6" s="162">
        <v>0</v>
      </c>
      <c r="Q6" s="162">
        <v>0</v>
      </c>
      <c r="R6" s="162">
        <v>0</v>
      </c>
      <c r="S6" s="162">
        <v>0</v>
      </c>
      <c r="T6" s="162">
        <v>0</v>
      </c>
      <c r="U6" s="162">
        <v>0</v>
      </c>
      <c r="V6" s="162">
        <v>0</v>
      </c>
      <c r="W6" s="162">
        <v>0</v>
      </c>
      <c r="X6" s="162">
        <v>0</v>
      </c>
      <c r="Y6" s="162">
        <v>0</v>
      </c>
      <c r="Z6" s="162">
        <v>0</v>
      </c>
      <c r="AA6" s="162">
        <v>0</v>
      </c>
      <c r="AB6" s="162">
        <v>0</v>
      </c>
      <c r="AC6" s="162">
        <v>0</v>
      </c>
      <c r="AD6" s="162">
        <v>0</v>
      </c>
      <c r="AE6" s="162">
        <v>0</v>
      </c>
      <c r="AF6" s="162">
        <v>0</v>
      </c>
      <c r="AG6" s="162">
        <v>0</v>
      </c>
      <c r="AH6" s="162">
        <v>0</v>
      </c>
      <c r="AI6" s="162">
        <v>0</v>
      </c>
      <c r="AJ6" s="162">
        <v>0</v>
      </c>
      <c r="AK6" s="162">
        <v>0</v>
      </c>
      <c r="AL6" s="162"/>
      <c r="AM6" s="162"/>
      <c r="AN6" s="162"/>
      <c r="AO6" s="162"/>
      <c r="AP6" s="162"/>
      <c r="AQ6" s="162"/>
      <c r="AR6" s="162"/>
      <c r="AS6" s="150">
        <f t="shared" si="0"/>
        <v>0</v>
      </c>
      <c r="AT6" s="150">
        <f t="shared" si="1"/>
        <v>0</v>
      </c>
      <c r="AU6" s="150">
        <f t="shared" si="2"/>
        <v>0</v>
      </c>
      <c r="AV6" s="165">
        <f t="shared" si="3"/>
        <v>0</v>
      </c>
      <c r="AW6" s="106"/>
      <c r="AX6" s="106"/>
      <c r="AY6" s="78"/>
      <c r="AZ6" s="78"/>
      <c r="BA6" s="78"/>
    </row>
    <row r="7" spans="1:53" ht="18" hidden="1">
      <c r="A7" s="130">
        <v>5</v>
      </c>
      <c r="B7" s="131" t="s">
        <v>12</v>
      </c>
      <c r="C7" s="132" t="s">
        <v>76</v>
      </c>
      <c r="D7" s="132" t="s">
        <v>26</v>
      </c>
      <c r="E7" s="133">
        <v>0.5</v>
      </c>
      <c r="F7" s="134">
        <f>IFERROR(_xlfn.XLOOKUP(C7,Projection_!A:A,Projection_!Q:Q),0)</f>
        <v>0</v>
      </c>
      <c r="G7" s="162">
        <v>0</v>
      </c>
      <c r="H7" s="162">
        <v>0</v>
      </c>
      <c r="I7" s="162">
        <v>0</v>
      </c>
      <c r="J7" s="162">
        <v>0</v>
      </c>
      <c r="K7" s="162">
        <v>0</v>
      </c>
      <c r="L7" s="162">
        <v>0</v>
      </c>
      <c r="M7" s="162">
        <v>0</v>
      </c>
      <c r="N7" s="162">
        <v>0</v>
      </c>
      <c r="O7" s="162">
        <v>0</v>
      </c>
      <c r="P7" s="162">
        <v>0</v>
      </c>
      <c r="Q7" s="162">
        <v>0</v>
      </c>
      <c r="R7" s="162">
        <v>0</v>
      </c>
      <c r="S7" s="162">
        <v>0</v>
      </c>
      <c r="T7" s="162">
        <v>0</v>
      </c>
      <c r="U7" s="162">
        <v>0</v>
      </c>
      <c r="V7" s="162">
        <v>0</v>
      </c>
      <c r="W7" s="162">
        <v>0</v>
      </c>
      <c r="X7" s="162">
        <v>0</v>
      </c>
      <c r="Y7" s="162">
        <v>0</v>
      </c>
      <c r="Z7" s="162">
        <v>0</v>
      </c>
      <c r="AA7" s="162">
        <v>0</v>
      </c>
      <c r="AB7" s="162">
        <v>0</v>
      </c>
      <c r="AC7" s="162">
        <v>0</v>
      </c>
      <c r="AD7" s="162">
        <v>0</v>
      </c>
      <c r="AE7" s="162">
        <v>0</v>
      </c>
      <c r="AF7" s="162">
        <v>0</v>
      </c>
      <c r="AG7" s="162">
        <v>0</v>
      </c>
      <c r="AH7" s="162">
        <v>0</v>
      </c>
      <c r="AI7" s="162">
        <v>0</v>
      </c>
      <c r="AJ7" s="162">
        <v>0</v>
      </c>
      <c r="AK7" s="162">
        <v>0</v>
      </c>
      <c r="AL7" s="162"/>
      <c r="AM7" s="162"/>
      <c r="AN7" s="162"/>
      <c r="AO7" s="162"/>
      <c r="AP7" s="162"/>
      <c r="AQ7" s="162"/>
      <c r="AR7" s="162"/>
      <c r="AS7" s="150">
        <f t="shared" si="0"/>
        <v>0</v>
      </c>
      <c r="AT7" s="150">
        <f t="shared" si="1"/>
        <v>0</v>
      </c>
      <c r="AU7" s="150">
        <f t="shared" si="2"/>
        <v>0</v>
      </c>
      <c r="AV7" s="165">
        <f t="shared" si="3"/>
        <v>0</v>
      </c>
      <c r="AW7" s="106"/>
      <c r="AX7" s="106"/>
      <c r="AY7" s="78"/>
      <c r="AZ7" s="78"/>
      <c r="BA7" s="78"/>
    </row>
    <row r="8" spans="1:53" ht="18" hidden="1">
      <c r="A8" s="139">
        <v>6</v>
      </c>
      <c r="B8" s="131" t="s">
        <v>12</v>
      </c>
      <c r="C8" s="132" t="s">
        <v>73</v>
      </c>
      <c r="D8" s="132" t="s">
        <v>23</v>
      </c>
      <c r="E8" s="133">
        <v>0.5</v>
      </c>
      <c r="F8" s="134">
        <f>IFERROR(_xlfn.XLOOKUP(C8,Projection_!A:A,Projection_!Q:Q),0)</f>
        <v>0</v>
      </c>
      <c r="G8" s="162">
        <v>0</v>
      </c>
      <c r="H8" s="162">
        <v>0</v>
      </c>
      <c r="I8" s="162">
        <v>0</v>
      </c>
      <c r="J8" s="162">
        <v>0</v>
      </c>
      <c r="K8" s="162">
        <v>0</v>
      </c>
      <c r="L8" s="162">
        <v>0</v>
      </c>
      <c r="M8" s="162">
        <v>0</v>
      </c>
      <c r="N8" s="162">
        <v>0</v>
      </c>
      <c r="O8" s="162">
        <v>0</v>
      </c>
      <c r="P8" s="162">
        <v>0</v>
      </c>
      <c r="Q8" s="162">
        <v>0</v>
      </c>
      <c r="R8" s="162">
        <v>0</v>
      </c>
      <c r="S8" s="162">
        <v>0</v>
      </c>
      <c r="T8" s="162">
        <v>0</v>
      </c>
      <c r="U8" s="162">
        <v>0</v>
      </c>
      <c r="V8" s="162">
        <v>0</v>
      </c>
      <c r="W8" s="162">
        <v>0</v>
      </c>
      <c r="X8" s="162">
        <v>0</v>
      </c>
      <c r="Y8" s="162">
        <v>0</v>
      </c>
      <c r="Z8" s="162">
        <v>0</v>
      </c>
      <c r="AA8" s="162">
        <v>0</v>
      </c>
      <c r="AB8" s="162">
        <v>0</v>
      </c>
      <c r="AC8" s="162">
        <v>0</v>
      </c>
      <c r="AD8" s="162">
        <v>0</v>
      </c>
      <c r="AE8" s="162">
        <v>0</v>
      </c>
      <c r="AF8" s="162">
        <v>0</v>
      </c>
      <c r="AG8" s="162">
        <v>0</v>
      </c>
      <c r="AH8" s="162">
        <v>0</v>
      </c>
      <c r="AI8" s="162">
        <v>0</v>
      </c>
      <c r="AJ8" s="162">
        <v>0</v>
      </c>
      <c r="AK8" s="162">
        <v>0</v>
      </c>
      <c r="AL8" s="162"/>
      <c r="AM8" s="162"/>
      <c r="AN8" s="162"/>
      <c r="AO8" s="162"/>
      <c r="AP8" s="162"/>
      <c r="AQ8" s="162"/>
      <c r="AR8" s="162"/>
      <c r="AS8" s="150">
        <f t="shared" si="0"/>
        <v>0</v>
      </c>
      <c r="AT8" s="150">
        <f t="shared" si="1"/>
        <v>0</v>
      </c>
      <c r="AU8" s="150">
        <f t="shared" si="2"/>
        <v>0</v>
      </c>
      <c r="AV8" s="165">
        <f t="shared" si="3"/>
        <v>0</v>
      </c>
      <c r="AW8" s="106"/>
      <c r="AX8" s="106"/>
      <c r="AY8" s="78"/>
      <c r="AZ8" s="78"/>
      <c r="BA8" s="78"/>
    </row>
    <row r="9" spans="1:53" ht="18" hidden="1">
      <c r="A9" s="130">
        <v>7</v>
      </c>
      <c r="B9" s="131" t="s">
        <v>12</v>
      </c>
      <c r="C9" s="132" t="s">
        <v>74</v>
      </c>
      <c r="D9" s="132" t="s">
        <v>24</v>
      </c>
      <c r="E9" s="112">
        <v>0.5</v>
      </c>
      <c r="F9" s="134">
        <f>IFERROR(_xlfn.XLOOKUP(C9,Projection_!A:A,Projection_!Q:Q),0)</f>
        <v>0</v>
      </c>
      <c r="G9" s="162">
        <v>0</v>
      </c>
      <c r="H9" s="162">
        <v>0</v>
      </c>
      <c r="I9" s="162">
        <v>0</v>
      </c>
      <c r="J9" s="162">
        <v>0</v>
      </c>
      <c r="K9" s="162">
        <v>0</v>
      </c>
      <c r="L9" s="162">
        <v>0</v>
      </c>
      <c r="M9" s="162">
        <v>0</v>
      </c>
      <c r="N9" s="162">
        <v>0</v>
      </c>
      <c r="O9" s="162">
        <v>0</v>
      </c>
      <c r="P9" s="162">
        <v>0</v>
      </c>
      <c r="Q9" s="162">
        <v>0</v>
      </c>
      <c r="R9" s="162">
        <v>0</v>
      </c>
      <c r="S9" s="162">
        <v>0</v>
      </c>
      <c r="T9" s="162">
        <v>0</v>
      </c>
      <c r="U9" s="162">
        <v>0</v>
      </c>
      <c r="V9" s="162">
        <v>0</v>
      </c>
      <c r="W9" s="162">
        <v>0</v>
      </c>
      <c r="X9" s="162">
        <v>0</v>
      </c>
      <c r="Y9" s="162">
        <v>0</v>
      </c>
      <c r="Z9" s="162">
        <v>0</v>
      </c>
      <c r="AA9" s="162">
        <v>0</v>
      </c>
      <c r="AB9" s="162">
        <v>0</v>
      </c>
      <c r="AC9" s="162">
        <v>0</v>
      </c>
      <c r="AD9" s="162">
        <v>0</v>
      </c>
      <c r="AE9" s="162">
        <v>0</v>
      </c>
      <c r="AF9" s="162">
        <v>0</v>
      </c>
      <c r="AG9" s="162">
        <v>0</v>
      </c>
      <c r="AH9" s="162">
        <v>0</v>
      </c>
      <c r="AI9" s="162">
        <v>0</v>
      </c>
      <c r="AJ9" s="162">
        <v>0</v>
      </c>
      <c r="AK9" s="162">
        <v>0</v>
      </c>
      <c r="AL9" s="162"/>
      <c r="AM9" s="162"/>
      <c r="AN9" s="162"/>
      <c r="AO9" s="162"/>
      <c r="AP9" s="162"/>
      <c r="AQ9" s="162"/>
      <c r="AR9" s="162"/>
      <c r="AS9" s="150">
        <f t="shared" si="0"/>
        <v>0</v>
      </c>
      <c r="AT9" s="150">
        <f t="shared" si="1"/>
        <v>0</v>
      </c>
      <c r="AU9" s="150">
        <f t="shared" si="2"/>
        <v>0</v>
      </c>
      <c r="AV9" s="165">
        <f t="shared" si="3"/>
        <v>0</v>
      </c>
      <c r="AW9" s="106"/>
      <c r="AX9" s="106"/>
      <c r="AY9" s="78"/>
      <c r="AZ9" s="78"/>
      <c r="BA9" s="78"/>
    </row>
    <row r="10" spans="1:53" ht="18" hidden="1">
      <c r="A10" s="139">
        <v>8</v>
      </c>
      <c r="B10" s="131" t="s">
        <v>12</v>
      </c>
      <c r="C10" s="132" t="s">
        <v>125</v>
      </c>
      <c r="D10" s="132" t="s">
        <v>46</v>
      </c>
      <c r="E10" s="133">
        <v>0.1</v>
      </c>
      <c r="F10" s="134">
        <f>IFERROR(_xlfn.XLOOKUP(C10,Projection_!A:A,Projection_!Q:Q),0)</f>
        <v>0</v>
      </c>
      <c r="G10" s="162">
        <v>0</v>
      </c>
      <c r="H10" s="162">
        <v>0</v>
      </c>
      <c r="I10" s="162">
        <v>0</v>
      </c>
      <c r="J10" s="162">
        <v>0</v>
      </c>
      <c r="K10" s="162">
        <v>0</v>
      </c>
      <c r="L10" s="162">
        <v>0</v>
      </c>
      <c r="M10" s="162">
        <v>0</v>
      </c>
      <c r="N10" s="162">
        <v>0</v>
      </c>
      <c r="O10" s="162">
        <v>0</v>
      </c>
      <c r="P10" s="162">
        <v>0</v>
      </c>
      <c r="Q10" s="162">
        <v>0</v>
      </c>
      <c r="R10" s="162">
        <v>0</v>
      </c>
      <c r="S10" s="162">
        <v>0</v>
      </c>
      <c r="T10" s="162">
        <v>0</v>
      </c>
      <c r="U10" s="162">
        <v>0</v>
      </c>
      <c r="V10" s="162">
        <v>0</v>
      </c>
      <c r="W10" s="162">
        <v>0</v>
      </c>
      <c r="X10" s="162">
        <v>0</v>
      </c>
      <c r="Y10" s="162">
        <v>0</v>
      </c>
      <c r="Z10" s="162">
        <v>0</v>
      </c>
      <c r="AA10" s="162">
        <v>0</v>
      </c>
      <c r="AB10" s="162">
        <v>0</v>
      </c>
      <c r="AC10" s="162">
        <v>0</v>
      </c>
      <c r="AD10" s="162">
        <v>0</v>
      </c>
      <c r="AE10" s="162">
        <v>0</v>
      </c>
      <c r="AF10" s="162">
        <v>0</v>
      </c>
      <c r="AG10" s="162">
        <v>0</v>
      </c>
      <c r="AH10" s="162">
        <v>0</v>
      </c>
      <c r="AI10" s="162">
        <v>0</v>
      </c>
      <c r="AJ10" s="162">
        <v>0</v>
      </c>
      <c r="AK10" s="162">
        <v>0</v>
      </c>
      <c r="AL10" s="162"/>
      <c r="AM10" s="162"/>
      <c r="AN10" s="162"/>
      <c r="AO10" s="162"/>
      <c r="AP10" s="162"/>
      <c r="AQ10" s="162"/>
      <c r="AR10" s="162"/>
      <c r="AS10" s="150">
        <f t="shared" si="0"/>
        <v>0</v>
      </c>
      <c r="AT10" s="150">
        <f t="shared" si="1"/>
        <v>0</v>
      </c>
      <c r="AU10" s="150">
        <f t="shared" si="2"/>
        <v>0</v>
      </c>
      <c r="AV10" s="165">
        <f t="shared" si="3"/>
        <v>0</v>
      </c>
      <c r="AW10" s="106"/>
      <c r="AX10" s="106"/>
      <c r="AY10" s="78"/>
      <c r="AZ10" s="78"/>
      <c r="BA10" s="78"/>
    </row>
    <row r="11" spans="1:53" ht="18" hidden="1">
      <c r="A11" s="130">
        <v>9</v>
      </c>
      <c r="B11" s="131" t="s">
        <v>12</v>
      </c>
      <c r="C11" s="132" t="s">
        <v>81</v>
      </c>
      <c r="D11" s="132" t="s">
        <v>42</v>
      </c>
      <c r="E11" s="133">
        <v>1</v>
      </c>
      <c r="F11" s="134">
        <f>IFERROR(_xlfn.XLOOKUP(C11,Projection_!A:A,Projection_!Q:Q),0)</f>
        <v>0</v>
      </c>
      <c r="G11" s="162">
        <v>0</v>
      </c>
      <c r="H11" s="162">
        <v>0</v>
      </c>
      <c r="I11" s="162">
        <v>0</v>
      </c>
      <c r="J11" s="162">
        <v>0</v>
      </c>
      <c r="K11" s="162">
        <v>0</v>
      </c>
      <c r="L11" s="162">
        <v>0</v>
      </c>
      <c r="M11" s="162">
        <v>0</v>
      </c>
      <c r="N11" s="162">
        <v>0</v>
      </c>
      <c r="O11" s="162">
        <v>0</v>
      </c>
      <c r="P11" s="162">
        <v>0</v>
      </c>
      <c r="Q11" s="162">
        <v>0</v>
      </c>
      <c r="R11" s="162">
        <v>0</v>
      </c>
      <c r="S11" s="162">
        <v>0</v>
      </c>
      <c r="T11" s="162">
        <v>0</v>
      </c>
      <c r="U11" s="162">
        <v>0</v>
      </c>
      <c r="V11" s="162">
        <v>0</v>
      </c>
      <c r="W11" s="162">
        <v>0</v>
      </c>
      <c r="X11" s="162">
        <v>0</v>
      </c>
      <c r="Y11" s="162">
        <v>0</v>
      </c>
      <c r="Z11" s="162">
        <v>0</v>
      </c>
      <c r="AA11" s="162">
        <v>0</v>
      </c>
      <c r="AB11" s="162">
        <v>0</v>
      </c>
      <c r="AC11" s="162">
        <v>0</v>
      </c>
      <c r="AD11" s="162">
        <v>0</v>
      </c>
      <c r="AE11" s="162">
        <v>0</v>
      </c>
      <c r="AF11" s="162">
        <v>0</v>
      </c>
      <c r="AG11" s="162">
        <v>0</v>
      </c>
      <c r="AH11" s="162">
        <v>0</v>
      </c>
      <c r="AI11" s="162">
        <v>0</v>
      </c>
      <c r="AJ11" s="162">
        <v>0</v>
      </c>
      <c r="AK11" s="162">
        <v>0</v>
      </c>
      <c r="AL11" s="162"/>
      <c r="AM11" s="162"/>
      <c r="AN11" s="162"/>
      <c r="AO11" s="162"/>
      <c r="AP11" s="162"/>
      <c r="AQ11" s="162"/>
      <c r="AR11" s="162"/>
      <c r="AS11" s="150">
        <f t="shared" si="0"/>
        <v>0</v>
      </c>
      <c r="AT11" s="150">
        <f t="shared" si="1"/>
        <v>0</v>
      </c>
      <c r="AU11" s="150">
        <f t="shared" si="2"/>
        <v>0</v>
      </c>
      <c r="AV11" s="165">
        <f t="shared" si="3"/>
        <v>0</v>
      </c>
      <c r="AW11" s="106"/>
      <c r="AX11" s="106"/>
      <c r="AY11" s="78"/>
      <c r="AZ11" s="78"/>
      <c r="BA11" s="78"/>
    </row>
    <row r="12" spans="1:53" ht="18">
      <c r="A12" s="139">
        <v>10</v>
      </c>
      <c r="B12" s="131" t="s">
        <v>12</v>
      </c>
      <c r="C12" s="132" t="s">
        <v>75</v>
      </c>
      <c r="D12" s="132" t="s">
        <v>25</v>
      </c>
      <c r="E12" s="133">
        <v>0.1</v>
      </c>
      <c r="F12" s="134">
        <v>288</v>
      </c>
      <c r="G12" s="162">
        <v>0</v>
      </c>
      <c r="H12" s="162">
        <v>0</v>
      </c>
      <c r="I12" s="162">
        <v>0</v>
      </c>
      <c r="J12" s="162">
        <v>0</v>
      </c>
      <c r="K12" s="162">
        <v>0</v>
      </c>
      <c r="L12" s="162">
        <v>0</v>
      </c>
      <c r="M12" s="162">
        <v>0</v>
      </c>
      <c r="N12" s="162">
        <v>0</v>
      </c>
      <c r="O12" s="162">
        <v>0</v>
      </c>
      <c r="P12" s="162">
        <v>0</v>
      </c>
      <c r="Q12" s="162">
        <v>0</v>
      </c>
      <c r="R12" s="162">
        <v>0</v>
      </c>
      <c r="S12" s="162">
        <v>0</v>
      </c>
      <c r="T12" s="162">
        <v>0</v>
      </c>
      <c r="U12" s="162">
        <v>0</v>
      </c>
      <c r="V12" s="162">
        <v>0</v>
      </c>
      <c r="W12" s="162">
        <v>0</v>
      </c>
      <c r="X12" s="162">
        <v>0</v>
      </c>
      <c r="Y12" s="162">
        <v>0</v>
      </c>
      <c r="Z12" s="162">
        <v>0</v>
      </c>
      <c r="AA12" s="162">
        <v>0</v>
      </c>
      <c r="AB12" s="162">
        <v>0</v>
      </c>
      <c r="AC12" s="162">
        <v>0</v>
      </c>
      <c r="AD12" s="162">
        <v>0</v>
      </c>
      <c r="AE12" s="162">
        <v>0</v>
      </c>
      <c r="AF12" s="162">
        <v>0</v>
      </c>
      <c r="AG12" s="162">
        <v>0</v>
      </c>
      <c r="AH12" s="162">
        <v>0</v>
      </c>
      <c r="AI12" s="162">
        <v>0</v>
      </c>
      <c r="AJ12" s="162">
        <v>0</v>
      </c>
      <c r="AK12" s="162">
        <v>0</v>
      </c>
      <c r="AL12" s="162"/>
      <c r="AM12" s="162"/>
      <c r="AN12" s="162"/>
      <c r="AO12" s="162">
        <v>100</v>
      </c>
      <c r="AP12" s="162"/>
      <c r="AQ12" s="162"/>
      <c r="AR12" s="162"/>
      <c r="AS12" s="150">
        <f t="shared" si="0"/>
        <v>0</v>
      </c>
      <c r="AT12" s="150">
        <f t="shared" si="1"/>
        <v>0</v>
      </c>
      <c r="AU12" s="164">
        <f t="shared" si="2"/>
        <v>-288</v>
      </c>
      <c r="AV12" s="165">
        <f t="shared" si="3"/>
        <v>0</v>
      </c>
      <c r="AW12" s="106"/>
      <c r="AX12" s="106"/>
      <c r="AY12" s="78"/>
      <c r="AZ12" s="78"/>
      <c r="BA12" s="78"/>
    </row>
    <row r="13" spans="1:53" ht="18" hidden="1">
      <c r="A13" s="130">
        <v>11</v>
      </c>
      <c r="B13" s="131" t="s">
        <v>12</v>
      </c>
      <c r="C13" s="132" t="s">
        <v>144</v>
      </c>
      <c r="D13" s="132" t="s">
        <v>145</v>
      </c>
      <c r="E13" s="133">
        <v>1</v>
      </c>
      <c r="F13" s="134">
        <f>IFERROR(_xlfn.XLOOKUP(C13,Projection_!A:A,Projection_!Q:Q),0)</f>
        <v>0</v>
      </c>
      <c r="G13" s="162">
        <v>0</v>
      </c>
      <c r="H13" s="162">
        <v>0</v>
      </c>
      <c r="I13" s="162">
        <v>0</v>
      </c>
      <c r="J13" s="162">
        <v>0</v>
      </c>
      <c r="K13" s="162">
        <v>0</v>
      </c>
      <c r="L13" s="162">
        <v>0</v>
      </c>
      <c r="M13" s="162">
        <v>0</v>
      </c>
      <c r="N13" s="162">
        <v>0</v>
      </c>
      <c r="O13" s="162">
        <v>0</v>
      </c>
      <c r="P13" s="162">
        <v>0</v>
      </c>
      <c r="Q13" s="162">
        <v>0</v>
      </c>
      <c r="R13" s="162">
        <v>0</v>
      </c>
      <c r="S13" s="162">
        <v>0</v>
      </c>
      <c r="T13" s="162">
        <v>0</v>
      </c>
      <c r="U13" s="162">
        <v>0</v>
      </c>
      <c r="V13" s="162">
        <v>0</v>
      </c>
      <c r="W13" s="162">
        <v>0</v>
      </c>
      <c r="X13" s="162">
        <v>0</v>
      </c>
      <c r="Y13" s="162">
        <v>0</v>
      </c>
      <c r="Z13" s="162">
        <v>0</v>
      </c>
      <c r="AA13" s="162">
        <v>0</v>
      </c>
      <c r="AB13" s="162">
        <v>0</v>
      </c>
      <c r="AC13" s="162">
        <v>0</v>
      </c>
      <c r="AD13" s="162">
        <v>0</v>
      </c>
      <c r="AE13" s="162">
        <v>0</v>
      </c>
      <c r="AF13" s="162">
        <v>0</v>
      </c>
      <c r="AG13" s="162">
        <v>0</v>
      </c>
      <c r="AH13" s="162">
        <v>0</v>
      </c>
      <c r="AI13" s="162">
        <v>0</v>
      </c>
      <c r="AJ13" s="162">
        <v>0</v>
      </c>
      <c r="AK13" s="162">
        <v>0</v>
      </c>
      <c r="AL13" s="162"/>
      <c r="AM13" s="162"/>
      <c r="AN13" s="162"/>
      <c r="AO13" s="162"/>
      <c r="AP13" s="162"/>
      <c r="AQ13" s="162"/>
      <c r="AR13" s="162"/>
      <c r="AS13" s="150">
        <f t="shared" si="0"/>
        <v>0</v>
      </c>
      <c r="AT13" s="150">
        <f t="shared" si="1"/>
        <v>0</v>
      </c>
      <c r="AU13" s="150">
        <f t="shared" si="2"/>
        <v>0</v>
      </c>
      <c r="AV13" s="165">
        <f t="shared" si="3"/>
        <v>0</v>
      </c>
      <c r="AW13" s="106"/>
      <c r="AX13" s="106"/>
      <c r="AY13" s="78"/>
      <c r="AZ13" s="78"/>
      <c r="BA13" s="78"/>
    </row>
    <row r="14" spans="1:53" ht="18" hidden="1">
      <c r="A14" s="139">
        <v>12</v>
      </c>
      <c r="B14" s="131" t="s">
        <v>12</v>
      </c>
      <c r="C14" s="132" t="s">
        <v>68</v>
      </c>
      <c r="D14" s="132" t="s">
        <v>13</v>
      </c>
      <c r="E14" s="133">
        <v>0.2</v>
      </c>
      <c r="F14" s="134">
        <f>IFERROR(_xlfn.XLOOKUP(C14,Projection_!A:A,Projection_!Q:Q),0)</f>
        <v>0</v>
      </c>
      <c r="G14" s="162">
        <v>0</v>
      </c>
      <c r="H14" s="162">
        <v>0</v>
      </c>
      <c r="I14" s="162">
        <v>0</v>
      </c>
      <c r="J14" s="162">
        <v>0</v>
      </c>
      <c r="K14" s="162">
        <v>0</v>
      </c>
      <c r="L14" s="162">
        <v>0</v>
      </c>
      <c r="M14" s="162">
        <v>0</v>
      </c>
      <c r="N14" s="162">
        <v>0</v>
      </c>
      <c r="O14" s="162">
        <v>0</v>
      </c>
      <c r="P14" s="162">
        <v>0</v>
      </c>
      <c r="Q14" s="162">
        <v>0</v>
      </c>
      <c r="R14" s="162">
        <v>0</v>
      </c>
      <c r="S14" s="162">
        <v>0</v>
      </c>
      <c r="T14" s="162">
        <v>0</v>
      </c>
      <c r="U14" s="162">
        <v>0</v>
      </c>
      <c r="V14" s="162">
        <v>0</v>
      </c>
      <c r="W14" s="162">
        <v>0</v>
      </c>
      <c r="X14" s="162">
        <v>0</v>
      </c>
      <c r="Y14" s="162">
        <v>0</v>
      </c>
      <c r="Z14" s="162">
        <v>0</v>
      </c>
      <c r="AA14" s="162">
        <v>0</v>
      </c>
      <c r="AB14" s="162">
        <v>0</v>
      </c>
      <c r="AC14" s="162">
        <v>0</v>
      </c>
      <c r="AD14" s="162">
        <v>0</v>
      </c>
      <c r="AE14" s="162">
        <v>0</v>
      </c>
      <c r="AF14" s="162">
        <v>0</v>
      </c>
      <c r="AG14" s="162">
        <v>0</v>
      </c>
      <c r="AH14" s="162">
        <v>0</v>
      </c>
      <c r="AI14" s="162">
        <v>0</v>
      </c>
      <c r="AJ14" s="162">
        <v>0</v>
      </c>
      <c r="AK14" s="162">
        <v>0</v>
      </c>
      <c r="AL14" s="162"/>
      <c r="AM14" s="162"/>
      <c r="AN14" s="162"/>
      <c r="AO14" s="162"/>
      <c r="AP14" s="162"/>
      <c r="AQ14" s="162"/>
      <c r="AR14" s="162"/>
      <c r="AS14" s="150">
        <f t="shared" si="0"/>
        <v>0</v>
      </c>
      <c r="AT14" s="150">
        <f t="shared" si="1"/>
        <v>0</v>
      </c>
      <c r="AU14" s="150">
        <f t="shared" si="2"/>
        <v>0</v>
      </c>
      <c r="AV14" s="165">
        <f t="shared" si="3"/>
        <v>0</v>
      </c>
      <c r="AW14" s="106"/>
      <c r="AX14" s="106"/>
      <c r="AY14" s="78"/>
      <c r="AZ14" s="78"/>
      <c r="BA14" s="78"/>
    </row>
    <row r="15" spans="1:53" ht="18" hidden="1">
      <c r="A15" s="130">
        <v>13</v>
      </c>
      <c r="B15" s="131" t="s">
        <v>12</v>
      </c>
      <c r="C15" s="132" t="s">
        <v>78</v>
      </c>
      <c r="D15" s="132" t="s">
        <v>35</v>
      </c>
      <c r="E15" s="133">
        <v>0.2</v>
      </c>
      <c r="F15" s="134">
        <f>IFERROR(_xlfn.XLOOKUP(C15,Projection_!A:A,Projection_!Q:Q),0)</f>
        <v>0</v>
      </c>
      <c r="G15" s="162">
        <v>0</v>
      </c>
      <c r="H15" s="162">
        <v>0</v>
      </c>
      <c r="I15" s="162">
        <v>0</v>
      </c>
      <c r="J15" s="162">
        <v>0</v>
      </c>
      <c r="K15" s="162">
        <v>0</v>
      </c>
      <c r="L15" s="162">
        <v>0</v>
      </c>
      <c r="M15" s="162">
        <v>0</v>
      </c>
      <c r="N15" s="162">
        <v>0</v>
      </c>
      <c r="O15" s="162">
        <v>0</v>
      </c>
      <c r="P15" s="162">
        <v>0</v>
      </c>
      <c r="Q15" s="162">
        <v>0</v>
      </c>
      <c r="R15" s="162">
        <v>0</v>
      </c>
      <c r="S15" s="162">
        <v>0</v>
      </c>
      <c r="T15" s="162">
        <v>0</v>
      </c>
      <c r="U15" s="162">
        <v>0</v>
      </c>
      <c r="V15" s="162">
        <v>0</v>
      </c>
      <c r="W15" s="162">
        <v>0</v>
      </c>
      <c r="X15" s="162">
        <v>0</v>
      </c>
      <c r="Y15" s="162">
        <v>0</v>
      </c>
      <c r="Z15" s="162">
        <v>0</v>
      </c>
      <c r="AA15" s="162">
        <v>0</v>
      </c>
      <c r="AB15" s="162">
        <v>0</v>
      </c>
      <c r="AC15" s="162">
        <v>0</v>
      </c>
      <c r="AD15" s="162">
        <v>0</v>
      </c>
      <c r="AE15" s="162">
        <v>0</v>
      </c>
      <c r="AF15" s="162">
        <v>0</v>
      </c>
      <c r="AG15" s="162">
        <v>0</v>
      </c>
      <c r="AH15" s="162">
        <v>0</v>
      </c>
      <c r="AI15" s="162">
        <v>0</v>
      </c>
      <c r="AJ15" s="162">
        <v>0</v>
      </c>
      <c r="AK15" s="162">
        <v>0</v>
      </c>
      <c r="AL15" s="162"/>
      <c r="AM15" s="162"/>
      <c r="AN15" s="162"/>
      <c r="AO15" s="162"/>
      <c r="AP15" s="162"/>
      <c r="AQ15" s="162"/>
      <c r="AR15" s="162"/>
      <c r="AS15" s="150">
        <f t="shared" si="0"/>
        <v>0</v>
      </c>
      <c r="AT15" s="150">
        <f t="shared" si="1"/>
        <v>0</v>
      </c>
      <c r="AU15" s="150">
        <f t="shared" si="2"/>
        <v>0</v>
      </c>
      <c r="AV15" s="165">
        <f t="shared" si="3"/>
        <v>0</v>
      </c>
      <c r="AW15" s="106"/>
      <c r="AX15" s="106"/>
      <c r="AY15" s="78"/>
      <c r="AZ15" s="78"/>
      <c r="BA15" s="78"/>
    </row>
    <row r="16" spans="1:53" ht="18" hidden="1">
      <c r="A16" s="139">
        <v>14</v>
      </c>
      <c r="B16" s="131" t="s">
        <v>12</v>
      </c>
      <c r="C16" s="132" t="s">
        <v>71</v>
      </c>
      <c r="D16" s="132" t="s">
        <v>21</v>
      </c>
      <c r="E16" s="133">
        <v>0.2</v>
      </c>
      <c r="F16" s="134">
        <f>IFERROR(_xlfn.XLOOKUP(C16,Projection_!A:A,Projection_!Q:Q),0)</f>
        <v>0</v>
      </c>
      <c r="G16" s="162">
        <v>0</v>
      </c>
      <c r="H16" s="162">
        <v>0</v>
      </c>
      <c r="I16" s="162">
        <v>0</v>
      </c>
      <c r="J16" s="162">
        <v>0</v>
      </c>
      <c r="K16" s="162">
        <v>0</v>
      </c>
      <c r="L16" s="162">
        <v>0</v>
      </c>
      <c r="M16" s="162">
        <v>0</v>
      </c>
      <c r="N16" s="162">
        <v>0</v>
      </c>
      <c r="O16" s="162">
        <v>0</v>
      </c>
      <c r="P16" s="162">
        <v>0</v>
      </c>
      <c r="Q16" s="162">
        <v>0</v>
      </c>
      <c r="R16" s="162">
        <v>0</v>
      </c>
      <c r="S16" s="162">
        <v>0</v>
      </c>
      <c r="T16" s="162">
        <v>0</v>
      </c>
      <c r="U16" s="162">
        <v>0</v>
      </c>
      <c r="V16" s="162">
        <v>0</v>
      </c>
      <c r="W16" s="162">
        <v>0</v>
      </c>
      <c r="X16" s="162">
        <v>0</v>
      </c>
      <c r="Y16" s="162">
        <v>0</v>
      </c>
      <c r="Z16" s="162">
        <v>0</v>
      </c>
      <c r="AA16" s="162">
        <v>0</v>
      </c>
      <c r="AB16" s="162">
        <v>0</v>
      </c>
      <c r="AC16" s="162">
        <v>0</v>
      </c>
      <c r="AD16" s="162">
        <v>0</v>
      </c>
      <c r="AE16" s="162">
        <v>0</v>
      </c>
      <c r="AF16" s="162">
        <v>0</v>
      </c>
      <c r="AG16" s="162">
        <v>0</v>
      </c>
      <c r="AH16" s="162">
        <v>0</v>
      </c>
      <c r="AI16" s="162">
        <v>0</v>
      </c>
      <c r="AJ16" s="162">
        <v>0</v>
      </c>
      <c r="AK16" s="162">
        <v>0</v>
      </c>
      <c r="AL16" s="162"/>
      <c r="AM16" s="162"/>
      <c r="AN16" s="162"/>
      <c r="AO16" s="162"/>
      <c r="AP16" s="162"/>
      <c r="AQ16" s="162"/>
      <c r="AR16" s="162"/>
      <c r="AS16" s="150">
        <f t="shared" si="0"/>
        <v>0</v>
      </c>
      <c r="AT16" s="150">
        <f t="shared" si="1"/>
        <v>0</v>
      </c>
      <c r="AU16" s="150">
        <f t="shared" si="2"/>
        <v>0</v>
      </c>
      <c r="AV16" s="165">
        <f t="shared" si="3"/>
        <v>0</v>
      </c>
      <c r="AW16" s="106"/>
      <c r="AX16" s="106"/>
      <c r="AY16" s="78"/>
      <c r="AZ16" s="78"/>
      <c r="BA16" s="78"/>
    </row>
    <row r="17" spans="1:53" ht="18" hidden="1">
      <c r="A17" s="130">
        <v>15</v>
      </c>
      <c r="B17" s="131" t="s">
        <v>12</v>
      </c>
      <c r="C17" s="132" t="s">
        <v>72</v>
      </c>
      <c r="D17" s="132" t="s">
        <v>22</v>
      </c>
      <c r="E17" s="133">
        <v>0.2</v>
      </c>
      <c r="F17" s="134">
        <f>IFERROR(_xlfn.XLOOKUP(C17,Projection_!A:A,Projection_!Q:Q),0)</f>
        <v>0</v>
      </c>
      <c r="G17" s="162">
        <v>0</v>
      </c>
      <c r="H17" s="162">
        <v>0</v>
      </c>
      <c r="I17" s="162">
        <v>0</v>
      </c>
      <c r="J17" s="162">
        <v>0</v>
      </c>
      <c r="K17" s="162">
        <v>0</v>
      </c>
      <c r="L17" s="162">
        <v>0</v>
      </c>
      <c r="M17" s="162">
        <v>0</v>
      </c>
      <c r="N17" s="162">
        <v>0</v>
      </c>
      <c r="O17" s="162">
        <v>0</v>
      </c>
      <c r="P17" s="162">
        <v>0</v>
      </c>
      <c r="Q17" s="162">
        <v>0</v>
      </c>
      <c r="R17" s="162">
        <v>0</v>
      </c>
      <c r="S17" s="162">
        <v>0</v>
      </c>
      <c r="T17" s="162">
        <v>0</v>
      </c>
      <c r="U17" s="162">
        <v>0</v>
      </c>
      <c r="V17" s="162">
        <v>0</v>
      </c>
      <c r="W17" s="162">
        <v>0</v>
      </c>
      <c r="X17" s="162">
        <v>0</v>
      </c>
      <c r="Y17" s="162">
        <v>0</v>
      </c>
      <c r="Z17" s="162">
        <v>0</v>
      </c>
      <c r="AA17" s="162">
        <v>0</v>
      </c>
      <c r="AB17" s="162">
        <v>0</v>
      </c>
      <c r="AC17" s="162">
        <v>0</v>
      </c>
      <c r="AD17" s="162">
        <v>0</v>
      </c>
      <c r="AE17" s="162">
        <v>0</v>
      </c>
      <c r="AF17" s="162">
        <v>0</v>
      </c>
      <c r="AG17" s="162">
        <v>0</v>
      </c>
      <c r="AH17" s="162">
        <v>0</v>
      </c>
      <c r="AI17" s="162">
        <v>0</v>
      </c>
      <c r="AJ17" s="162">
        <v>0</v>
      </c>
      <c r="AK17" s="162">
        <v>0</v>
      </c>
      <c r="AL17" s="162"/>
      <c r="AM17" s="162"/>
      <c r="AN17" s="162"/>
      <c r="AO17" s="162"/>
      <c r="AP17" s="162"/>
      <c r="AQ17" s="162"/>
      <c r="AR17" s="162"/>
      <c r="AS17" s="150">
        <f t="shared" si="0"/>
        <v>0</v>
      </c>
      <c r="AT17" s="150">
        <f t="shared" si="1"/>
        <v>0</v>
      </c>
      <c r="AU17" s="150">
        <f t="shared" si="2"/>
        <v>0</v>
      </c>
      <c r="AV17" s="165">
        <f t="shared" si="3"/>
        <v>0</v>
      </c>
      <c r="AW17" s="106"/>
      <c r="AX17" s="106"/>
      <c r="AY17" s="78"/>
      <c r="AZ17" s="78"/>
      <c r="BA17" s="78"/>
    </row>
    <row r="18" spans="1:53" ht="18" hidden="1">
      <c r="A18" s="139">
        <v>16</v>
      </c>
      <c r="B18" s="131" t="s">
        <v>12</v>
      </c>
      <c r="C18" s="132" t="s">
        <v>70</v>
      </c>
      <c r="D18" s="132" t="s">
        <v>14</v>
      </c>
      <c r="E18" s="133">
        <v>0.2</v>
      </c>
      <c r="F18" s="134">
        <f>IFERROR(_xlfn.XLOOKUP(C18,Projection_!A:A,Projection_!Q:Q),0)</f>
        <v>0</v>
      </c>
      <c r="G18" s="162">
        <v>0</v>
      </c>
      <c r="H18" s="162">
        <v>0</v>
      </c>
      <c r="I18" s="162">
        <v>0</v>
      </c>
      <c r="J18" s="162">
        <v>0</v>
      </c>
      <c r="K18" s="162">
        <v>0</v>
      </c>
      <c r="L18" s="162">
        <v>0</v>
      </c>
      <c r="M18" s="162">
        <v>0</v>
      </c>
      <c r="N18" s="162">
        <v>0</v>
      </c>
      <c r="O18" s="162">
        <v>0</v>
      </c>
      <c r="P18" s="162">
        <v>0</v>
      </c>
      <c r="Q18" s="162">
        <v>0</v>
      </c>
      <c r="R18" s="162">
        <v>0</v>
      </c>
      <c r="S18" s="162">
        <v>0</v>
      </c>
      <c r="T18" s="162">
        <v>0</v>
      </c>
      <c r="U18" s="162">
        <v>0</v>
      </c>
      <c r="V18" s="162">
        <v>0</v>
      </c>
      <c r="W18" s="162">
        <v>0</v>
      </c>
      <c r="X18" s="162">
        <v>0</v>
      </c>
      <c r="Y18" s="162">
        <v>0</v>
      </c>
      <c r="Z18" s="162">
        <v>0</v>
      </c>
      <c r="AA18" s="162">
        <v>0</v>
      </c>
      <c r="AB18" s="162">
        <v>0</v>
      </c>
      <c r="AC18" s="162">
        <v>0</v>
      </c>
      <c r="AD18" s="162">
        <v>0</v>
      </c>
      <c r="AE18" s="162">
        <v>0</v>
      </c>
      <c r="AF18" s="162">
        <v>0</v>
      </c>
      <c r="AG18" s="162">
        <v>0</v>
      </c>
      <c r="AH18" s="162">
        <v>0</v>
      </c>
      <c r="AI18" s="162">
        <v>0</v>
      </c>
      <c r="AJ18" s="162">
        <v>0</v>
      </c>
      <c r="AK18" s="162">
        <v>0</v>
      </c>
      <c r="AL18" s="162"/>
      <c r="AM18" s="162"/>
      <c r="AN18" s="162"/>
      <c r="AO18" s="162"/>
      <c r="AP18" s="162"/>
      <c r="AQ18" s="162"/>
      <c r="AR18" s="162"/>
      <c r="AS18" s="150">
        <f t="shared" si="0"/>
        <v>0</v>
      </c>
      <c r="AT18" s="150">
        <f t="shared" si="1"/>
        <v>0</v>
      </c>
      <c r="AU18" s="150">
        <f t="shared" si="2"/>
        <v>0</v>
      </c>
      <c r="AV18" s="165">
        <f t="shared" si="3"/>
        <v>0</v>
      </c>
      <c r="AW18" s="106"/>
      <c r="AX18" s="106"/>
      <c r="AY18" s="78"/>
      <c r="AZ18" s="78"/>
      <c r="BA18" s="78"/>
    </row>
    <row r="19" spans="1:53" ht="18" hidden="1">
      <c r="A19" s="130">
        <v>17</v>
      </c>
      <c r="B19" s="131" t="s">
        <v>12</v>
      </c>
      <c r="C19" s="132" t="s">
        <v>67</v>
      </c>
      <c r="D19" s="132" t="s">
        <v>9</v>
      </c>
      <c r="E19" s="133">
        <v>0.2</v>
      </c>
      <c r="F19" s="134">
        <f>IFERROR(_xlfn.XLOOKUP(C19,Projection_!A:A,Projection_!Q:Q),0)</f>
        <v>0</v>
      </c>
      <c r="G19" s="162">
        <v>0</v>
      </c>
      <c r="H19" s="162">
        <v>0</v>
      </c>
      <c r="I19" s="162">
        <v>0</v>
      </c>
      <c r="J19" s="162">
        <v>0</v>
      </c>
      <c r="K19" s="162">
        <v>0</v>
      </c>
      <c r="L19" s="162">
        <v>0</v>
      </c>
      <c r="M19" s="162">
        <v>0</v>
      </c>
      <c r="N19" s="162">
        <v>0</v>
      </c>
      <c r="O19" s="162">
        <v>0</v>
      </c>
      <c r="P19" s="162">
        <v>0</v>
      </c>
      <c r="Q19" s="162">
        <v>0</v>
      </c>
      <c r="R19" s="162">
        <v>0</v>
      </c>
      <c r="S19" s="162">
        <v>0</v>
      </c>
      <c r="T19" s="162">
        <v>0</v>
      </c>
      <c r="U19" s="162">
        <v>0</v>
      </c>
      <c r="V19" s="162">
        <v>0</v>
      </c>
      <c r="W19" s="162">
        <v>0</v>
      </c>
      <c r="X19" s="162">
        <v>0</v>
      </c>
      <c r="Y19" s="162">
        <v>0</v>
      </c>
      <c r="Z19" s="162">
        <v>0</v>
      </c>
      <c r="AA19" s="162">
        <v>0</v>
      </c>
      <c r="AB19" s="162">
        <v>0</v>
      </c>
      <c r="AC19" s="162">
        <v>0</v>
      </c>
      <c r="AD19" s="162">
        <v>0</v>
      </c>
      <c r="AE19" s="162">
        <v>0</v>
      </c>
      <c r="AF19" s="162">
        <v>0</v>
      </c>
      <c r="AG19" s="162">
        <v>0</v>
      </c>
      <c r="AH19" s="162">
        <v>0</v>
      </c>
      <c r="AI19" s="162">
        <v>0</v>
      </c>
      <c r="AJ19" s="162">
        <v>0</v>
      </c>
      <c r="AK19" s="162">
        <v>0</v>
      </c>
      <c r="AL19" s="162"/>
      <c r="AM19" s="162"/>
      <c r="AN19" s="162"/>
      <c r="AO19" s="162"/>
      <c r="AP19" s="162"/>
      <c r="AQ19" s="162"/>
      <c r="AR19" s="162"/>
      <c r="AS19" s="150">
        <f t="shared" si="0"/>
        <v>0</v>
      </c>
      <c r="AT19" s="150">
        <f t="shared" si="1"/>
        <v>0</v>
      </c>
      <c r="AU19" s="150">
        <f t="shared" si="2"/>
        <v>0</v>
      </c>
      <c r="AV19" s="165">
        <f t="shared" si="3"/>
        <v>0</v>
      </c>
      <c r="AW19" s="106"/>
      <c r="AX19" s="114"/>
      <c r="AY19" s="168"/>
      <c r="AZ19" s="168"/>
      <c r="BA19" s="168"/>
    </row>
    <row r="20" spans="1:53" ht="18" hidden="1">
      <c r="A20" s="139">
        <v>18</v>
      </c>
      <c r="B20" s="131" t="s">
        <v>12</v>
      </c>
      <c r="C20" s="132" t="s">
        <v>146</v>
      </c>
      <c r="D20" s="132" t="s">
        <v>147</v>
      </c>
      <c r="E20" s="133"/>
      <c r="F20" s="134">
        <f>IFERROR(_xlfn.XLOOKUP(C20,Projection_!A:A,Projection_!Q:Q),0)</f>
        <v>0</v>
      </c>
      <c r="G20" s="162">
        <v>0</v>
      </c>
      <c r="H20" s="162">
        <v>0</v>
      </c>
      <c r="I20" s="162">
        <v>0</v>
      </c>
      <c r="J20" s="162">
        <v>0</v>
      </c>
      <c r="K20" s="162">
        <v>0</v>
      </c>
      <c r="L20" s="162">
        <v>0</v>
      </c>
      <c r="M20" s="162">
        <v>0</v>
      </c>
      <c r="N20" s="162">
        <v>0</v>
      </c>
      <c r="O20" s="162">
        <v>0</v>
      </c>
      <c r="P20" s="162">
        <v>0</v>
      </c>
      <c r="Q20" s="162">
        <v>0</v>
      </c>
      <c r="R20" s="162">
        <v>0</v>
      </c>
      <c r="S20" s="162">
        <v>0</v>
      </c>
      <c r="T20" s="162">
        <v>0</v>
      </c>
      <c r="U20" s="162">
        <v>0</v>
      </c>
      <c r="V20" s="162">
        <v>0</v>
      </c>
      <c r="W20" s="162">
        <v>0</v>
      </c>
      <c r="X20" s="162">
        <v>0</v>
      </c>
      <c r="Y20" s="162">
        <v>0</v>
      </c>
      <c r="Z20" s="162">
        <v>0</v>
      </c>
      <c r="AA20" s="162">
        <v>0</v>
      </c>
      <c r="AB20" s="162">
        <v>0</v>
      </c>
      <c r="AC20" s="162">
        <v>0</v>
      </c>
      <c r="AD20" s="162">
        <v>0</v>
      </c>
      <c r="AE20" s="162">
        <v>0</v>
      </c>
      <c r="AF20" s="162">
        <v>0</v>
      </c>
      <c r="AG20" s="162">
        <v>0</v>
      </c>
      <c r="AH20" s="162">
        <v>0</v>
      </c>
      <c r="AI20" s="162">
        <v>0</v>
      </c>
      <c r="AJ20" s="162">
        <v>0</v>
      </c>
      <c r="AK20" s="162">
        <v>0</v>
      </c>
      <c r="AL20" s="162"/>
      <c r="AM20" s="162"/>
      <c r="AN20" s="162"/>
      <c r="AO20" s="162"/>
      <c r="AP20" s="162"/>
      <c r="AQ20" s="162"/>
      <c r="AR20" s="162"/>
      <c r="AS20" s="150">
        <f t="shared" si="0"/>
        <v>0</v>
      </c>
      <c r="AT20" s="150">
        <f t="shared" si="1"/>
        <v>0</v>
      </c>
      <c r="AU20" s="150">
        <f t="shared" si="2"/>
        <v>0</v>
      </c>
      <c r="AV20" s="165">
        <f t="shared" si="3"/>
        <v>0</v>
      </c>
      <c r="AW20" s="106"/>
      <c r="AX20" s="114"/>
      <c r="AY20" s="168"/>
      <c r="AZ20" s="168"/>
      <c r="BA20" s="168"/>
    </row>
    <row r="21" spans="1:53" ht="18" hidden="1">
      <c r="A21" s="130">
        <v>19</v>
      </c>
      <c r="B21" s="141" t="s">
        <v>12</v>
      </c>
      <c r="C21" s="142" t="s">
        <v>77</v>
      </c>
      <c r="D21" s="143" t="s">
        <v>140</v>
      </c>
      <c r="E21" s="152"/>
      <c r="F21" s="134">
        <f>IFERROR(_xlfn.XLOOKUP(C21,Projection_!A:A,Projection_!Q:Q),0)</f>
        <v>0</v>
      </c>
      <c r="G21" s="162">
        <v>0</v>
      </c>
      <c r="H21" s="162">
        <v>0</v>
      </c>
      <c r="I21" s="162">
        <v>0</v>
      </c>
      <c r="J21" s="162">
        <v>0</v>
      </c>
      <c r="K21" s="162">
        <v>0</v>
      </c>
      <c r="L21" s="162">
        <v>0</v>
      </c>
      <c r="M21" s="162">
        <v>0</v>
      </c>
      <c r="N21" s="162">
        <v>0</v>
      </c>
      <c r="O21" s="162">
        <v>0</v>
      </c>
      <c r="P21" s="162">
        <v>0</v>
      </c>
      <c r="Q21" s="162">
        <v>0</v>
      </c>
      <c r="R21" s="162">
        <v>0</v>
      </c>
      <c r="S21" s="162">
        <v>0</v>
      </c>
      <c r="T21" s="162">
        <v>0</v>
      </c>
      <c r="U21" s="162">
        <v>0</v>
      </c>
      <c r="V21" s="162">
        <v>0</v>
      </c>
      <c r="W21" s="162">
        <v>0</v>
      </c>
      <c r="X21" s="162">
        <v>0</v>
      </c>
      <c r="Y21" s="162">
        <v>0</v>
      </c>
      <c r="Z21" s="162">
        <v>0</v>
      </c>
      <c r="AA21" s="162">
        <v>0</v>
      </c>
      <c r="AB21" s="162">
        <v>0</v>
      </c>
      <c r="AC21" s="162">
        <v>0</v>
      </c>
      <c r="AD21" s="162">
        <v>0</v>
      </c>
      <c r="AE21" s="162">
        <v>0</v>
      </c>
      <c r="AF21" s="162">
        <v>0</v>
      </c>
      <c r="AG21" s="162">
        <v>0</v>
      </c>
      <c r="AH21" s="162">
        <v>0</v>
      </c>
      <c r="AI21" s="162">
        <v>0</v>
      </c>
      <c r="AJ21" s="162">
        <v>0</v>
      </c>
      <c r="AK21" s="162">
        <v>0</v>
      </c>
      <c r="AL21" s="162"/>
      <c r="AM21" s="162"/>
      <c r="AN21" s="162"/>
      <c r="AO21" s="162"/>
      <c r="AP21" s="162"/>
      <c r="AQ21" s="162"/>
      <c r="AR21" s="162"/>
      <c r="AS21" s="150">
        <f t="shared" si="0"/>
        <v>0</v>
      </c>
      <c r="AT21" s="150">
        <f t="shared" si="1"/>
        <v>0</v>
      </c>
      <c r="AU21" s="150">
        <f t="shared" si="2"/>
        <v>0</v>
      </c>
      <c r="AV21" s="165">
        <f t="shared" si="3"/>
        <v>0</v>
      </c>
      <c r="AW21" s="106"/>
      <c r="AX21" s="106"/>
      <c r="AY21" s="78"/>
      <c r="AZ21" s="78"/>
      <c r="BA21" s="78"/>
    </row>
    <row r="22" spans="1:53" ht="30" hidden="1" customHeight="1">
      <c r="A22" s="179" t="s">
        <v>127</v>
      </c>
      <c r="B22" s="180"/>
      <c r="C22" s="180"/>
      <c r="D22" s="181"/>
      <c r="E22" s="152"/>
      <c r="F22" s="118">
        <f t="shared" ref="F22:AK22" si="4">SUM(F3:F21)</f>
        <v>288</v>
      </c>
      <c r="G22" s="118">
        <f t="shared" si="4"/>
        <v>0</v>
      </c>
      <c r="H22" s="118">
        <f t="shared" si="4"/>
        <v>0</v>
      </c>
      <c r="I22" s="118">
        <f t="shared" si="4"/>
        <v>0</v>
      </c>
      <c r="J22" s="118">
        <f t="shared" si="4"/>
        <v>0</v>
      </c>
      <c r="K22" s="118">
        <f t="shared" si="4"/>
        <v>0</v>
      </c>
      <c r="L22" s="118">
        <f t="shared" si="4"/>
        <v>0</v>
      </c>
      <c r="M22" s="118">
        <f t="shared" si="4"/>
        <v>0</v>
      </c>
      <c r="N22" s="118">
        <f t="shared" si="4"/>
        <v>0</v>
      </c>
      <c r="O22" s="118">
        <f t="shared" si="4"/>
        <v>0</v>
      </c>
      <c r="P22" s="118">
        <f t="shared" si="4"/>
        <v>0</v>
      </c>
      <c r="Q22" s="118">
        <f t="shared" si="4"/>
        <v>0</v>
      </c>
      <c r="R22" s="118">
        <f t="shared" si="4"/>
        <v>0</v>
      </c>
      <c r="S22" s="118">
        <f t="shared" si="4"/>
        <v>0</v>
      </c>
      <c r="T22" s="118">
        <f t="shared" si="4"/>
        <v>0</v>
      </c>
      <c r="U22" s="118">
        <f t="shared" si="4"/>
        <v>0</v>
      </c>
      <c r="V22" s="118">
        <f t="shared" si="4"/>
        <v>0</v>
      </c>
      <c r="W22" s="118">
        <f t="shared" si="4"/>
        <v>0</v>
      </c>
      <c r="X22" s="118">
        <f t="shared" si="4"/>
        <v>0</v>
      </c>
      <c r="Y22" s="118">
        <f t="shared" si="4"/>
        <v>0</v>
      </c>
      <c r="Z22" s="118">
        <f t="shared" si="4"/>
        <v>0</v>
      </c>
      <c r="AA22" s="118">
        <f t="shared" si="4"/>
        <v>0</v>
      </c>
      <c r="AB22" s="118">
        <f t="shared" si="4"/>
        <v>0</v>
      </c>
      <c r="AC22" s="118">
        <f t="shared" si="4"/>
        <v>0</v>
      </c>
      <c r="AD22" s="118">
        <f t="shared" si="4"/>
        <v>0</v>
      </c>
      <c r="AE22" s="118">
        <f t="shared" si="4"/>
        <v>0</v>
      </c>
      <c r="AF22" s="118">
        <f t="shared" si="4"/>
        <v>0</v>
      </c>
      <c r="AG22" s="118">
        <f t="shared" si="4"/>
        <v>0</v>
      </c>
      <c r="AH22" s="118">
        <f t="shared" si="4"/>
        <v>0</v>
      </c>
      <c r="AI22" s="118">
        <f t="shared" si="4"/>
        <v>0</v>
      </c>
      <c r="AJ22" s="118">
        <f t="shared" si="4"/>
        <v>0</v>
      </c>
      <c r="AK22" s="118">
        <f t="shared" si="4"/>
        <v>0</v>
      </c>
      <c r="AL22" s="118"/>
      <c r="AM22" s="118"/>
      <c r="AN22" s="118"/>
      <c r="AO22" s="118"/>
      <c r="AP22" s="118"/>
      <c r="AQ22" s="118"/>
      <c r="AR22" s="118"/>
      <c r="AS22" s="118">
        <f>SUM(AS3:AS21)</f>
        <v>0</v>
      </c>
      <c r="AT22" s="118">
        <f>SUM(AT3:AT21)</f>
        <v>0</v>
      </c>
      <c r="AU22" s="118">
        <f>SUM(AU3:AU21)</f>
        <v>-288</v>
      </c>
      <c r="AV22" s="146">
        <f t="shared" si="3"/>
        <v>0</v>
      </c>
      <c r="AW22" s="106"/>
      <c r="AX22" s="106"/>
      <c r="AY22" s="78"/>
      <c r="AZ22" s="78"/>
      <c r="BA22" s="78"/>
    </row>
    <row r="23" spans="1:53" ht="22.5" customHeight="1">
      <c r="A23" s="78"/>
      <c r="B23" s="79"/>
      <c r="C23" s="79"/>
      <c r="D23" s="79"/>
      <c r="E23" s="79"/>
      <c r="F23" s="79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AH23" s="78"/>
      <c r="AI23" s="78"/>
      <c r="AJ23" s="78"/>
      <c r="AK23" s="78"/>
      <c r="AL23" s="78"/>
      <c r="AM23" s="78"/>
      <c r="AN23" s="78"/>
      <c r="AO23" s="78"/>
      <c r="AP23" s="78"/>
      <c r="AQ23" s="78"/>
      <c r="AR23" s="78"/>
      <c r="AS23" s="79"/>
      <c r="AT23" s="78"/>
      <c r="AU23" s="79"/>
      <c r="AV23" s="80"/>
      <c r="AW23" s="78"/>
      <c r="AX23" s="78"/>
      <c r="AY23" s="78"/>
      <c r="AZ23" s="78"/>
      <c r="BA23" s="78"/>
    </row>
  </sheetData>
  <autoFilter ref="A2:BA22" xr:uid="{F18F80EE-1815-4EBC-B064-FD99350B63BB}">
    <filterColumn colId="3">
      <filters>
        <filter val="Colostrum Powder, Desi Gir Cow - 100 gm"/>
      </filters>
    </filterColumn>
  </autoFilter>
  <conditionalFormatting sqref="G3:AR21">
    <cfRule type="cellIs" dxfId="12" priority="6" stopIfTrue="1" operator="lessThanOrEqual">
      <formula>0</formula>
    </cfRule>
  </conditionalFormatting>
  <pageMargins left="0.70000000000000007" right="0.70000000000000007" top="0.75" bottom="0.75" header="0.30000000000000004" footer="0.30000000000000004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3CD76-8748-47AC-B087-CB7DA3DA718C}">
  <sheetPr filterMode="1"/>
  <dimension ref="A1:BA23"/>
  <sheetViews>
    <sheetView workbookViewId="0"/>
  </sheetViews>
  <sheetFormatPr defaultColWidth="12" defaultRowHeight="15.75" customHeight="1"/>
  <cols>
    <col min="1" max="2" width="12" customWidth="1"/>
    <col min="3" max="3" width="12.26953125" hidden="1" customWidth="1"/>
    <col min="4" max="4" width="53.453125" customWidth="1"/>
    <col min="5" max="5" width="9.08984375" hidden="1" customWidth="1"/>
    <col min="6" max="6" width="12.81640625" customWidth="1"/>
    <col min="7" max="8" width="8.81640625" customWidth="1"/>
    <col min="9" max="9" width="7.7265625" customWidth="1"/>
    <col min="10" max="10" width="8.26953125" customWidth="1"/>
    <col min="11" max="14" width="7.7265625" customWidth="1"/>
    <col min="15" max="21" width="9.26953125" customWidth="1"/>
    <col min="22" max="22" width="8.26953125" customWidth="1"/>
    <col min="23" max="23" width="7.7265625" customWidth="1"/>
    <col min="24" max="34" width="8.26953125" customWidth="1"/>
    <col min="35" max="44" width="9.26953125" customWidth="1"/>
    <col min="45" max="45" width="15.54296875" customWidth="1"/>
    <col min="46" max="46" width="16.453125" customWidth="1"/>
    <col min="47" max="47" width="17.54296875" customWidth="1"/>
    <col min="48" max="48" width="18.36328125" customWidth="1"/>
    <col min="49" max="49" width="36" hidden="1" customWidth="1"/>
    <col min="50" max="53" width="34.08984375" hidden="1" customWidth="1"/>
    <col min="54" max="54" width="12" customWidth="1"/>
  </cols>
  <sheetData>
    <row r="1" spans="1:53" ht="22.5" customHeight="1">
      <c r="A1" s="78"/>
      <c r="B1" s="79"/>
      <c r="C1" s="79"/>
      <c r="D1" s="79"/>
      <c r="E1" s="79"/>
      <c r="F1" s="79">
        <f>SUBTOTAL(9,F3:F19)</f>
        <v>735</v>
      </c>
      <c r="G1" s="78">
        <f>+Domestic!AH157</f>
        <v>0</v>
      </c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78"/>
      <c r="AP1" s="78"/>
      <c r="AQ1" s="78"/>
      <c r="AR1" s="78"/>
      <c r="AS1" s="155">
        <f>SUBTOTAL(9,AS3:AS21)</f>
        <v>768</v>
      </c>
      <c r="AT1" s="182">
        <f>SUBTOTAL(9,AT3:AT21)</f>
        <v>196</v>
      </c>
      <c r="AU1" s="155">
        <f>SUBTOTAL(9,AU3:AU21)</f>
        <v>33</v>
      </c>
      <c r="AV1" s="80">
        <f>IFERROR(AS1/SUBTOTAL(9,F3:F21),0)</f>
        <v>1.0448979591836736</v>
      </c>
      <c r="AW1" s="78"/>
      <c r="AX1" s="78"/>
      <c r="AY1" s="78"/>
      <c r="AZ1" s="78"/>
      <c r="BA1" s="78"/>
    </row>
    <row r="2" spans="1:53" ht="87" customHeight="1">
      <c r="A2" s="126" t="s">
        <v>106</v>
      </c>
      <c r="B2" s="126" t="s">
        <v>6</v>
      </c>
      <c r="C2" s="83" t="s">
        <v>59</v>
      </c>
      <c r="D2" s="83" t="s">
        <v>108</v>
      </c>
      <c r="E2" s="84" t="s">
        <v>109</v>
      </c>
      <c r="F2" s="85" t="s">
        <v>163</v>
      </c>
      <c r="G2" s="90">
        <v>24</v>
      </c>
      <c r="H2" s="90">
        <v>25</v>
      </c>
      <c r="I2" s="90">
        <v>26</v>
      </c>
      <c r="J2" s="90">
        <v>27</v>
      </c>
      <c r="K2" s="90">
        <v>28</v>
      </c>
      <c r="L2" s="90">
        <v>29</v>
      </c>
      <c r="M2" s="90">
        <v>30</v>
      </c>
      <c r="N2" s="90">
        <v>31</v>
      </c>
      <c r="O2" s="90">
        <v>1</v>
      </c>
      <c r="P2" s="90">
        <v>2</v>
      </c>
      <c r="Q2" s="90">
        <v>3</v>
      </c>
      <c r="R2" s="90">
        <v>4</v>
      </c>
      <c r="S2" s="90">
        <v>5</v>
      </c>
      <c r="T2" s="90">
        <v>6</v>
      </c>
      <c r="U2" s="90">
        <v>7</v>
      </c>
      <c r="V2" s="90">
        <v>8</v>
      </c>
      <c r="W2" s="90">
        <v>9</v>
      </c>
      <c r="X2" s="90">
        <v>10</v>
      </c>
      <c r="Y2" s="90">
        <v>11</v>
      </c>
      <c r="Z2" s="90">
        <v>12</v>
      </c>
      <c r="AA2" s="90">
        <v>13</v>
      </c>
      <c r="AB2" s="90">
        <v>14</v>
      </c>
      <c r="AC2" s="90">
        <v>15</v>
      </c>
      <c r="AD2" s="90">
        <v>16</v>
      </c>
      <c r="AE2" s="90">
        <v>17</v>
      </c>
      <c r="AF2" s="90">
        <v>18</v>
      </c>
      <c r="AG2" s="90">
        <v>19</v>
      </c>
      <c r="AH2" s="90">
        <v>20</v>
      </c>
      <c r="AI2" s="90">
        <v>21</v>
      </c>
      <c r="AJ2" s="90">
        <v>22</v>
      </c>
      <c r="AK2" s="90">
        <v>23</v>
      </c>
      <c r="AL2" s="90">
        <v>24</v>
      </c>
      <c r="AM2" s="90">
        <v>25</v>
      </c>
      <c r="AN2" s="90">
        <v>26</v>
      </c>
      <c r="AO2" s="90">
        <v>27</v>
      </c>
      <c r="AP2" s="90">
        <v>28</v>
      </c>
      <c r="AQ2" s="90">
        <v>29</v>
      </c>
      <c r="AR2" s="90">
        <v>30</v>
      </c>
      <c r="AS2" s="157" t="s">
        <v>150</v>
      </c>
      <c r="AT2" s="158" t="s">
        <v>112</v>
      </c>
      <c r="AU2" s="159" t="s">
        <v>151</v>
      </c>
      <c r="AV2" s="160" t="s">
        <v>115</v>
      </c>
      <c r="AW2" s="183" t="s">
        <v>63</v>
      </c>
      <c r="AX2" s="183" t="s">
        <v>130</v>
      </c>
      <c r="AY2" s="184" t="s">
        <v>131</v>
      </c>
      <c r="AZ2" s="184" t="s">
        <v>132</v>
      </c>
      <c r="BA2" s="184" t="s">
        <v>133</v>
      </c>
    </row>
    <row r="3" spans="1:53" ht="18" hidden="1">
      <c r="A3" s="130">
        <v>1</v>
      </c>
      <c r="B3" s="131" t="s">
        <v>12</v>
      </c>
      <c r="C3" s="132" t="s">
        <v>79</v>
      </c>
      <c r="D3" s="132" t="s">
        <v>37</v>
      </c>
      <c r="E3" s="133">
        <v>0</v>
      </c>
      <c r="F3" s="134">
        <f>IFERROR(_xlfn.XLOOKUP(C3,Projection_!A:A,Projection_!R:R),0)</f>
        <v>0</v>
      </c>
      <c r="G3" s="162">
        <v>0</v>
      </c>
      <c r="H3" s="162">
        <v>0</v>
      </c>
      <c r="I3" s="162">
        <v>0</v>
      </c>
      <c r="J3" s="162">
        <v>0</v>
      </c>
      <c r="K3" s="162">
        <v>0</v>
      </c>
      <c r="L3" s="162">
        <v>0</v>
      </c>
      <c r="M3" s="162">
        <v>0</v>
      </c>
      <c r="N3" s="162">
        <v>0</v>
      </c>
      <c r="O3" s="162">
        <v>0</v>
      </c>
      <c r="P3" s="162">
        <v>0</v>
      </c>
      <c r="Q3" s="162">
        <v>0</v>
      </c>
      <c r="R3" s="162">
        <v>0</v>
      </c>
      <c r="S3" s="162">
        <v>0</v>
      </c>
      <c r="T3" s="162">
        <v>0</v>
      </c>
      <c r="U3" s="162">
        <v>0</v>
      </c>
      <c r="V3" s="162">
        <v>0</v>
      </c>
      <c r="W3" s="162">
        <v>0</v>
      </c>
      <c r="X3" s="162">
        <v>0</v>
      </c>
      <c r="Y3" s="162">
        <v>0</v>
      </c>
      <c r="Z3" s="162">
        <v>0</v>
      </c>
      <c r="AA3" s="162">
        <v>0</v>
      </c>
      <c r="AB3" s="162">
        <v>0</v>
      </c>
      <c r="AC3" s="162">
        <v>0</v>
      </c>
      <c r="AD3" s="162">
        <v>0</v>
      </c>
      <c r="AE3" s="162">
        <v>0</v>
      </c>
      <c r="AF3" s="162">
        <v>0</v>
      </c>
      <c r="AG3" s="162">
        <v>0</v>
      </c>
      <c r="AH3" s="162">
        <v>0</v>
      </c>
      <c r="AI3" s="162">
        <v>0</v>
      </c>
      <c r="AJ3" s="162">
        <v>0</v>
      </c>
      <c r="AK3" s="162">
        <v>0</v>
      </c>
      <c r="AL3" s="162"/>
      <c r="AM3" s="162"/>
      <c r="AN3" s="162"/>
      <c r="AO3" s="162"/>
      <c r="AP3" s="162"/>
      <c r="AQ3" s="162"/>
      <c r="AR3" s="162"/>
      <c r="AS3" s="149">
        <f t="shared" ref="AS3:AS21" si="0">IFERROR(SUM(G3:AK3),"")</f>
        <v>0</v>
      </c>
      <c r="AT3" s="150">
        <f t="shared" ref="AT3:AT21" si="1">AS3*E3</f>
        <v>0</v>
      </c>
      <c r="AU3" s="150">
        <f t="shared" ref="AU3:AU21" si="2">IFERROR(AS3-F3,0)</f>
        <v>0</v>
      </c>
      <c r="AV3" s="165">
        <f t="shared" ref="AV3:AV22" si="3">IFERROR(AS3/F3,0)</f>
        <v>0</v>
      </c>
      <c r="AW3" s="106"/>
      <c r="AX3" s="106"/>
      <c r="AY3" s="78"/>
      <c r="AZ3" s="78"/>
      <c r="BA3" s="78"/>
    </row>
    <row r="4" spans="1:53" ht="18" hidden="1">
      <c r="A4" s="139">
        <v>2</v>
      </c>
      <c r="B4" s="131" t="s">
        <v>12</v>
      </c>
      <c r="C4" s="132" t="s">
        <v>83</v>
      </c>
      <c r="D4" s="132" t="s">
        <v>48</v>
      </c>
      <c r="E4" s="133">
        <v>1</v>
      </c>
      <c r="F4" s="134">
        <f>IFERROR(_xlfn.XLOOKUP(C4,Projection_!A:A,Projection_!R:R),0)</f>
        <v>0</v>
      </c>
      <c r="G4" s="162">
        <v>0</v>
      </c>
      <c r="H4" s="162">
        <v>0</v>
      </c>
      <c r="I4" s="162">
        <v>0</v>
      </c>
      <c r="J4" s="162">
        <v>0</v>
      </c>
      <c r="K4" s="162">
        <v>0</v>
      </c>
      <c r="L4" s="162">
        <v>0</v>
      </c>
      <c r="M4" s="162">
        <v>0</v>
      </c>
      <c r="N4" s="162">
        <v>0</v>
      </c>
      <c r="O4" s="162">
        <v>0</v>
      </c>
      <c r="P4" s="162">
        <v>0</v>
      </c>
      <c r="Q4" s="162">
        <v>0</v>
      </c>
      <c r="R4" s="162">
        <v>0</v>
      </c>
      <c r="S4" s="162">
        <v>0</v>
      </c>
      <c r="T4" s="162">
        <v>0</v>
      </c>
      <c r="U4" s="162">
        <v>0</v>
      </c>
      <c r="V4" s="162">
        <v>0</v>
      </c>
      <c r="W4" s="162">
        <v>0</v>
      </c>
      <c r="X4" s="162">
        <v>0</v>
      </c>
      <c r="Y4" s="162">
        <v>0</v>
      </c>
      <c r="Z4" s="162">
        <v>0</v>
      </c>
      <c r="AA4" s="162">
        <v>0</v>
      </c>
      <c r="AB4" s="162">
        <v>0</v>
      </c>
      <c r="AC4" s="162">
        <v>0</v>
      </c>
      <c r="AD4" s="162">
        <v>0</v>
      </c>
      <c r="AE4" s="162">
        <v>0</v>
      </c>
      <c r="AF4" s="162">
        <v>0</v>
      </c>
      <c r="AG4" s="162">
        <v>0</v>
      </c>
      <c r="AH4" s="162">
        <v>0</v>
      </c>
      <c r="AI4" s="162">
        <v>0</v>
      </c>
      <c r="AJ4" s="162">
        <v>0</v>
      </c>
      <c r="AK4" s="162">
        <v>0</v>
      </c>
      <c r="AL4" s="162"/>
      <c r="AM4" s="162"/>
      <c r="AN4" s="162"/>
      <c r="AO4" s="162"/>
      <c r="AP4" s="162"/>
      <c r="AQ4" s="162"/>
      <c r="AR4" s="162"/>
      <c r="AS4" s="149">
        <f t="shared" si="0"/>
        <v>0</v>
      </c>
      <c r="AT4" s="150">
        <f t="shared" si="1"/>
        <v>0</v>
      </c>
      <c r="AU4" s="164">
        <f t="shared" si="2"/>
        <v>0</v>
      </c>
      <c r="AV4" s="165">
        <f t="shared" si="3"/>
        <v>0</v>
      </c>
      <c r="AW4" s="106"/>
      <c r="AX4" s="106"/>
      <c r="AY4" s="78"/>
      <c r="AZ4" s="78"/>
      <c r="BA4" s="78"/>
    </row>
    <row r="5" spans="1:53" ht="18" hidden="1">
      <c r="A5" s="130">
        <v>3</v>
      </c>
      <c r="B5" s="131" t="s">
        <v>12</v>
      </c>
      <c r="C5" s="132" t="s">
        <v>80</v>
      </c>
      <c r="D5" s="132" t="s">
        <v>136</v>
      </c>
      <c r="E5" s="133">
        <v>5</v>
      </c>
      <c r="F5" s="134">
        <f>IFERROR(_xlfn.XLOOKUP(C5,Projection_!A:A,Projection_!R:R),0)</f>
        <v>0</v>
      </c>
      <c r="G5" s="162">
        <v>0</v>
      </c>
      <c r="H5" s="162">
        <v>0</v>
      </c>
      <c r="I5" s="162">
        <v>0</v>
      </c>
      <c r="J5" s="162">
        <v>0</v>
      </c>
      <c r="K5" s="162">
        <v>0</v>
      </c>
      <c r="L5" s="162">
        <v>0</v>
      </c>
      <c r="M5" s="162">
        <v>0</v>
      </c>
      <c r="N5" s="162">
        <v>0</v>
      </c>
      <c r="O5" s="162">
        <v>0</v>
      </c>
      <c r="P5" s="162">
        <v>0</v>
      </c>
      <c r="Q5" s="162">
        <v>0</v>
      </c>
      <c r="R5" s="162">
        <v>0</v>
      </c>
      <c r="S5" s="162">
        <v>0</v>
      </c>
      <c r="T5" s="162">
        <v>0</v>
      </c>
      <c r="U5" s="162">
        <v>0</v>
      </c>
      <c r="V5" s="162">
        <v>0</v>
      </c>
      <c r="W5" s="162">
        <v>0</v>
      </c>
      <c r="X5" s="162">
        <v>0</v>
      </c>
      <c r="Y5" s="162">
        <v>0</v>
      </c>
      <c r="Z5" s="162">
        <v>0</v>
      </c>
      <c r="AA5" s="162">
        <v>0</v>
      </c>
      <c r="AB5" s="162">
        <v>0</v>
      </c>
      <c r="AC5" s="162">
        <v>0</v>
      </c>
      <c r="AD5" s="162">
        <v>0</v>
      </c>
      <c r="AE5" s="162">
        <v>0</v>
      </c>
      <c r="AF5" s="162">
        <v>0</v>
      </c>
      <c r="AG5" s="162">
        <v>0</v>
      </c>
      <c r="AH5" s="162">
        <v>0</v>
      </c>
      <c r="AI5" s="162">
        <v>0</v>
      </c>
      <c r="AJ5" s="162">
        <v>0</v>
      </c>
      <c r="AK5" s="162">
        <v>0</v>
      </c>
      <c r="AL5" s="162"/>
      <c r="AM5" s="162"/>
      <c r="AN5" s="162"/>
      <c r="AO5" s="162"/>
      <c r="AP5" s="162"/>
      <c r="AQ5" s="162"/>
      <c r="AR5" s="162"/>
      <c r="AS5" s="149">
        <f t="shared" si="0"/>
        <v>0</v>
      </c>
      <c r="AT5" s="150">
        <f t="shared" si="1"/>
        <v>0</v>
      </c>
      <c r="AU5" s="150">
        <f t="shared" si="2"/>
        <v>0</v>
      </c>
      <c r="AV5" s="165">
        <f t="shared" si="3"/>
        <v>0</v>
      </c>
      <c r="AW5" s="106"/>
      <c r="AX5" s="106"/>
      <c r="AY5" s="78"/>
      <c r="AZ5" s="78"/>
      <c r="BA5" s="78"/>
    </row>
    <row r="6" spans="1:53" ht="18" hidden="1">
      <c r="A6" s="139">
        <v>4</v>
      </c>
      <c r="B6" s="131" t="s">
        <v>12</v>
      </c>
      <c r="C6" s="132" t="s">
        <v>82</v>
      </c>
      <c r="D6" s="132" t="s">
        <v>44</v>
      </c>
      <c r="E6" s="133">
        <v>0.25</v>
      </c>
      <c r="F6" s="134">
        <f>IFERROR(_xlfn.XLOOKUP(C6,Projection_!A:A,Projection_!R:R),0)</f>
        <v>0</v>
      </c>
      <c r="G6" s="162">
        <v>0</v>
      </c>
      <c r="H6" s="162">
        <v>0</v>
      </c>
      <c r="I6" s="162">
        <v>0</v>
      </c>
      <c r="J6" s="162">
        <v>0</v>
      </c>
      <c r="K6" s="162">
        <v>0</v>
      </c>
      <c r="L6" s="162">
        <v>0</v>
      </c>
      <c r="M6" s="162">
        <v>0</v>
      </c>
      <c r="N6" s="162">
        <v>0</v>
      </c>
      <c r="O6" s="162">
        <v>0</v>
      </c>
      <c r="P6" s="162">
        <v>0</v>
      </c>
      <c r="Q6" s="162">
        <v>0</v>
      </c>
      <c r="R6" s="162">
        <v>0</v>
      </c>
      <c r="S6" s="162">
        <v>0</v>
      </c>
      <c r="T6" s="162">
        <v>0</v>
      </c>
      <c r="U6" s="162">
        <v>0</v>
      </c>
      <c r="V6" s="162">
        <v>0</v>
      </c>
      <c r="W6" s="162">
        <v>0</v>
      </c>
      <c r="X6" s="162">
        <v>0</v>
      </c>
      <c r="Y6" s="162">
        <v>0</v>
      </c>
      <c r="Z6" s="162">
        <v>0</v>
      </c>
      <c r="AA6" s="162">
        <v>0</v>
      </c>
      <c r="AB6" s="162">
        <v>0</v>
      </c>
      <c r="AC6" s="162">
        <v>0</v>
      </c>
      <c r="AD6" s="162">
        <v>0</v>
      </c>
      <c r="AE6" s="162">
        <v>0</v>
      </c>
      <c r="AF6" s="162">
        <v>0</v>
      </c>
      <c r="AG6" s="162">
        <v>0</v>
      </c>
      <c r="AH6" s="162">
        <v>0</v>
      </c>
      <c r="AI6" s="162">
        <v>0</v>
      </c>
      <c r="AJ6" s="162">
        <v>0</v>
      </c>
      <c r="AK6" s="162">
        <v>0</v>
      </c>
      <c r="AL6" s="162"/>
      <c r="AM6" s="162"/>
      <c r="AN6" s="162"/>
      <c r="AO6" s="162"/>
      <c r="AP6" s="162"/>
      <c r="AQ6" s="162"/>
      <c r="AR6" s="162"/>
      <c r="AS6" s="149">
        <f t="shared" si="0"/>
        <v>0</v>
      </c>
      <c r="AT6" s="150">
        <f t="shared" si="1"/>
        <v>0</v>
      </c>
      <c r="AU6" s="150">
        <f t="shared" si="2"/>
        <v>0</v>
      </c>
      <c r="AV6" s="165">
        <f t="shared" si="3"/>
        <v>0</v>
      </c>
      <c r="AW6" s="106"/>
      <c r="AX6" s="106"/>
      <c r="AY6" s="78"/>
      <c r="AZ6" s="78"/>
      <c r="BA6" s="78"/>
    </row>
    <row r="7" spans="1:53" ht="18">
      <c r="A7" s="130">
        <v>5</v>
      </c>
      <c r="B7" s="131" t="s">
        <v>12</v>
      </c>
      <c r="C7" s="132" t="s">
        <v>76</v>
      </c>
      <c r="D7" s="132" t="s">
        <v>26</v>
      </c>
      <c r="E7" s="133">
        <v>0.5</v>
      </c>
      <c r="F7" s="134">
        <f>IFERROR(_xlfn.XLOOKUP(C7,Projection_!A:A,Projection_!R:R),0)</f>
        <v>265</v>
      </c>
      <c r="G7" s="162">
        <v>0</v>
      </c>
      <c r="H7" s="162">
        <v>0</v>
      </c>
      <c r="I7" s="162">
        <v>0</v>
      </c>
      <c r="J7" s="162">
        <v>278</v>
      </c>
      <c r="K7" s="162">
        <v>0</v>
      </c>
      <c r="L7" s="162">
        <v>0</v>
      </c>
      <c r="M7" s="162">
        <v>0</v>
      </c>
      <c r="N7" s="162">
        <v>0</v>
      </c>
      <c r="O7" s="162">
        <v>0</v>
      </c>
      <c r="P7" s="162">
        <v>0</v>
      </c>
      <c r="Q7" s="162">
        <v>0</v>
      </c>
      <c r="R7" s="162">
        <v>0</v>
      </c>
      <c r="S7" s="162">
        <v>0</v>
      </c>
      <c r="T7" s="162">
        <v>0</v>
      </c>
      <c r="U7" s="162">
        <v>0</v>
      </c>
      <c r="V7" s="162">
        <v>0</v>
      </c>
      <c r="W7" s="162">
        <v>20</v>
      </c>
      <c r="X7" s="162">
        <v>0</v>
      </c>
      <c r="Y7" s="162">
        <v>0</v>
      </c>
      <c r="Z7" s="162">
        <v>0</v>
      </c>
      <c r="AA7" s="162">
        <v>0</v>
      </c>
      <c r="AB7" s="162">
        <v>0</v>
      </c>
      <c r="AC7" s="162">
        <v>0</v>
      </c>
      <c r="AD7" s="162">
        <v>0</v>
      </c>
      <c r="AE7" s="162">
        <v>0</v>
      </c>
      <c r="AF7" s="162">
        <v>0</v>
      </c>
      <c r="AG7" s="162">
        <v>0</v>
      </c>
      <c r="AH7" s="162">
        <v>0</v>
      </c>
      <c r="AI7" s="162">
        <v>0</v>
      </c>
      <c r="AJ7" s="162">
        <v>0</v>
      </c>
      <c r="AK7" s="162">
        <v>0</v>
      </c>
      <c r="AL7" s="162"/>
      <c r="AM7" s="162"/>
      <c r="AN7" s="162"/>
      <c r="AO7" s="162"/>
      <c r="AP7" s="162"/>
      <c r="AQ7" s="162"/>
      <c r="AR7" s="162"/>
      <c r="AS7" s="149">
        <f t="shared" si="0"/>
        <v>298</v>
      </c>
      <c r="AT7" s="150">
        <f t="shared" si="1"/>
        <v>149</v>
      </c>
      <c r="AU7" s="150">
        <f t="shared" si="2"/>
        <v>33</v>
      </c>
      <c r="AV7" s="165">
        <f t="shared" si="3"/>
        <v>1.1245283018867924</v>
      </c>
      <c r="AW7" s="106"/>
      <c r="AX7" s="106"/>
      <c r="AY7" s="78"/>
      <c r="AZ7" s="78"/>
      <c r="BA7" s="78"/>
    </row>
    <row r="8" spans="1:53" ht="18" hidden="1">
      <c r="A8" s="139">
        <v>6</v>
      </c>
      <c r="B8" s="131" t="s">
        <v>12</v>
      </c>
      <c r="C8" s="132" t="s">
        <v>73</v>
      </c>
      <c r="D8" s="132" t="s">
        <v>23</v>
      </c>
      <c r="E8" s="133">
        <v>0.5</v>
      </c>
      <c r="F8" s="134">
        <f>IFERROR(_xlfn.XLOOKUP(C8,Projection_!A:A,Projection_!R:R),0)</f>
        <v>0</v>
      </c>
      <c r="G8" s="162">
        <v>0</v>
      </c>
      <c r="H8" s="162">
        <v>0</v>
      </c>
      <c r="I8" s="162">
        <v>0</v>
      </c>
      <c r="J8" s="162">
        <v>0</v>
      </c>
      <c r="K8" s="162">
        <v>0</v>
      </c>
      <c r="L8" s="162">
        <v>0</v>
      </c>
      <c r="M8" s="162">
        <v>0</v>
      </c>
      <c r="N8" s="162">
        <v>0</v>
      </c>
      <c r="O8" s="162">
        <v>0</v>
      </c>
      <c r="P8" s="162">
        <v>0</v>
      </c>
      <c r="Q8" s="162">
        <v>0</v>
      </c>
      <c r="R8" s="162">
        <v>0</v>
      </c>
      <c r="S8" s="162">
        <v>0</v>
      </c>
      <c r="T8" s="162">
        <v>0</v>
      </c>
      <c r="U8" s="162">
        <v>0</v>
      </c>
      <c r="V8" s="162">
        <v>0</v>
      </c>
      <c r="W8" s="162">
        <v>0</v>
      </c>
      <c r="X8" s="162">
        <v>0</v>
      </c>
      <c r="Y8" s="162">
        <v>0</v>
      </c>
      <c r="Z8" s="162">
        <v>0</v>
      </c>
      <c r="AA8" s="162">
        <v>0</v>
      </c>
      <c r="AB8" s="162">
        <v>0</v>
      </c>
      <c r="AC8" s="162">
        <v>0</v>
      </c>
      <c r="AD8" s="162">
        <v>0</v>
      </c>
      <c r="AE8" s="162">
        <v>0</v>
      </c>
      <c r="AF8" s="162">
        <v>0</v>
      </c>
      <c r="AG8" s="162">
        <v>0</v>
      </c>
      <c r="AH8" s="162">
        <v>0</v>
      </c>
      <c r="AI8" s="162">
        <v>0</v>
      </c>
      <c r="AJ8" s="162">
        <v>0</v>
      </c>
      <c r="AK8" s="162">
        <v>0</v>
      </c>
      <c r="AL8" s="162"/>
      <c r="AM8" s="162"/>
      <c r="AN8" s="162"/>
      <c r="AO8" s="162"/>
      <c r="AP8" s="162"/>
      <c r="AQ8" s="162"/>
      <c r="AR8" s="162"/>
      <c r="AS8" s="149">
        <f t="shared" si="0"/>
        <v>0</v>
      </c>
      <c r="AT8" s="150">
        <f t="shared" si="1"/>
        <v>0</v>
      </c>
      <c r="AU8" s="150">
        <f t="shared" si="2"/>
        <v>0</v>
      </c>
      <c r="AV8" s="165">
        <f t="shared" si="3"/>
        <v>0</v>
      </c>
      <c r="AW8" s="106"/>
      <c r="AX8" s="106"/>
      <c r="AY8" s="78"/>
      <c r="AZ8" s="78"/>
      <c r="BA8" s="78"/>
    </row>
    <row r="9" spans="1:53" ht="18" hidden="1">
      <c r="A9" s="130">
        <v>7</v>
      </c>
      <c r="B9" s="131" t="s">
        <v>12</v>
      </c>
      <c r="C9" s="132" t="s">
        <v>74</v>
      </c>
      <c r="D9" s="132" t="s">
        <v>24</v>
      </c>
      <c r="E9" s="112">
        <v>0.5</v>
      </c>
      <c r="F9" s="134">
        <f>IFERROR(_xlfn.XLOOKUP(C9,Projection_!A:A,Projection_!R:R),0)</f>
        <v>0</v>
      </c>
      <c r="G9" s="162">
        <v>0</v>
      </c>
      <c r="H9" s="162">
        <v>0</v>
      </c>
      <c r="I9" s="162">
        <v>0</v>
      </c>
      <c r="J9" s="162">
        <v>0</v>
      </c>
      <c r="K9" s="162">
        <v>0</v>
      </c>
      <c r="L9" s="162">
        <v>0</v>
      </c>
      <c r="M9" s="162">
        <v>0</v>
      </c>
      <c r="N9" s="162">
        <v>0</v>
      </c>
      <c r="O9" s="162">
        <v>0</v>
      </c>
      <c r="P9" s="162">
        <v>0</v>
      </c>
      <c r="Q9" s="162">
        <v>0</v>
      </c>
      <c r="R9" s="162">
        <v>0</v>
      </c>
      <c r="S9" s="162">
        <v>0</v>
      </c>
      <c r="T9" s="162">
        <v>0</v>
      </c>
      <c r="U9" s="162">
        <v>0</v>
      </c>
      <c r="V9" s="162">
        <v>0</v>
      </c>
      <c r="W9" s="162">
        <v>0</v>
      </c>
      <c r="X9" s="162">
        <v>0</v>
      </c>
      <c r="Y9" s="162">
        <v>0</v>
      </c>
      <c r="Z9" s="162">
        <v>0</v>
      </c>
      <c r="AA9" s="162">
        <v>0</v>
      </c>
      <c r="AB9" s="162">
        <v>0</v>
      </c>
      <c r="AC9" s="162">
        <v>0</v>
      </c>
      <c r="AD9" s="162">
        <v>0</v>
      </c>
      <c r="AE9" s="162">
        <v>0</v>
      </c>
      <c r="AF9" s="162">
        <v>0</v>
      </c>
      <c r="AG9" s="162">
        <v>0</v>
      </c>
      <c r="AH9" s="162">
        <v>0</v>
      </c>
      <c r="AI9" s="162">
        <v>0</v>
      </c>
      <c r="AJ9" s="162">
        <v>0</v>
      </c>
      <c r="AK9" s="162">
        <v>0</v>
      </c>
      <c r="AL9" s="162"/>
      <c r="AM9" s="162"/>
      <c r="AN9" s="162"/>
      <c r="AO9" s="162"/>
      <c r="AP9" s="162"/>
      <c r="AQ9" s="162"/>
      <c r="AR9" s="162"/>
      <c r="AS9" s="149">
        <f t="shared" si="0"/>
        <v>0</v>
      </c>
      <c r="AT9" s="150">
        <f t="shared" si="1"/>
        <v>0</v>
      </c>
      <c r="AU9" s="150">
        <f t="shared" si="2"/>
        <v>0</v>
      </c>
      <c r="AV9" s="165">
        <f t="shared" si="3"/>
        <v>0</v>
      </c>
      <c r="AW9" s="106"/>
      <c r="AX9" s="106"/>
      <c r="AY9" s="78"/>
      <c r="AZ9" s="78"/>
      <c r="BA9" s="78"/>
    </row>
    <row r="10" spans="1:53" ht="18" hidden="1">
      <c r="A10" s="139">
        <v>8</v>
      </c>
      <c r="B10" s="131" t="s">
        <v>12</v>
      </c>
      <c r="C10" s="132" t="s">
        <v>125</v>
      </c>
      <c r="D10" s="132" t="s">
        <v>46</v>
      </c>
      <c r="E10" s="133">
        <v>0.1</v>
      </c>
      <c r="F10" s="134">
        <f>IFERROR(_xlfn.XLOOKUP(C10,Projection_!A:A,Projection_!R:R),0)</f>
        <v>0</v>
      </c>
      <c r="G10" s="162">
        <v>0</v>
      </c>
      <c r="H10" s="162">
        <v>0</v>
      </c>
      <c r="I10" s="162">
        <v>0</v>
      </c>
      <c r="J10" s="162">
        <v>0</v>
      </c>
      <c r="K10" s="162">
        <v>0</v>
      </c>
      <c r="L10" s="162">
        <v>0</v>
      </c>
      <c r="M10" s="162">
        <v>0</v>
      </c>
      <c r="N10" s="162">
        <v>0</v>
      </c>
      <c r="O10" s="162">
        <v>0</v>
      </c>
      <c r="P10" s="162">
        <v>0</v>
      </c>
      <c r="Q10" s="162">
        <v>0</v>
      </c>
      <c r="R10" s="162">
        <v>0</v>
      </c>
      <c r="S10" s="162">
        <v>0</v>
      </c>
      <c r="T10" s="162">
        <v>0</v>
      </c>
      <c r="U10" s="162">
        <v>0</v>
      </c>
      <c r="V10" s="162">
        <v>0</v>
      </c>
      <c r="W10" s="162">
        <v>0</v>
      </c>
      <c r="X10" s="162">
        <v>0</v>
      </c>
      <c r="Y10" s="162">
        <v>0</v>
      </c>
      <c r="Z10" s="162">
        <v>0</v>
      </c>
      <c r="AA10" s="162">
        <v>0</v>
      </c>
      <c r="AB10" s="162">
        <v>0</v>
      </c>
      <c r="AC10" s="162">
        <v>0</v>
      </c>
      <c r="AD10" s="162">
        <v>0</v>
      </c>
      <c r="AE10" s="162">
        <v>0</v>
      </c>
      <c r="AF10" s="162">
        <v>0</v>
      </c>
      <c r="AG10" s="162">
        <v>0</v>
      </c>
      <c r="AH10" s="162">
        <v>0</v>
      </c>
      <c r="AI10" s="162">
        <v>0</v>
      </c>
      <c r="AJ10" s="162">
        <v>0</v>
      </c>
      <c r="AK10" s="162">
        <v>0</v>
      </c>
      <c r="AL10" s="162"/>
      <c r="AM10" s="162"/>
      <c r="AN10" s="162"/>
      <c r="AO10" s="162"/>
      <c r="AP10" s="162"/>
      <c r="AQ10" s="162"/>
      <c r="AR10" s="162"/>
      <c r="AS10" s="149">
        <f t="shared" si="0"/>
        <v>0</v>
      </c>
      <c r="AT10" s="150">
        <f t="shared" si="1"/>
        <v>0</v>
      </c>
      <c r="AU10" s="150">
        <f t="shared" si="2"/>
        <v>0</v>
      </c>
      <c r="AV10" s="165">
        <f t="shared" si="3"/>
        <v>0</v>
      </c>
      <c r="AW10" s="106"/>
      <c r="AX10" s="106"/>
      <c r="AY10" s="78"/>
      <c r="AZ10" s="78"/>
      <c r="BA10" s="78"/>
    </row>
    <row r="11" spans="1:53" ht="18" hidden="1">
      <c r="A11" s="130">
        <v>9</v>
      </c>
      <c r="B11" s="131" t="s">
        <v>12</v>
      </c>
      <c r="C11" s="132" t="s">
        <v>81</v>
      </c>
      <c r="D11" s="132" t="s">
        <v>42</v>
      </c>
      <c r="E11" s="133">
        <v>1</v>
      </c>
      <c r="F11" s="134">
        <f>IFERROR(_xlfn.XLOOKUP(C11,Projection_!A:A,Projection_!R:R),0)</f>
        <v>0</v>
      </c>
      <c r="G11" s="162">
        <v>0</v>
      </c>
      <c r="H11" s="162">
        <v>0</v>
      </c>
      <c r="I11" s="162">
        <v>0</v>
      </c>
      <c r="J11" s="162">
        <v>0</v>
      </c>
      <c r="K11" s="162">
        <v>0</v>
      </c>
      <c r="L11" s="162">
        <v>0</v>
      </c>
      <c r="M11" s="162">
        <v>0</v>
      </c>
      <c r="N11" s="162">
        <v>0</v>
      </c>
      <c r="O11" s="162">
        <v>0</v>
      </c>
      <c r="P11" s="162">
        <v>0</v>
      </c>
      <c r="Q11" s="162">
        <v>0</v>
      </c>
      <c r="R11" s="162">
        <v>0</v>
      </c>
      <c r="S11" s="162">
        <v>0</v>
      </c>
      <c r="T11" s="162">
        <v>0</v>
      </c>
      <c r="U11" s="162">
        <v>0</v>
      </c>
      <c r="V11" s="162">
        <v>0</v>
      </c>
      <c r="W11" s="162">
        <v>0</v>
      </c>
      <c r="X11" s="162">
        <v>0</v>
      </c>
      <c r="Y11" s="162">
        <v>0</v>
      </c>
      <c r="Z11" s="162">
        <v>0</v>
      </c>
      <c r="AA11" s="162">
        <v>0</v>
      </c>
      <c r="AB11" s="162">
        <v>0</v>
      </c>
      <c r="AC11" s="162">
        <v>0</v>
      </c>
      <c r="AD11" s="162">
        <v>0</v>
      </c>
      <c r="AE11" s="162">
        <v>0</v>
      </c>
      <c r="AF11" s="162">
        <v>0</v>
      </c>
      <c r="AG11" s="162">
        <v>0</v>
      </c>
      <c r="AH11" s="162">
        <v>0</v>
      </c>
      <c r="AI11" s="162">
        <v>0</v>
      </c>
      <c r="AJ11" s="162">
        <v>0</v>
      </c>
      <c r="AK11" s="162">
        <v>0</v>
      </c>
      <c r="AL11" s="162"/>
      <c r="AM11" s="162"/>
      <c r="AN11" s="162"/>
      <c r="AO11" s="162"/>
      <c r="AP11" s="162"/>
      <c r="AQ11" s="162"/>
      <c r="AR11" s="162"/>
      <c r="AS11" s="149">
        <f t="shared" si="0"/>
        <v>0</v>
      </c>
      <c r="AT11" s="150">
        <f t="shared" si="1"/>
        <v>0</v>
      </c>
      <c r="AU11" s="150">
        <f t="shared" si="2"/>
        <v>0</v>
      </c>
      <c r="AV11" s="165">
        <f t="shared" si="3"/>
        <v>0</v>
      </c>
      <c r="AW11" s="106"/>
      <c r="AX11" s="106"/>
      <c r="AY11" s="78"/>
      <c r="AZ11" s="78"/>
      <c r="BA11" s="78"/>
    </row>
    <row r="12" spans="1:53" ht="18">
      <c r="A12" s="139">
        <v>10</v>
      </c>
      <c r="B12" s="131" t="s">
        <v>12</v>
      </c>
      <c r="C12" s="132" t="s">
        <v>75</v>
      </c>
      <c r="D12" s="132" t="s">
        <v>25</v>
      </c>
      <c r="E12" s="133">
        <v>0.1</v>
      </c>
      <c r="F12" s="134">
        <f>IFERROR(_xlfn.XLOOKUP(C12,Projection_!A:A,Projection_!R:R),0)</f>
        <v>470</v>
      </c>
      <c r="G12" s="162">
        <v>0</v>
      </c>
      <c r="H12" s="162">
        <v>0</v>
      </c>
      <c r="I12" s="162">
        <v>0</v>
      </c>
      <c r="J12" s="162">
        <v>5</v>
      </c>
      <c r="K12" s="162">
        <v>0</v>
      </c>
      <c r="L12" s="162">
        <v>0</v>
      </c>
      <c r="M12" s="162">
        <v>0</v>
      </c>
      <c r="N12" s="162">
        <v>0</v>
      </c>
      <c r="O12" s="162">
        <v>0</v>
      </c>
      <c r="P12" s="162">
        <v>0</v>
      </c>
      <c r="Q12" s="162">
        <v>268</v>
      </c>
      <c r="R12" s="162">
        <v>0</v>
      </c>
      <c r="S12" s="162">
        <v>0</v>
      </c>
      <c r="T12" s="162">
        <v>0</v>
      </c>
      <c r="U12" s="162">
        <v>0</v>
      </c>
      <c r="V12" s="162">
        <v>20</v>
      </c>
      <c r="W12" s="162">
        <v>0</v>
      </c>
      <c r="X12" s="162">
        <v>0</v>
      </c>
      <c r="Y12" s="162">
        <v>0</v>
      </c>
      <c r="Z12" s="162">
        <v>0</v>
      </c>
      <c r="AA12" s="162">
        <v>0</v>
      </c>
      <c r="AB12" s="162">
        <v>0</v>
      </c>
      <c r="AC12" s="162">
        <v>0</v>
      </c>
      <c r="AD12" s="162">
        <v>0</v>
      </c>
      <c r="AE12" s="162">
        <v>0</v>
      </c>
      <c r="AF12" s="162">
        <v>100</v>
      </c>
      <c r="AG12" s="162">
        <v>0</v>
      </c>
      <c r="AH12" s="162">
        <v>0</v>
      </c>
      <c r="AI12" s="162">
        <v>77</v>
      </c>
      <c r="AJ12" s="162">
        <v>0</v>
      </c>
      <c r="AK12" s="162">
        <v>0</v>
      </c>
      <c r="AL12" s="162"/>
      <c r="AM12" s="162"/>
      <c r="AN12" s="162"/>
      <c r="AO12" s="162"/>
      <c r="AP12" s="162"/>
      <c r="AQ12" s="162"/>
      <c r="AR12" s="162"/>
      <c r="AS12" s="149">
        <f t="shared" si="0"/>
        <v>470</v>
      </c>
      <c r="AT12" s="150">
        <f t="shared" si="1"/>
        <v>47</v>
      </c>
      <c r="AU12" s="150">
        <f t="shared" si="2"/>
        <v>0</v>
      </c>
      <c r="AV12" s="165">
        <f t="shared" si="3"/>
        <v>1</v>
      </c>
      <c r="AW12" s="106"/>
      <c r="AX12" s="106"/>
      <c r="AY12" s="78"/>
      <c r="AZ12" s="78"/>
      <c r="BA12" s="78"/>
    </row>
    <row r="13" spans="1:53" ht="18" hidden="1">
      <c r="A13" s="130">
        <v>11</v>
      </c>
      <c r="B13" s="131" t="s">
        <v>12</v>
      </c>
      <c r="C13" s="132" t="s">
        <v>144</v>
      </c>
      <c r="D13" s="132" t="s">
        <v>145</v>
      </c>
      <c r="E13" s="133">
        <v>1</v>
      </c>
      <c r="F13" s="134">
        <f>IFERROR(_xlfn.XLOOKUP(C13,Projection_!A:A,Projection_!R:R),0)</f>
        <v>0</v>
      </c>
      <c r="G13" s="162">
        <v>0</v>
      </c>
      <c r="H13" s="162">
        <v>0</v>
      </c>
      <c r="I13" s="162">
        <v>0</v>
      </c>
      <c r="J13" s="162">
        <v>0</v>
      </c>
      <c r="K13" s="162">
        <v>0</v>
      </c>
      <c r="L13" s="162">
        <v>0</v>
      </c>
      <c r="M13" s="162">
        <v>0</v>
      </c>
      <c r="N13" s="162">
        <v>0</v>
      </c>
      <c r="O13" s="162">
        <v>0</v>
      </c>
      <c r="P13" s="162">
        <v>0</v>
      </c>
      <c r="Q13" s="162">
        <v>0</v>
      </c>
      <c r="R13" s="162">
        <v>0</v>
      </c>
      <c r="S13" s="162">
        <v>0</v>
      </c>
      <c r="T13" s="162">
        <v>0</v>
      </c>
      <c r="U13" s="162">
        <v>0</v>
      </c>
      <c r="V13" s="162">
        <v>0</v>
      </c>
      <c r="W13" s="162">
        <v>0</v>
      </c>
      <c r="X13" s="162">
        <v>0</v>
      </c>
      <c r="Y13" s="162">
        <v>0</v>
      </c>
      <c r="Z13" s="162">
        <v>0</v>
      </c>
      <c r="AA13" s="162">
        <v>0</v>
      </c>
      <c r="AB13" s="162">
        <v>0</v>
      </c>
      <c r="AC13" s="162">
        <v>0</v>
      </c>
      <c r="AD13" s="162">
        <v>0</v>
      </c>
      <c r="AE13" s="162">
        <v>0</v>
      </c>
      <c r="AF13" s="162">
        <v>0</v>
      </c>
      <c r="AG13" s="162">
        <v>0</v>
      </c>
      <c r="AH13" s="162">
        <v>0</v>
      </c>
      <c r="AI13" s="162">
        <v>0</v>
      </c>
      <c r="AJ13" s="162">
        <v>0</v>
      </c>
      <c r="AK13" s="162">
        <v>0</v>
      </c>
      <c r="AL13" s="162"/>
      <c r="AM13" s="162"/>
      <c r="AN13" s="162"/>
      <c r="AO13" s="162"/>
      <c r="AP13" s="162"/>
      <c r="AQ13" s="162"/>
      <c r="AR13" s="162"/>
      <c r="AS13" s="149">
        <f t="shared" si="0"/>
        <v>0</v>
      </c>
      <c r="AT13" s="150">
        <f t="shared" si="1"/>
        <v>0</v>
      </c>
      <c r="AU13" s="150">
        <f t="shared" si="2"/>
        <v>0</v>
      </c>
      <c r="AV13" s="165">
        <f t="shared" si="3"/>
        <v>0</v>
      </c>
      <c r="AW13" s="106"/>
      <c r="AX13" s="106"/>
      <c r="AY13" s="78"/>
      <c r="AZ13" s="78"/>
      <c r="BA13" s="78"/>
    </row>
    <row r="14" spans="1:53" ht="18" hidden="1">
      <c r="A14" s="139">
        <v>12</v>
      </c>
      <c r="B14" s="131" t="s">
        <v>12</v>
      </c>
      <c r="C14" s="132" t="s">
        <v>68</v>
      </c>
      <c r="D14" s="132" t="s">
        <v>13</v>
      </c>
      <c r="E14" s="133">
        <v>0.2</v>
      </c>
      <c r="F14" s="134">
        <f>IFERROR(_xlfn.XLOOKUP(C14,Projection_!A:A,Projection_!R:R),0)</f>
        <v>0</v>
      </c>
      <c r="G14" s="162">
        <v>0</v>
      </c>
      <c r="H14" s="162">
        <v>0</v>
      </c>
      <c r="I14" s="162">
        <v>0</v>
      </c>
      <c r="J14" s="162">
        <v>0</v>
      </c>
      <c r="K14" s="162">
        <v>0</v>
      </c>
      <c r="L14" s="162">
        <v>0</v>
      </c>
      <c r="M14" s="162">
        <v>0</v>
      </c>
      <c r="N14" s="162">
        <v>0</v>
      </c>
      <c r="O14" s="162">
        <v>0</v>
      </c>
      <c r="P14" s="162">
        <v>0</v>
      </c>
      <c r="Q14" s="162">
        <v>0</v>
      </c>
      <c r="R14" s="162">
        <v>0</v>
      </c>
      <c r="S14" s="162">
        <v>0</v>
      </c>
      <c r="T14" s="162">
        <v>0</v>
      </c>
      <c r="U14" s="162">
        <v>0</v>
      </c>
      <c r="V14" s="162">
        <v>0</v>
      </c>
      <c r="W14" s="162">
        <v>0</v>
      </c>
      <c r="X14" s="162">
        <v>0</v>
      </c>
      <c r="Y14" s="162">
        <v>0</v>
      </c>
      <c r="Z14" s="162">
        <v>0</v>
      </c>
      <c r="AA14" s="162">
        <v>0</v>
      </c>
      <c r="AB14" s="162">
        <v>0</v>
      </c>
      <c r="AC14" s="162">
        <v>0</v>
      </c>
      <c r="AD14" s="162">
        <v>0</v>
      </c>
      <c r="AE14" s="162">
        <v>0</v>
      </c>
      <c r="AF14" s="162">
        <v>0</v>
      </c>
      <c r="AG14" s="162">
        <v>0</v>
      </c>
      <c r="AH14" s="162">
        <v>0</v>
      </c>
      <c r="AI14" s="162">
        <v>0</v>
      </c>
      <c r="AJ14" s="162">
        <v>0</v>
      </c>
      <c r="AK14" s="162">
        <v>0</v>
      </c>
      <c r="AL14" s="162"/>
      <c r="AM14" s="162"/>
      <c r="AN14" s="162"/>
      <c r="AO14" s="162"/>
      <c r="AP14" s="162"/>
      <c r="AQ14" s="162"/>
      <c r="AR14" s="162"/>
      <c r="AS14" s="149">
        <f t="shared" si="0"/>
        <v>0</v>
      </c>
      <c r="AT14" s="150">
        <f t="shared" si="1"/>
        <v>0</v>
      </c>
      <c r="AU14" s="150">
        <f t="shared" si="2"/>
        <v>0</v>
      </c>
      <c r="AV14" s="165">
        <f t="shared" si="3"/>
        <v>0</v>
      </c>
      <c r="AW14" s="106"/>
      <c r="AX14" s="106"/>
      <c r="AY14" s="78"/>
      <c r="AZ14" s="78"/>
      <c r="BA14" s="78"/>
    </row>
    <row r="15" spans="1:53" ht="18" hidden="1">
      <c r="A15" s="130">
        <v>13</v>
      </c>
      <c r="B15" s="131" t="s">
        <v>12</v>
      </c>
      <c r="C15" s="132" t="s">
        <v>78</v>
      </c>
      <c r="D15" s="132" t="s">
        <v>35</v>
      </c>
      <c r="E15" s="133">
        <v>0.2</v>
      </c>
      <c r="F15" s="134">
        <f>IFERROR(_xlfn.XLOOKUP(C15,Projection_!A:A,Projection_!R:R),0)</f>
        <v>0</v>
      </c>
      <c r="G15" s="162">
        <v>0</v>
      </c>
      <c r="H15" s="162">
        <v>0</v>
      </c>
      <c r="I15" s="162">
        <v>0</v>
      </c>
      <c r="J15" s="162">
        <v>0</v>
      </c>
      <c r="K15" s="162">
        <v>0</v>
      </c>
      <c r="L15" s="162">
        <v>0</v>
      </c>
      <c r="M15" s="162">
        <v>0</v>
      </c>
      <c r="N15" s="162">
        <v>0</v>
      </c>
      <c r="O15" s="162">
        <v>0</v>
      </c>
      <c r="P15" s="162">
        <v>0</v>
      </c>
      <c r="Q15" s="162">
        <v>0</v>
      </c>
      <c r="R15" s="162">
        <v>0</v>
      </c>
      <c r="S15" s="162">
        <v>0</v>
      </c>
      <c r="T15" s="162">
        <v>0</v>
      </c>
      <c r="U15" s="162">
        <v>0</v>
      </c>
      <c r="V15" s="162">
        <v>0</v>
      </c>
      <c r="W15" s="162">
        <v>0</v>
      </c>
      <c r="X15" s="162">
        <v>0</v>
      </c>
      <c r="Y15" s="162">
        <v>0</v>
      </c>
      <c r="Z15" s="162">
        <v>0</v>
      </c>
      <c r="AA15" s="162">
        <v>0</v>
      </c>
      <c r="AB15" s="162">
        <v>0</v>
      </c>
      <c r="AC15" s="162">
        <v>0</v>
      </c>
      <c r="AD15" s="162">
        <v>0</v>
      </c>
      <c r="AE15" s="162">
        <v>0</v>
      </c>
      <c r="AF15" s="162">
        <v>0</v>
      </c>
      <c r="AG15" s="162">
        <v>0</v>
      </c>
      <c r="AH15" s="162">
        <v>0</v>
      </c>
      <c r="AI15" s="162">
        <v>0</v>
      </c>
      <c r="AJ15" s="162">
        <v>0</v>
      </c>
      <c r="AK15" s="162">
        <v>0</v>
      </c>
      <c r="AL15" s="162"/>
      <c r="AM15" s="162"/>
      <c r="AN15" s="162"/>
      <c r="AO15" s="162"/>
      <c r="AP15" s="162"/>
      <c r="AQ15" s="162"/>
      <c r="AR15" s="162"/>
      <c r="AS15" s="149">
        <f t="shared" si="0"/>
        <v>0</v>
      </c>
      <c r="AT15" s="150">
        <f t="shared" si="1"/>
        <v>0</v>
      </c>
      <c r="AU15" s="150">
        <f t="shared" si="2"/>
        <v>0</v>
      </c>
      <c r="AV15" s="165">
        <f t="shared" si="3"/>
        <v>0</v>
      </c>
      <c r="AW15" s="106"/>
      <c r="AX15" s="106"/>
      <c r="AY15" s="78"/>
      <c r="AZ15" s="78"/>
      <c r="BA15" s="78"/>
    </row>
    <row r="16" spans="1:53" ht="18" hidden="1">
      <c r="A16" s="139">
        <v>14</v>
      </c>
      <c r="B16" s="131" t="s">
        <v>12</v>
      </c>
      <c r="C16" s="132" t="s">
        <v>71</v>
      </c>
      <c r="D16" s="132" t="s">
        <v>21</v>
      </c>
      <c r="E16" s="133">
        <v>0.2</v>
      </c>
      <c r="F16" s="134">
        <f>IFERROR(_xlfn.XLOOKUP(C16,Projection_!A:A,Projection_!R:R),0)</f>
        <v>0</v>
      </c>
      <c r="G16" s="162">
        <v>0</v>
      </c>
      <c r="H16" s="162">
        <v>0</v>
      </c>
      <c r="I16" s="162">
        <v>0</v>
      </c>
      <c r="J16" s="162">
        <v>0</v>
      </c>
      <c r="K16" s="162">
        <v>0</v>
      </c>
      <c r="L16" s="162">
        <v>0</v>
      </c>
      <c r="M16" s="162">
        <v>0</v>
      </c>
      <c r="N16" s="162">
        <v>0</v>
      </c>
      <c r="O16" s="162">
        <v>0</v>
      </c>
      <c r="P16" s="162">
        <v>0</v>
      </c>
      <c r="Q16" s="162">
        <v>0</v>
      </c>
      <c r="R16" s="162">
        <v>0</v>
      </c>
      <c r="S16" s="162">
        <v>0</v>
      </c>
      <c r="T16" s="162">
        <v>0</v>
      </c>
      <c r="U16" s="162">
        <v>0</v>
      </c>
      <c r="V16" s="162">
        <v>0</v>
      </c>
      <c r="W16" s="162">
        <v>0</v>
      </c>
      <c r="X16" s="162">
        <v>0</v>
      </c>
      <c r="Y16" s="162">
        <v>0</v>
      </c>
      <c r="Z16" s="162">
        <v>0</v>
      </c>
      <c r="AA16" s="162">
        <v>0</v>
      </c>
      <c r="AB16" s="162">
        <v>0</v>
      </c>
      <c r="AC16" s="162">
        <v>0</v>
      </c>
      <c r="AD16" s="162">
        <v>0</v>
      </c>
      <c r="AE16" s="162">
        <v>0</v>
      </c>
      <c r="AF16" s="162">
        <v>0</v>
      </c>
      <c r="AG16" s="162">
        <v>0</v>
      </c>
      <c r="AH16" s="162">
        <v>0</v>
      </c>
      <c r="AI16" s="162">
        <v>0</v>
      </c>
      <c r="AJ16" s="162">
        <v>0</v>
      </c>
      <c r="AK16" s="162">
        <v>0</v>
      </c>
      <c r="AL16" s="162"/>
      <c r="AM16" s="162"/>
      <c r="AN16" s="162"/>
      <c r="AO16" s="162"/>
      <c r="AP16" s="162"/>
      <c r="AQ16" s="162"/>
      <c r="AR16" s="162"/>
      <c r="AS16" s="149">
        <f t="shared" si="0"/>
        <v>0</v>
      </c>
      <c r="AT16" s="150">
        <f t="shared" si="1"/>
        <v>0</v>
      </c>
      <c r="AU16" s="150">
        <f t="shared" si="2"/>
        <v>0</v>
      </c>
      <c r="AV16" s="165">
        <f t="shared" si="3"/>
        <v>0</v>
      </c>
      <c r="AW16" s="106"/>
      <c r="AX16" s="106"/>
      <c r="AY16" s="78"/>
      <c r="AZ16" s="78"/>
      <c r="BA16" s="78"/>
    </row>
    <row r="17" spans="1:53" ht="18" hidden="1">
      <c r="A17" s="130">
        <v>15</v>
      </c>
      <c r="B17" s="131" t="s">
        <v>12</v>
      </c>
      <c r="C17" s="132" t="s">
        <v>72</v>
      </c>
      <c r="D17" s="132" t="s">
        <v>22</v>
      </c>
      <c r="E17" s="133">
        <v>0.2</v>
      </c>
      <c r="F17" s="134">
        <f>IFERROR(_xlfn.XLOOKUP(C17,Projection_!A:A,Projection_!R:R),0)</f>
        <v>0</v>
      </c>
      <c r="G17" s="162">
        <v>0</v>
      </c>
      <c r="H17" s="162">
        <v>0</v>
      </c>
      <c r="I17" s="162">
        <v>0</v>
      </c>
      <c r="J17" s="162">
        <v>0</v>
      </c>
      <c r="K17" s="162">
        <v>0</v>
      </c>
      <c r="L17" s="162">
        <v>0</v>
      </c>
      <c r="M17" s="162">
        <v>0</v>
      </c>
      <c r="N17" s="162">
        <v>0</v>
      </c>
      <c r="O17" s="162">
        <v>0</v>
      </c>
      <c r="P17" s="162">
        <v>0</v>
      </c>
      <c r="Q17" s="162">
        <v>0</v>
      </c>
      <c r="R17" s="162">
        <v>0</v>
      </c>
      <c r="S17" s="162">
        <v>0</v>
      </c>
      <c r="T17" s="162">
        <v>0</v>
      </c>
      <c r="U17" s="162">
        <v>0</v>
      </c>
      <c r="V17" s="162">
        <v>0</v>
      </c>
      <c r="W17" s="162">
        <v>0</v>
      </c>
      <c r="X17" s="162">
        <v>0</v>
      </c>
      <c r="Y17" s="162">
        <v>0</v>
      </c>
      <c r="Z17" s="162">
        <v>0</v>
      </c>
      <c r="AA17" s="162">
        <v>0</v>
      </c>
      <c r="AB17" s="162">
        <v>0</v>
      </c>
      <c r="AC17" s="162">
        <v>0</v>
      </c>
      <c r="AD17" s="162">
        <v>0</v>
      </c>
      <c r="AE17" s="162">
        <v>0</v>
      </c>
      <c r="AF17" s="162">
        <v>0</v>
      </c>
      <c r="AG17" s="162">
        <v>0</v>
      </c>
      <c r="AH17" s="162">
        <v>0</v>
      </c>
      <c r="AI17" s="162">
        <v>0</v>
      </c>
      <c r="AJ17" s="162">
        <v>0</v>
      </c>
      <c r="AK17" s="162">
        <v>0</v>
      </c>
      <c r="AL17" s="162"/>
      <c r="AM17" s="162"/>
      <c r="AN17" s="162"/>
      <c r="AO17" s="162"/>
      <c r="AP17" s="162"/>
      <c r="AQ17" s="162"/>
      <c r="AR17" s="162"/>
      <c r="AS17" s="149">
        <f t="shared" si="0"/>
        <v>0</v>
      </c>
      <c r="AT17" s="150">
        <f t="shared" si="1"/>
        <v>0</v>
      </c>
      <c r="AU17" s="150">
        <f t="shared" si="2"/>
        <v>0</v>
      </c>
      <c r="AV17" s="165">
        <f t="shared" si="3"/>
        <v>0</v>
      </c>
      <c r="AW17" s="106"/>
      <c r="AX17" s="106"/>
      <c r="AY17" s="78"/>
      <c r="AZ17" s="78"/>
      <c r="BA17" s="78"/>
    </row>
    <row r="18" spans="1:53" ht="18" hidden="1">
      <c r="A18" s="139">
        <v>16</v>
      </c>
      <c r="B18" s="131" t="s">
        <v>12</v>
      </c>
      <c r="C18" s="132" t="s">
        <v>70</v>
      </c>
      <c r="D18" s="132" t="s">
        <v>14</v>
      </c>
      <c r="E18" s="133">
        <v>0.2</v>
      </c>
      <c r="F18" s="134">
        <f>IFERROR(_xlfn.XLOOKUP(C18,Projection_!A:A,Projection_!R:R),0)</f>
        <v>0</v>
      </c>
      <c r="G18" s="162">
        <v>0</v>
      </c>
      <c r="H18" s="162">
        <v>0</v>
      </c>
      <c r="I18" s="162">
        <v>0</v>
      </c>
      <c r="J18" s="162">
        <v>0</v>
      </c>
      <c r="K18" s="162">
        <v>0</v>
      </c>
      <c r="L18" s="162">
        <v>0</v>
      </c>
      <c r="M18" s="162">
        <v>0</v>
      </c>
      <c r="N18" s="162">
        <v>0</v>
      </c>
      <c r="O18" s="162">
        <v>0</v>
      </c>
      <c r="P18" s="162">
        <v>0</v>
      </c>
      <c r="Q18" s="162">
        <v>0</v>
      </c>
      <c r="R18" s="162">
        <v>0</v>
      </c>
      <c r="S18" s="162">
        <v>0</v>
      </c>
      <c r="T18" s="162">
        <v>0</v>
      </c>
      <c r="U18" s="162">
        <v>0</v>
      </c>
      <c r="V18" s="162">
        <v>0</v>
      </c>
      <c r="W18" s="162">
        <v>0</v>
      </c>
      <c r="X18" s="162">
        <v>0</v>
      </c>
      <c r="Y18" s="162">
        <v>0</v>
      </c>
      <c r="Z18" s="162">
        <v>0</v>
      </c>
      <c r="AA18" s="162">
        <v>0</v>
      </c>
      <c r="AB18" s="162">
        <v>0</v>
      </c>
      <c r="AC18" s="162">
        <v>0</v>
      </c>
      <c r="AD18" s="162">
        <v>0</v>
      </c>
      <c r="AE18" s="162">
        <v>0</v>
      </c>
      <c r="AF18" s="162">
        <v>0</v>
      </c>
      <c r="AG18" s="162">
        <v>0</v>
      </c>
      <c r="AH18" s="162">
        <v>0</v>
      </c>
      <c r="AI18" s="162">
        <v>0</v>
      </c>
      <c r="AJ18" s="162">
        <v>0</v>
      </c>
      <c r="AK18" s="162">
        <v>0</v>
      </c>
      <c r="AL18" s="162"/>
      <c r="AM18" s="162"/>
      <c r="AN18" s="162"/>
      <c r="AO18" s="162"/>
      <c r="AP18" s="162"/>
      <c r="AQ18" s="162"/>
      <c r="AR18" s="162"/>
      <c r="AS18" s="149">
        <f t="shared" si="0"/>
        <v>0</v>
      </c>
      <c r="AT18" s="150">
        <f t="shared" si="1"/>
        <v>0</v>
      </c>
      <c r="AU18" s="150">
        <f t="shared" si="2"/>
        <v>0</v>
      </c>
      <c r="AV18" s="165">
        <f t="shared" si="3"/>
        <v>0</v>
      </c>
      <c r="AW18" s="106"/>
      <c r="AX18" s="106"/>
      <c r="AY18" s="78"/>
      <c r="AZ18" s="78"/>
      <c r="BA18" s="78"/>
    </row>
    <row r="19" spans="1:53" ht="18" hidden="1">
      <c r="A19" s="130">
        <v>17</v>
      </c>
      <c r="B19" s="131" t="s">
        <v>12</v>
      </c>
      <c r="C19" s="132" t="s">
        <v>67</v>
      </c>
      <c r="D19" s="132" t="s">
        <v>9</v>
      </c>
      <c r="E19" s="133">
        <v>0.2</v>
      </c>
      <c r="F19" s="134">
        <f>IFERROR(_xlfn.XLOOKUP(C19,Projection_!A:A,Projection_!R:R),0)</f>
        <v>0</v>
      </c>
      <c r="G19" s="162">
        <v>0</v>
      </c>
      <c r="H19" s="162">
        <v>0</v>
      </c>
      <c r="I19" s="162">
        <v>0</v>
      </c>
      <c r="J19" s="162">
        <v>0</v>
      </c>
      <c r="K19" s="162">
        <v>0</v>
      </c>
      <c r="L19" s="162">
        <v>0</v>
      </c>
      <c r="M19" s="162">
        <v>0</v>
      </c>
      <c r="N19" s="162">
        <v>0</v>
      </c>
      <c r="O19" s="162">
        <v>0</v>
      </c>
      <c r="P19" s="162">
        <v>0</v>
      </c>
      <c r="Q19" s="162">
        <v>0</v>
      </c>
      <c r="R19" s="162">
        <v>0</v>
      </c>
      <c r="S19" s="162">
        <v>0</v>
      </c>
      <c r="T19" s="162">
        <v>0</v>
      </c>
      <c r="U19" s="162">
        <v>0</v>
      </c>
      <c r="V19" s="162">
        <v>0</v>
      </c>
      <c r="W19" s="162">
        <v>0</v>
      </c>
      <c r="X19" s="162">
        <v>0</v>
      </c>
      <c r="Y19" s="162">
        <v>0</v>
      </c>
      <c r="Z19" s="162">
        <v>0</v>
      </c>
      <c r="AA19" s="162">
        <v>0</v>
      </c>
      <c r="AB19" s="162">
        <v>0</v>
      </c>
      <c r="AC19" s="162">
        <v>0</v>
      </c>
      <c r="AD19" s="162">
        <v>0</v>
      </c>
      <c r="AE19" s="162">
        <v>0</v>
      </c>
      <c r="AF19" s="162">
        <v>0</v>
      </c>
      <c r="AG19" s="162">
        <v>0</v>
      </c>
      <c r="AH19" s="162">
        <v>0</v>
      </c>
      <c r="AI19" s="162">
        <v>0</v>
      </c>
      <c r="AJ19" s="162">
        <v>0</v>
      </c>
      <c r="AK19" s="162">
        <v>0</v>
      </c>
      <c r="AL19" s="162"/>
      <c r="AM19" s="162"/>
      <c r="AN19" s="162"/>
      <c r="AO19" s="162"/>
      <c r="AP19" s="162"/>
      <c r="AQ19" s="162"/>
      <c r="AR19" s="162"/>
      <c r="AS19" s="149">
        <f t="shared" si="0"/>
        <v>0</v>
      </c>
      <c r="AT19" s="150">
        <f t="shared" si="1"/>
        <v>0</v>
      </c>
      <c r="AU19" s="150">
        <f t="shared" si="2"/>
        <v>0</v>
      </c>
      <c r="AV19" s="165">
        <f t="shared" si="3"/>
        <v>0</v>
      </c>
      <c r="AW19" s="106"/>
      <c r="AX19" s="114"/>
      <c r="AY19" s="168"/>
      <c r="AZ19" s="168"/>
      <c r="BA19" s="168"/>
    </row>
    <row r="20" spans="1:53" ht="18" hidden="1">
      <c r="A20" s="139">
        <v>18</v>
      </c>
      <c r="B20" s="131" t="s">
        <v>12</v>
      </c>
      <c r="C20" s="132" t="s">
        <v>146</v>
      </c>
      <c r="D20" s="132" t="s">
        <v>147</v>
      </c>
      <c r="E20" s="133"/>
      <c r="F20" s="134">
        <f>IFERROR(_xlfn.XLOOKUP(C20,Projection_!A:A,Projection_!R:R),0)</f>
        <v>0</v>
      </c>
      <c r="G20" s="162">
        <v>0</v>
      </c>
      <c r="H20" s="162">
        <v>0</v>
      </c>
      <c r="I20" s="162">
        <v>0</v>
      </c>
      <c r="J20" s="162">
        <v>0</v>
      </c>
      <c r="K20" s="162">
        <v>0</v>
      </c>
      <c r="L20" s="162">
        <v>0</v>
      </c>
      <c r="M20" s="162">
        <v>0</v>
      </c>
      <c r="N20" s="162">
        <v>0</v>
      </c>
      <c r="O20" s="162">
        <v>0</v>
      </c>
      <c r="P20" s="162">
        <v>0</v>
      </c>
      <c r="Q20" s="162">
        <v>0</v>
      </c>
      <c r="R20" s="162">
        <v>0</v>
      </c>
      <c r="S20" s="162">
        <v>0</v>
      </c>
      <c r="T20" s="162">
        <v>0</v>
      </c>
      <c r="U20" s="162">
        <v>0</v>
      </c>
      <c r="V20" s="162">
        <v>0</v>
      </c>
      <c r="W20" s="162">
        <v>0</v>
      </c>
      <c r="X20" s="162">
        <v>0</v>
      </c>
      <c r="Y20" s="162">
        <v>0</v>
      </c>
      <c r="Z20" s="162">
        <v>0</v>
      </c>
      <c r="AA20" s="162">
        <v>0</v>
      </c>
      <c r="AB20" s="162">
        <v>0</v>
      </c>
      <c r="AC20" s="162">
        <v>0</v>
      </c>
      <c r="AD20" s="162">
        <v>0</v>
      </c>
      <c r="AE20" s="162">
        <v>0</v>
      </c>
      <c r="AF20" s="162">
        <v>0</v>
      </c>
      <c r="AG20" s="162">
        <v>0</v>
      </c>
      <c r="AH20" s="162">
        <v>0</v>
      </c>
      <c r="AI20" s="162">
        <v>0</v>
      </c>
      <c r="AJ20" s="162">
        <v>0</v>
      </c>
      <c r="AK20" s="162">
        <v>0</v>
      </c>
      <c r="AL20" s="162"/>
      <c r="AM20" s="162"/>
      <c r="AN20" s="162"/>
      <c r="AO20" s="162"/>
      <c r="AP20" s="162"/>
      <c r="AQ20" s="162"/>
      <c r="AR20" s="162"/>
      <c r="AS20" s="149">
        <f t="shared" si="0"/>
        <v>0</v>
      </c>
      <c r="AT20" s="150">
        <f t="shared" si="1"/>
        <v>0</v>
      </c>
      <c r="AU20" s="150">
        <f t="shared" si="2"/>
        <v>0</v>
      </c>
      <c r="AV20" s="165">
        <f t="shared" si="3"/>
        <v>0</v>
      </c>
      <c r="AW20" s="106"/>
      <c r="AX20" s="114"/>
      <c r="AY20" s="168"/>
      <c r="AZ20" s="168"/>
      <c r="BA20" s="168"/>
    </row>
    <row r="21" spans="1:53" ht="18" hidden="1">
      <c r="A21" s="130">
        <v>19</v>
      </c>
      <c r="B21" s="141" t="s">
        <v>12</v>
      </c>
      <c r="C21" s="142" t="s">
        <v>77</v>
      </c>
      <c r="D21" s="143" t="s">
        <v>140</v>
      </c>
      <c r="E21" s="145"/>
      <c r="F21" s="134">
        <f>IFERROR(_xlfn.XLOOKUP(C21,Projection_!A:A,Projection_!R:R),0)</f>
        <v>0</v>
      </c>
      <c r="G21" s="162">
        <v>0</v>
      </c>
      <c r="H21" s="162">
        <v>0</v>
      </c>
      <c r="I21" s="162">
        <v>0</v>
      </c>
      <c r="J21" s="162">
        <v>0</v>
      </c>
      <c r="K21" s="162">
        <v>0</v>
      </c>
      <c r="L21" s="162">
        <v>0</v>
      </c>
      <c r="M21" s="162">
        <v>0</v>
      </c>
      <c r="N21" s="162">
        <v>0</v>
      </c>
      <c r="O21" s="162">
        <v>0</v>
      </c>
      <c r="P21" s="162">
        <v>0</v>
      </c>
      <c r="Q21" s="162">
        <v>0</v>
      </c>
      <c r="R21" s="162">
        <v>0</v>
      </c>
      <c r="S21" s="162">
        <v>0</v>
      </c>
      <c r="T21" s="162">
        <v>0</v>
      </c>
      <c r="U21" s="162">
        <v>0</v>
      </c>
      <c r="V21" s="162">
        <v>0</v>
      </c>
      <c r="W21" s="162">
        <v>0</v>
      </c>
      <c r="X21" s="162">
        <v>0</v>
      </c>
      <c r="Y21" s="162">
        <v>0</v>
      </c>
      <c r="Z21" s="162">
        <v>0</v>
      </c>
      <c r="AA21" s="162">
        <v>0</v>
      </c>
      <c r="AB21" s="162">
        <v>0</v>
      </c>
      <c r="AC21" s="162">
        <v>0</v>
      </c>
      <c r="AD21" s="162">
        <v>0</v>
      </c>
      <c r="AE21" s="162">
        <v>0</v>
      </c>
      <c r="AF21" s="162">
        <v>0</v>
      </c>
      <c r="AG21" s="162">
        <v>0</v>
      </c>
      <c r="AH21" s="162">
        <v>0</v>
      </c>
      <c r="AI21" s="162">
        <v>0</v>
      </c>
      <c r="AJ21" s="162">
        <v>0</v>
      </c>
      <c r="AK21" s="162">
        <v>0</v>
      </c>
      <c r="AL21" s="162"/>
      <c r="AM21" s="162"/>
      <c r="AN21" s="162"/>
      <c r="AO21" s="162"/>
      <c r="AP21" s="162"/>
      <c r="AQ21" s="162"/>
      <c r="AR21" s="162"/>
      <c r="AS21" s="149">
        <f t="shared" si="0"/>
        <v>0</v>
      </c>
      <c r="AT21" s="150">
        <f t="shared" si="1"/>
        <v>0</v>
      </c>
      <c r="AU21" s="150">
        <f t="shared" si="2"/>
        <v>0</v>
      </c>
      <c r="AV21" s="165">
        <f t="shared" si="3"/>
        <v>0</v>
      </c>
      <c r="AW21" s="106"/>
      <c r="AX21" s="106"/>
      <c r="AY21" s="78"/>
      <c r="AZ21" s="78"/>
      <c r="BA21" s="78"/>
    </row>
    <row r="22" spans="1:53" ht="30" hidden="1" customHeight="1">
      <c r="A22" s="185" t="s">
        <v>127</v>
      </c>
      <c r="B22" s="186"/>
      <c r="C22" s="186"/>
      <c r="D22" s="187"/>
      <c r="E22" s="145"/>
      <c r="F22" s="118">
        <f t="shared" ref="F22:AK22" si="4">SUM(F3:F21)</f>
        <v>735</v>
      </c>
      <c r="G22" s="118">
        <f t="shared" si="4"/>
        <v>0</v>
      </c>
      <c r="H22" s="118">
        <f t="shared" si="4"/>
        <v>0</v>
      </c>
      <c r="I22" s="118">
        <f t="shared" si="4"/>
        <v>0</v>
      </c>
      <c r="J22" s="118">
        <f t="shared" si="4"/>
        <v>283</v>
      </c>
      <c r="K22" s="118">
        <f t="shared" si="4"/>
        <v>0</v>
      </c>
      <c r="L22" s="118">
        <f t="shared" si="4"/>
        <v>0</v>
      </c>
      <c r="M22" s="118">
        <f t="shared" si="4"/>
        <v>0</v>
      </c>
      <c r="N22" s="118">
        <f t="shared" si="4"/>
        <v>0</v>
      </c>
      <c r="O22" s="118">
        <f t="shared" si="4"/>
        <v>0</v>
      </c>
      <c r="P22" s="118">
        <f t="shared" si="4"/>
        <v>0</v>
      </c>
      <c r="Q22" s="118">
        <f t="shared" si="4"/>
        <v>268</v>
      </c>
      <c r="R22" s="118">
        <f t="shared" si="4"/>
        <v>0</v>
      </c>
      <c r="S22" s="118">
        <f t="shared" si="4"/>
        <v>0</v>
      </c>
      <c r="T22" s="118">
        <f t="shared" si="4"/>
        <v>0</v>
      </c>
      <c r="U22" s="118">
        <f t="shared" si="4"/>
        <v>0</v>
      </c>
      <c r="V22" s="118">
        <f t="shared" si="4"/>
        <v>20</v>
      </c>
      <c r="W22" s="118">
        <f t="shared" si="4"/>
        <v>20</v>
      </c>
      <c r="X22" s="118">
        <f t="shared" si="4"/>
        <v>0</v>
      </c>
      <c r="Y22" s="118">
        <f t="shared" si="4"/>
        <v>0</v>
      </c>
      <c r="Z22" s="118">
        <f t="shared" si="4"/>
        <v>0</v>
      </c>
      <c r="AA22" s="118">
        <f t="shared" si="4"/>
        <v>0</v>
      </c>
      <c r="AB22" s="118">
        <f t="shared" si="4"/>
        <v>0</v>
      </c>
      <c r="AC22" s="118">
        <f t="shared" si="4"/>
        <v>0</v>
      </c>
      <c r="AD22" s="118">
        <f t="shared" si="4"/>
        <v>0</v>
      </c>
      <c r="AE22" s="118">
        <f t="shared" si="4"/>
        <v>0</v>
      </c>
      <c r="AF22" s="118">
        <f t="shared" si="4"/>
        <v>100</v>
      </c>
      <c r="AG22" s="118">
        <f t="shared" si="4"/>
        <v>0</v>
      </c>
      <c r="AH22" s="118">
        <f t="shared" si="4"/>
        <v>0</v>
      </c>
      <c r="AI22" s="118">
        <f t="shared" si="4"/>
        <v>77</v>
      </c>
      <c r="AJ22" s="118">
        <f t="shared" si="4"/>
        <v>0</v>
      </c>
      <c r="AK22" s="118">
        <f t="shared" si="4"/>
        <v>0</v>
      </c>
      <c r="AL22" s="118"/>
      <c r="AM22" s="118"/>
      <c r="AN22" s="118"/>
      <c r="AO22" s="118"/>
      <c r="AP22" s="118"/>
      <c r="AQ22" s="118"/>
      <c r="AR22" s="118"/>
      <c r="AS22" s="118">
        <f>SUM(AS3:AS21)</f>
        <v>768</v>
      </c>
      <c r="AT22" s="118">
        <f>SUM(AT3:AT21)</f>
        <v>196</v>
      </c>
      <c r="AU22" s="118">
        <f>SUM(AU3:AU21)</f>
        <v>33</v>
      </c>
      <c r="AV22" s="146">
        <f t="shared" si="3"/>
        <v>1.0448979591836736</v>
      </c>
      <c r="AW22" s="106"/>
      <c r="AX22" s="106"/>
      <c r="AY22" s="78"/>
      <c r="AZ22" s="78"/>
      <c r="BA22" s="78"/>
    </row>
    <row r="23" spans="1:53" ht="22.5" customHeight="1">
      <c r="A23" s="78"/>
      <c r="B23" s="79"/>
      <c r="C23" s="79"/>
      <c r="D23" s="79"/>
      <c r="E23" s="79"/>
      <c r="F23" s="79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AH23" s="78"/>
      <c r="AI23" s="78"/>
      <c r="AJ23" s="78"/>
      <c r="AK23" s="78"/>
      <c r="AL23" s="78"/>
      <c r="AM23" s="78"/>
      <c r="AN23" s="78"/>
      <c r="AO23" s="78"/>
      <c r="AP23" s="78"/>
      <c r="AQ23" s="78"/>
      <c r="AR23" s="78"/>
      <c r="AS23" s="79"/>
      <c r="AT23" s="78"/>
      <c r="AU23" s="79"/>
      <c r="AV23" s="80"/>
      <c r="AW23" s="78"/>
      <c r="AX23" s="78"/>
      <c r="AY23" s="78"/>
      <c r="AZ23" s="78"/>
      <c r="BA23" s="78"/>
    </row>
  </sheetData>
  <autoFilter ref="A2:BA22" xr:uid="{670F085F-6246-4A23-A8E5-35FD6A10BE86}">
    <filterColumn colId="5">
      <filters>
        <filter val="265"/>
        <filter val="315"/>
      </filters>
    </filterColumn>
  </autoFilter>
  <conditionalFormatting sqref="G3:AR21">
    <cfRule type="cellIs" dxfId="11" priority="6" stopIfTrue="1" operator="lessThanOrEqual">
      <formula>0</formula>
    </cfRule>
  </conditionalFormatting>
  <pageMargins left="0.70000000000000007" right="0.70000000000000007" top="0.75" bottom="0.75" header="0.30000000000000004" footer="0.3000000000000000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B658E-9A2E-4C1D-B2C2-A13BD1062AA9}">
  <dimension ref="A1:BE23"/>
  <sheetViews>
    <sheetView workbookViewId="0"/>
  </sheetViews>
  <sheetFormatPr defaultColWidth="12" defaultRowHeight="15.75" customHeight="1"/>
  <cols>
    <col min="1" max="2" width="12" customWidth="1"/>
    <col min="3" max="3" width="15.54296875" hidden="1" customWidth="1"/>
    <col min="4" max="4" width="53.453125" customWidth="1"/>
    <col min="5" max="5" width="9.08984375" hidden="1" customWidth="1"/>
    <col min="6" max="6" width="11.7265625" customWidth="1"/>
    <col min="7" max="7" width="8.81640625" customWidth="1"/>
    <col min="8" max="8" width="7.7265625" customWidth="1"/>
    <col min="9" max="9" width="8.26953125" customWidth="1"/>
    <col min="10" max="13" width="7.7265625" customWidth="1"/>
    <col min="14" max="15" width="13.90625" customWidth="1"/>
    <col min="16" max="16" width="14.54296875" customWidth="1"/>
    <col min="17" max="23" width="9.26953125" customWidth="1"/>
    <col min="24" max="24" width="13.90625" customWidth="1"/>
    <col min="25" max="25" width="14.81640625" customWidth="1"/>
    <col min="26" max="26" width="14.7265625" customWidth="1"/>
    <col min="27" max="27" width="8.26953125" customWidth="1"/>
    <col min="28" max="28" width="7.7265625" customWidth="1"/>
    <col min="29" max="33" width="8.26953125" customWidth="1"/>
    <col min="34" max="34" width="14.7265625" customWidth="1"/>
    <col min="35" max="36" width="14.54296875" customWidth="1"/>
    <col min="37" max="42" width="8.26953125" customWidth="1"/>
    <col min="43" max="45" width="9.26953125" customWidth="1"/>
    <col min="46" max="46" width="14.26953125" customWidth="1"/>
    <col min="47" max="48" width="14.54296875" customWidth="1"/>
    <col min="49" max="49" width="15.54296875" customWidth="1"/>
    <col min="50" max="50" width="16.453125" customWidth="1"/>
    <col min="51" max="51" width="17.54296875" customWidth="1"/>
    <col min="52" max="52" width="18.36328125" customWidth="1"/>
    <col min="53" max="53" width="36" customWidth="1"/>
    <col min="54" max="57" width="34.08984375" customWidth="1"/>
    <col min="58" max="58" width="12" customWidth="1"/>
  </cols>
  <sheetData>
    <row r="1" spans="1:57" ht="22.5" customHeight="1">
      <c r="A1" s="78"/>
      <c r="B1" s="79"/>
      <c r="C1" s="79"/>
      <c r="D1" s="79"/>
      <c r="E1" s="79"/>
      <c r="F1" s="79">
        <f>SUBTOTAL(9,F3:F19)</f>
        <v>0</v>
      </c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78"/>
      <c r="AP1" s="78"/>
      <c r="AQ1" s="78"/>
      <c r="AR1" s="78"/>
      <c r="AS1" s="78"/>
      <c r="AT1" s="78"/>
      <c r="AU1" s="78"/>
      <c r="AV1" s="78"/>
      <c r="AW1" s="155">
        <f>SUBTOTAL(9,AW3:AW21)</f>
        <v>0</v>
      </c>
      <c r="AX1" s="182">
        <f>SUBTOTAL(9,AX3:AX21)</f>
        <v>0</v>
      </c>
      <c r="AY1" s="155">
        <f>SUBTOTAL(9,AY3:AY21)</f>
        <v>0</v>
      </c>
      <c r="AZ1" s="80">
        <f>IFERROR(AW1/SUBTOTAL(9,F3:F21),0)</f>
        <v>0</v>
      </c>
      <c r="BA1" s="78"/>
      <c r="BB1" s="78"/>
      <c r="BC1" s="78"/>
      <c r="BD1" s="78"/>
      <c r="BE1" s="78"/>
    </row>
    <row r="2" spans="1:57" s="129" customFormat="1" ht="87" customHeight="1">
      <c r="A2" s="126" t="s">
        <v>106</v>
      </c>
      <c r="B2" s="126" t="s">
        <v>6</v>
      </c>
      <c r="C2" s="83" t="s">
        <v>59</v>
      </c>
      <c r="D2" s="83" t="s">
        <v>108</v>
      </c>
      <c r="E2" s="84" t="s">
        <v>109</v>
      </c>
      <c r="F2" s="85" t="s">
        <v>164</v>
      </c>
      <c r="G2" s="90" t="s">
        <v>165</v>
      </c>
      <c r="H2" s="90">
        <v>26</v>
      </c>
      <c r="I2" s="90">
        <v>27</v>
      </c>
      <c r="J2" s="90">
        <v>28</v>
      </c>
      <c r="K2" s="90">
        <v>29</v>
      </c>
      <c r="L2" s="90">
        <v>30</v>
      </c>
      <c r="M2" s="90">
        <v>31</v>
      </c>
      <c r="N2" s="90" t="s">
        <v>166</v>
      </c>
      <c r="O2" s="90" t="s">
        <v>167</v>
      </c>
      <c r="P2" s="90" t="s">
        <v>168</v>
      </c>
      <c r="Q2" s="90">
        <v>1</v>
      </c>
      <c r="R2" s="90">
        <v>2</v>
      </c>
      <c r="S2" s="90">
        <v>3</v>
      </c>
      <c r="T2" s="90">
        <v>4</v>
      </c>
      <c r="U2" s="90">
        <v>5</v>
      </c>
      <c r="V2" s="90">
        <v>6</v>
      </c>
      <c r="W2" s="90">
        <v>7</v>
      </c>
      <c r="X2" s="90" t="s">
        <v>169</v>
      </c>
      <c r="Y2" s="90" t="s">
        <v>170</v>
      </c>
      <c r="Z2" s="90" t="s">
        <v>171</v>
      </c>
      <c r="AA2" s="90">
        <v>8</v>
      </c>
      <c r="AB2" s="90">
        <v>9</v>
      </c>
      <c r="AC2" s="90">
        <v>10</v>
      </c>
      <c r="AD2" s="90">
        <v>11</v>
      </c>
      <c r="AE2" s="90">
        <v>12</v>
      </c>
      <c r="AF2" s="90">
        <v>13</v>
      </c>
      <c r="AG2" s="90">
        <v>14</v>
      </c>
      <c r="AH2" s="90" t="s">
        <v>172</v>
      </c>
      <c r="AI2" s="90" t="s">
        <v>173</v>
      </c>
      <c r="AJ2" s="90" t="s">
        <v>174</v>
      </c>
      <c r="AK2" s="90">
        <v>15</v>
      </c>
      <c r="AL2" s="90">
        <v>16</v>
      </c>
      <c r="AM2" s="90">
        <v>17</v>
      </c>
      <c r="AN2" s="90">
        <v>18</v>
      </c>
      <c r="AO2" s="90">
        <v>19</v>
      </c>
      <c r="AP2" s="90">
        <v>20</v>
      </c>
      <c r="AQ2" s="90">
        <v>21</v>
      </c>
      <c r="AR2" s="90">
        <v>22</v>
      </c>
      <c r="AS2" s="90">
        <v>23</v>
      </c>
      <c r="AT2" s="90" t="s">
        <v>175</v>
      </c>
      <c r="AU2" s="90" t="s">
        <v>176</v>
      </c>
      <c r="AV2" s="90" t="s">
        <v>177</v>
      </c>
      <c r="AW2" s="157" t="s">
        <v>150</v>
      </c>
      <c r="AX2" s="158" t="s">
        <v>112</v>
      </c>
      <c r="AY2" s="159" t="s">
        <v>151</v>
      </c>
      <c r="AZ2" s="160" t="s">
        <v>115</v>
      </c>
      <c r="BA2" s="90" t="s">
        <v>63</v>
      </c>
      <c r="BB2" s="90" t="s">
        <v>130</v>
      </c>
      <c r="BC2" s="91" t="s">
        <v>131</v>
      </c>
      <c r="BD2" s="91" t="s">
        <v>132</v>
      </c>
      <c r="BE2" s="91" t="s">
        <v>133</v>
      </c>
    </row>
    <row r="3" spans="1:57" ht="18">
      <c r="A3" s="188">
        <v>1</v>
      </c>
      <c r="B3" s="94" t="s">
        <v>12</v>
      </c>
      <c r="C3" s="95" t="s">
        <v>79</v>
      </c>
      <c r="D3" s="95" t="s">
        <v>37</v>
      </c>
      <c r="E3" s="96">
        <v>0</v>
      </c>
      <c r="F3" s="96">
        <f>IFERROR(_xlfn.XLOOKUP(C3,Projection_!A:A,Projection_!N:N),0)</f>
        <v>0</v>
      </c>
      <c r="G3" s="189">
        <v>0</v>
      </c>
      <c r="H3" s="189">
        <v>0</v>
      </c>
      <c r="I3" s="189">
        <v>0</v>
      </c>
      <c r="J3" s="189">
        <v>0</v>
      </c>
      <c r="K3" s="189">
        <v>0</v>
      </c>
      <c r="L3" s="189">
        <v>0</v>
      </c>
      <c r="M3" s="189">
        <v>0</v>
      </c>
      <c r="N3" s="190">
        <f>SUM(G3:M3)</f>
        <v>0</v>
      </c>
      <c r="O3" s="191">
        <f t="shared" ref="O3:O21" si="0">N3*E3</f>
        <v>0</v>
      </c>
      <c r="P3" s="192">
        <f t="shared" ref="P3:P21" si="1">F3*40%</f>
        <v>0</v>
      </c>
      <c r="Q3" s="189">
        <v>0</v>
      </c>
      <c r="R3" s="189">
        <v>0</v>
      </c>
      <c r="S3" s="189">
        <v>0</v>
      </c>
      <c r="T3" s="189">
        <v>0</v>
      </c>
      <c r="U3" s="189">
        <v>0</v>
      </c>
      <c r="V3" s="189">
        <v>0</v>
      </c>
      <c r="W3" s="189">
        <v>0</v>
      </c>
      <c r="X3" s="190">
        <f t="shared" ref="X3:X21" si="2">SUM(Q3:W3)</f>
        <v>0</v>
      </c>
      <c r="Y3" s="191">
        <f t="shared" ref="Y3:Y21" si="3">X3*E3</f>
        <v>0</v>
      </c>
      <c r="Z3" s="192">
        <f t="shared" ref="Z3:Z21" si="4">F3*30%</f>
        <v>0</v>
      </c>
      <c r="AA3" s="189">
        <v>0</v>
      </c>
      <c r="AB3" s="189">
        <v>0</v>
      </c>
      <c r="AC3" s="189">
        <v>0</v>
      </c>
      <c r="AD3" s="189">
        <v>0</v>
      </c>
      <c r="AE3" s="189">
        <v>0</v>
      </c>
      <c r="AF3" s="189">
        <v>0</v>
      </c>
      <c r="AG3" s="189">
        <v>0</v>
      </c>
      <c r="AH3" s="191">
        <f t="shared" ref="AH3:AH21" si="5">AI3*E3</f>
        <v>0</v>
      </c>
      <c r="AI3" s="190">
        <f t="shared" ref="AI3:AI21" si="6">SUM(AA3:AG3)</f>
        <v>0</v>
      </c>
      <c r="AJ3" s="192">
        <f t="shared" ref="AJ3:AJ21" si="7">F3*20%</f>
        <v>0</v>
      </c>
      <c r="AK3" s="189">
        <v>0</v>
      </c>
      <c r="AL3" s="189">
        <v>0</v>
      </c>
      <c r="AM3" s="189">
        <v>0</v>
      </c>
      <c r="AN3" s="189">
        <v>0</v>
      </c>
      <c r="AO3" s="189">
        <v>0</v>
      </c>
      <c r="AP3" s="189">
        <v>0</v>
      </c>
      <c r="AQ3" s="189">
        <v>0</v>
      </c>
      <c r="AR3" s="189">
        <v>0</v>
      </c>
      <c r="AS3" s="189">
        <v>0</v>
      </c>
      <c r="AT3" s="190">
        <f t="shared" ref="AT3:AT21" si="8">SUM(AK3:AS3)</f>
        <v>0</v>
      </c>
      <c r="AU3" s="191">
        <f t="shared" ref="AU3:AU21" si="9">AT3*E3</f>
        <v>0</v>
      </c>
      <c r="AV3" s="192">
        <f t="shared" ref="AV3:AV21" si="10">F3*10%</f>
        <v>0</v>
      </c>
      <c r="AW3" s="190">
        <f t="shared" ref="AW3:AW21" si="11">N3+X3+AI3+AT3</f>
        <v>0</v>
      </c>
      <c r="AX3" s="191">
        <f t="shared" ref="AX3:AX21" si="12">AW3*E3</f>
        <v>0</v>
      </c>
      <c r="AY3" s="193">
        <f t="shared" ref="AY3:AY21" si="13">IFERROR(AW3-F3,0)</f>
        <v>0</v>
      </c>
      <c r="AZ3" s="194">
        <f t="shared" ref="AZ3:AZ21" si="14">IFERROR(AW3/F3,0)</f>
        <v>0</v>
      </c>
      <c r="BA3" s="106"/>
      <c r="BB3" s="106"/>
      <c r="BC3" s="78"/>
      <c r="BD3" s="78"/>
      <c r="BE3" s="78"/>
    </row>
    <row r="4" spans="1:57" ht="18">
      <c r="A4" s="93">
        <v>2</v>
      </c>
      <c r="B4" s="94" t="s">
        <v>12</v>
      </c>
      <c r="C4" s="95" t="s">
        <v>83</v>
      </c>
      <c r="D4" s="95" t="s">
        <v>48</v>
      </c>
      <c r="E4" s="96">
        <v>1</v>
      </c>
      <c r="F4" s="96">
        <f>IFERROR(_xlfn.XLOOKUP(C4,Projection_!A:A,Projection_!N:N),0)</f>
        <v>0</v>
      </c>
      <c r="G4" s="189">
        <v>0</v>
      </c>
      <c r="H4" s="189">
        <v>0</v>
      </c>
      <c r="I4" s="189">
        <v>0</v>
      </c>
      <c r="J4" s="189">
        <v>0</v>
      </c>
      <c r="K4" s="189">
        <v>0</v>
      </c>
      <c r="L4" s="189">
        <v>0</v>
      </c>
      <c r="M4" s="189">
        <v>0</v>
      </c>
      <c r="N4" s="190">
        <f>SUM(G4:M4)</f>
        <v>0</v>
      </c>
      <c r="O4" s="191">
        <f t="shared" si="0"/>
        <v>0</v>
      </c>
      <c r="P4" s="192">
        <f t="shared" si="1"/>
        <v>0</v>
      </c>
      <c r="Q4" s="189">
        <v>0</v>
      </c>
      <c r="R4" s="189">
        <v>0</v>
      </c>
      <c r="S4" s="189">
        <v>0</v>
      </c>
      <c r="T4" s="189">
        <v>0</v>
      </c>
      <c r="U4" s="189">
        <v>0</v>
      </c>
      <c r="V4" s="189">
        <v>0</v>
      </c>
      <c r="W4" s="189">
        <v>0</v>
      </c>
      <c r="X4" s="190">
        <f t="shared" si="2"/>
        <v>0</v>
      </c>
      <c r="Y4" s="191">
        <f t="shared" si="3"/>
        <v>0</v>
      </c>
      <c r="Z4" s="192">
        <f t="shared" si="4"/>
        <v>0</v>
      </c>
      <c r="AA4" s="189">
        <v>0</v>
      </c>
      <c r="AB4" s="189">
        <v>0</v>
      </c>
      <c r="AC4" s="189">
        <v>0</v>
      </c>
      <c r="AD4" s="189">
        <v>0</v>
      </c>
      <c r="AE4" s="189">
        <v>0</v>
      </c>
      <c r="AF4" s="189">
        <v>0</v>
      </c>
      <c r="AG4" s="189">
        <v>0</v>
      </c>
      <c r="AH4" s="191">
        <f t="shared" si="5"/>
        <v>0</v>
      </c>
      <c r="AI4" s="190">
        <f t="shared" si="6"/>
        <v>0</v>
      </c>
      <c r="AJ4" s="192">
        <f t="shared" si="7"/>
        <v>0</v>
      </c>
      <c r="AK4" s="189">
        <v>0</v>
      </c>
      <c r="AL4" s="189">
        <v>0</v>
      </c>
      <c r="AM4" s="189">
        <v>0</v>
      </c>
      <c r="AN4" s="189">
        <v>0</v>
      </c>
      <c r="AO4" s="189">
        <v>0</v>
      </c>
      <c r="AP4" s="189">
        <v>0</v>
      </c>
      <c r="AQ4" s="189">
        <v>0</v>
      </c>
      <c r="AR4" s="189">
        <v>0</v>
      </c>
      <c r="AS4" s="189">
        <v>0</v>
      </c>
      <c r="AT4" s="190">
        <f t="shared" si="8"/>
        <v>0</v>
      </c>
      <c r="AU4" s="191">
        <f t="shared" si="9"/>
        <v>0</v>
      </c>
      <c r="AV4" s="192">
        <f t="shared" si="10"/>
        <v>0</v>
      </c>
      <c r="AW4" s="190">
        <f t="shared" si="11"/>
        <v>0</v>
      </c>
      <c r="AX4" s="191">
        <f t="shared" si="12"/>
        <v>0</v>
      </c>
      <c r="AY4" s="193">
        <f t="shared" si="13"/>
        <v>0</v>
      </c>
      <c r="AZ4" s="194">
        <f t="shared" si="14"/>
        <v>0</v>
      </c>
      <c r="BA4" s="106"/>
      <c r="BB4" s="106"/>
      <c r="BC4" s="78"/>
      <c r="BD4" s="78"/>
      <c r="BE4" s="78"/>
    </row>
    <row r="5" spans="1:57" ht="18">
      <c r="A5" s="188">
        <v>3</v>
      </c>
      <c r="B5" s="94" t="s">
        <v>12</v>
      </c>
      <c r="C5" s="95" t="s">
        <v>80</v>
      </c>
      <c r="D5" s="95" t="s">
        <v>136</v>
      </c>
      <c r="E5" s="96">
        <v>5</v>
      </c>
      <c r="F5" s="96">
        <f>IFERROR(_xlfn.XLOOKUP(C5,Projection_!A:A,Projection_!N:N),0)</f>
        <v>0</v>
      </c>
      <c r="G5" s="189">
        <v>0</v>
      </c>
      <c r="H5" s="189">
        <v>0</v>
      </c>
      <c r="I5" s="189">
        <v>0</v>
      </c>
      <c r="J5" s="189">
        <v>0</v>
      </c>
      <c r="K5" s="189">
        <v>0</v>
      </c>
      <c r="L5" s="189">
        <v>0</v>
      </c>
      <c r="M5" s="189">
        <v>0</v>
      </c>
      <c r="N5" s="190">
        <f>SUM(G5:M5)</f>
        <v>0</v>
      </c>
      <c r="O5" s="191">
        <f t="shared" si="0"/>
        <v>0</v>
      </c>
      <c r="P5" s="192">
        <f t="shared" si="1"/>
        <v>0</v>
      </c>
      <c r="Q5" s="189">
        <v>0</v>
      </c>
      <c r="R5" s="189">
        <v>0</v>
      </c>
      <c r="S5" s="189">
        <v>0</v>
      </c>
      <c r="T5" s="189">
        <v>0</v>
      </c>
      <c r="U5" s="189">
        <v>0</v>
      </c>
      <c r="V5" s="189">
        <v>0</v>
      </c>
      <c r="W5" s="189">
        <v>0</v>
      </c>
      <c r="X5" s="190">
        <f t="shared" si="2"/>
        <v>0</v>
      </c>
      <c r="Y5" s="191">
        <f t="shared" si="3"/>
        <v>0</v>
      </c>
      <c r="Z5" s="192">
        <f t="shared" si="4"/>
        <v>0</v>
      </c>
      <c r="AA5" s="189">
        <v>0</v>
      </c>
      <c r="AB5" s="189">
        <v>0</v>
      </c>
      <c r="AC5" s="189">
        <v>0</v>
      </c>
      <c r="AD5" s="189">
        <v>0</v>
      </c>
      <c r="AE5" s="189">
        <v>0</v>
      </c>
      <c r="AF5" s="189">
        <v>0</v>
      </c>
      <c r="AG5" s="189">
        <v>0</v>
      </c>
      <c r="AH5" s="191">
        <f t="shared" si="5"/>
        <v>0</v>
      </c>
      <c r="AI5" s="190">
        <f t="shared" si="6"/>
        <v>0</v>
      </c>
      <c r="AJ5" s="192">
        <f t="shared" si="7"/>
        <v>0</v>
      </c>
      <c r="AK5" s="189">
        <v>0</v>
      </c>
      <c r="AL5" s="189">
        <v>0</v>
      </c>
      <c r="AM5" s="189">
        <v>0</v>
      </c>
      <c r="AN5" s="189">
        <v>0</v>
      </c>
      <c r="AO5" s="189">
        <v>0</v>
      </c>
      <c r="AP5" s="189">
        <v>0</v>
      </c>
      <c r="AQ5" s="189">
        <v>0</v>
      </c>
      <c r="AR5" s="189">
        <v>0</v>
      </c>
      <c r="AS5" s="189">
        <v>0</v>
      </c>
      <c r="AT5" s="190">
        <f t="shared" si="8"/>
        <v>0</v>
      </c>
      <c r="AU5" s="191">
        <f t="shared" si="9"/>
        <v>0</v>
      </c>
      <c r="AV5" s="192">
        <f t="shared" si="10"/>
        <v>0</v>
      </c>
      <c r="AW5" s="190">
        <f t="shared" si="11"/>
        <v>0</v>
      </c>
      <c r="AX5" s="191">
        <f t="shared" si="12"/>
        <v>0</v>
      </c>
      <c r="AY5" s="193">
        <f t="shared" si="13"/>
        <v>0</v>
      </c>
      <c r="AZ5" s="194">
        <f t="shared" si="14"/>
        <v>0</v>
      </c>
      <c r="BA5" s="106"/>
      <c r="BB5" s="106"/>
      <c r="BC5" s="78"/>
      <c r="BD5" s="78"/>
      <c r="BE5" s="78"/>
    </row>
    <row r="6" spans="1:57" ht="18">
      <c r="A6" s="93">
        <v>4</v>
      </c>
      <c r="B6" s="94" t="s">
        <v>12</v>
      </c>
      <c r="C6" s="95" t="s">
        <v>82</v>
      </c>
      <c r="D6" s="95" t="s">
        <v>44</v>
      </c>
      <c r="E6" s="96">
        <v>0.25</v>
      </c>
      <c r="F6" s="96">
        <f>IFERROR(_xlfn.XLOOKUP(C6,Projection_!A:A,Projection_!N:N),0)</f>
        <v>0</v>
      </c>
      <c r="G6" s="189">
        <v>0</v>
      </c>
      <c r="H6" s="189">
        <v>0</v>
      </c>
      <c r="I6" s="189">
        <v>0</v>
      </c>
      <c r="J6" s="189">
        <v>0</v>
      </c>
      <c r="K6" s="189">
        <v>0</v>
      </c>
      <c r="L6" s="189">
        <v>0</v>
      </c>
      <c r="M6" s="189">
        <v>0</v>
      </c>
      <c r="N6" s="190">
        <f>SUM(G6:M6)</f>
        <v>0</v>
      </c>
      <c r="O6" s="191">
        <f t="shared" si="0"/>
        <v>0</v>
      </c>
      <c r="P6" s="192">
        <f t="shared" si="1"/>
        <v>0</v>
      </c>
      <c r="Q6" s="189">
        <v>0</v>
      </c>
      <c r="R6" s="189">
        <v>0</v>
      </c>
      <c r="S6" s="189">
        <v>0</v>
      </c>
      <c r="T6" s="189">
        <v>0</v>
      </c>
      <c r="U6" s="189">
        <v>0</v>
      </c>
      <c r="V6" s="189">
        <v>0</v>
      </c>
      <c r="W6" s="189">
        <v>0</v>
      </c>
      <c r="X6" s="190">
        <f t="shared" si="2"/>
        <v>0</v>
      </c>
      <c r="Y6" s="191">
        <f t="shared" si="3"/>
        <v>0</v>
      </c>
      <c r="Z6" s="192">
        <f t="shared" si="4"/>
        <v>0</v>
      </c>
      <c r="AA6" s="189">
        <v>0</v>
      </c>
      <c r="AB6" s="189">
        <v>0</v>
      </c>
      <c r="AC6" s="189">
        <v>0</v>
      </c>
      <c r="AD6" s="189">
        <v>0</v>
      </c>
      <c r="AE6" s="189">
        <v>0</v>
      </c>
      <c r="AF6" s="189">
        <v>0</v>
      </c>
      <c r="AG6" s="189">
        <v>0</v>
      </c>
      <c r="AH6" s="191">
        <f t="shared" si="5"/>
        <v>0</v>
      </c>
      <c r="AI6" s="190">
        <f t="shared" si="6"/>
        <v>0</v>
      </c>
      <c r="AJ6" s="192">
        <f t="shared" si="7"/>
        <v>0</v>
      </c>
      <c r="AK6" s="189">
        <v>0</v>
      </c>
      <c r="AL6" s="189">
        <v>0</v>
      </c>
      <c r="AM6" s="189">
        <v>0</v>
      </c>
      <c r="AN6" s="189">
        <v>0</v>
      </c>
      <c r="AO6" s="189">
        <v>0</v>
      </c>
      <c r="AP6" s="189">
        <v>0</v>
      </c>
      <c r="AQ6" s="189">
        <v>0</v>
      </c>
      <c r="AR6" s="189">
        <v>0</v>
      </c>
      <c r="AS6" s="189">
        <v>0</v>
      </c>
      <c r="AT6" s="190">
        <f t="shared" si="8"/>
        <v>0</v>
      </c>
      <c r="AU6" s="191">
        <f t="shared" si="9"/>
        <v>0</v>
      </c>
      <c r="AV6" s="192">
        <f t="shared" si="10"/>
        <v>0</v>
      </c>
      <c r="AW6" s="190">
        <f t="shared" si="11"/>
        <v>0</v>
      </c>
      <c r="AX6" s="191">
        <f t="shared" si="12"/>
        <v>0</v>
      </c>
      <c r="AY6" s="193">
        <f t="shared" si="13"/>
        <v>0</v>
      </c>
      <c r="AZ6" s="194">
        <f t="shared" si="14"/>
        <v>0</v>
      </c>
      <c r="BA6" s="106"/>
      <c r="BB6" s="106"/>
      <c r="BC6" s="78"/>
      <c r="BD6" s="78"/>
      <c r="BE6" s="78"/>
    </row>
    <row r="7" spans="1:57" ht="18">
      <c r="A7" s="188">
        <v>5</v>
      </c>
      <c r="B7" s="94" t="s">
        <v>12</v>
      </c>
      <c r="C7" s="95" t="s">
        <v>76</v>
      </c>
      <c r="D7" s="95" t="s">
        <v>26</v>
      </c>
      <c r="E7" s="96">
        <v>0.5</v>
      </c>
      <c r="F7" s="96">
        <f>IFERROR(_xlfn.XLOOKUP(C7,Projection_!A:A,Projection_!N:N),0)</f>
        <v>0</v>
      </c>
      <c r="G7" s="189">
        <v>0</v>
      </c>
      <c r="H7" s="189">
        <v>0</v>
      </c>
      <c r="I7" s="189">
        <v>0</v>
      </c>
      <c r="J7" s="189">
        <v>0</v>
      </c>
      <c r="K7" s="189">
        <v>0</v>
      </c>
      <c r="L7" s="189">
        <v>0</v>
      </c>
      <c r="M7" s="189">
        <v>0</v>
      </c>
      <c r="N7" s="190">
        <f>SUM(G7:L7)</f>
        <v>0</v>
      </c>
      <c r="O7" s="191">
        <f t="shared" si="0"/>
        <v>0</v>
      </c>
      <c r="P7" s="192">
        <f t="shared" si="1"/>
        <v>0</v>
      </c>
      <c r="Q7" s="189">
        <v>0</v>
      </c>
      <c r="R7" s="189">
        <v>0</v>
      </c>
      <c r="S7" s="189">
        <v>0</v>
      </c>
      <c r="T7" s="189">
        <v>0</v>
      </c>
      <c r="U7" s="189">
        <v>0</v>
      </c>
      <c r="V7" s="189">
        <v>0</v>
      </c>
      <c r="W7" s="189">
        <v>0</v>
      </c>
      <c r="X7" s="190">
        <f t="shared" si="2"/>
        <v>0</v>
      </c>
      <c r="Y7" s="191">
        <f t="shared" si="3"/>
        <v>0</v>
      </c>
      <c r="Z7" s="192">
        <f t="shared" si="4"/>
        <v>0</v>
      </c>
      <c r="AA7" s="189">
        <v>0</v>
      </c>
      <c r="AB7" s="189">
        <v>0</v>
      </c>
      <c r="AC7" s="189">
        <v>0</v>
      </c>
      <c r="AD7" s="189">
        <v>0</v>
      </c>
      <c r="AE7" s="189">
        <v>0</v>
      </c>
      <c r="AF7" s="189">
        <v>0</v>
      </c>
      <c r="AG7" s="189">
        <v>0</v>
      </c>
      <c r="AH7" s="191">
        <f t="shared" si="5"/>
        <v>0</v>
      </c>
      <c r="AI7" s="190">
        <f t="shared" si="6"/>
        <v>0</v>
      </c>
      <c r="AJ7" s="192">
        <f t="shared" si="7"/>
        <v>0</v>
      </c>
      <c r="AK7" s="189">
        <v>0</v>
      </c>
      <c r="AL7" s="189">
        <v>0</v>
      </c>
      <c r="AM7" s="189">
        <v>0</v>
      </c>
      <c r="AN7" s="189">
        <v>0</v>
      </c>
      <c r="AO7" s="189">
        <v>0</v>
      </c>
      <c r="AP7" s="189">
        <v>0</v>
      </c>
      <c r="AQ7" s="189">
        <v>0</v>
      </c>
      <c r="AR7" s="189">
        <v>0</v>
      </c>
      <c r="AS7" s="189">
        <v>0</v>
      </c>
      <c r="AT7" s="190">
        <f t="shared" si="8"/>
        <v>0</v>
      </c>
      <c r="AU7" s="191">
        <f t="shared" si="9"/>
        <v>0</v>
      </c>
      <c r="AV7" s="192">
        <f t="shared" si="10"/>
        <v>0</v>
      </c>
      <c r="AW7" s="190">
        <f t="shared" si="11"/>
        <v>0</v>
      </c>
      <c r="AX7" s="191">
        <f t="shared" si="12"/>
        <v>0</v>
      </c>
      <c r="AY7" s="193">
        <f t="shared" si="13"/>
        <v>0</v>
      </c>
      <c r="AZ7" s="194">
        <f t="shared" si="14"/>
        <v>0</v>
      </c>
      <c r="BA7" s="106"/>
      <c r="BB7" s="106"/>
      <c r="BC7" s="78"/>
      <c r="BD7" s="78"/>
      <c r="BE7" s="78"/>
    </row>
    <row r="8" spans="1:57" ht="18">
      <c r="A8" s="93">
        <v>6</v>
      </c>
      <c r="B8" s="94" t="s">
        <v>12</v>
      </c>
      <c r="C8" s="95" t="s">
        <v>73</v>
      </c>
      <c r="D8" s="95" t="s">
        <v>23</v>
      </c>
      <c r="E8" s="96">
        <v>0.5</v>
      </c>
      <c r="F8" s="96">
        <f>IFERROR(_xlfn.XLOOKUP(C8,Projection_!A:A,Projection_!N:N),0)</f>
        <v>0</v>
      </c>
      <c r="G8" s="189">
        <v>0</v>
      </c>
      <c r="H8" s="189">
        <v>0</v>
      </c>
      <c r="I8" s="189">
        <v>0</v>
      </c>
      <c r="J8" s="189">
        <v>0</v>
      </c>
      <c r="K8" s="189">
        <v>0</v>
      </c>
      <c r="L8" s="189">
        <v>0</v>
      </c>
      <c r="M8" s="189">
        <v>0</v>
      </c>
      <c r="N8" s="190">
        <f>SUM(G8:M8)</f>
        <v>0</v>
      </c>
      <c r="O8" s="191">
        <f t="shared" si="0"/>
        <v>0</v>
      </c>
      <c r="P8" s="192">
        <f t="shared" si="1"/>
        <v>0</v>
      </c>
      <c r="Q8" s="189">
        <v>0</v>
      </c>
      <c r="R8" s="189">
        <v>0</v>
      </c>
      <c r="S8" s="189">
        <v>0</v>
      </c>
      <c r="T8" s="189">
        <v>0</v>
      </c>
      <c r="U8" s="189">
        <v>0</v>
      </c>
      <c r="V8" s="189">
        <v>0</v>
      </c>
      <c r="W8" s="189">
        <v>0</v>
      </c>
      <c r="X8" s="190">
        <f t="shared" si="2"/>
        <v>0</v>
      </c>
      <c r="Y8" s="191">
        <f t="shared" si="3"/>
        <v>0</v>
      </c>
      <c r="Z8" s="192">
        <f t="shared" si="4"/>
        <v>0</v>
      </c>
      <c r="AA8" s="189">
        <v>0</v>
      </c>
      <c r="AB8" s="189">
        <v>0</v>
      </c>
      <c r="AC8" s="189">
        <v>0</v>
      </c>
      <c r="AD8" s="189">
        <v>0</v>
      </c>
      <c r="AE8" s="189">
        <v>0</v>
      </c>
      <c r="AF8" s="189">
        <v>0</v>
      </c>
      <c r="AG8" s="189">
        <v>0</v>
      </c>
      <c r="AH8" s="191">
        <f t="shared" si="5"/>
        <v>0</v>
      </c>
      <c r="AI8" s="190">
        <f t="shared" si="6"/>
        <v>0</v>
      </c>
      <c r="AJ8" s="192">
        <f t="shared" si="7"/>
        <v>0</v>
      </c>
      <c r="AK8" s="189">
        <v>0</v>
      </c>
      <c r="AL8" s="189">
        <v>0</v>
      </c>
      <c r="AM8" s="189">
        <v>0</v>
      </c>
      <c r="AN8" s="189">
        <v>0</v>
      </c>
      <c r="AO8" s="189">
        <v>0</v>
      </c>
      <c r="AP8" s="189">
        <v>0</v>
      </c>
      <c r="AQ8" s="189">
        <v>0</v>
      </c>
      <c r="AR8" s="189">
        <v>0</v>
      </c>
      <c r="AS8" s="189">
        <v>0</v>
      </c>
      <c r="AT8" s="190">
        <f t="shared" si="8"/>
        <v>0</v>
      </c>
      <c r="AU8" s="191">
        <f t="shared" si="9"/>
        <v>0</v>
      </c>
      <c r="AV8" s="192">
        <f t="shared" si="10"/>
        <v>0</v>
      </c>
      <c r="AW8" s="190">
        <f t="shared" si="11"/>
        <v>0</v>
      </c>
      <c r="AX8" s="191">
        <f t="shared" si="12"/>
        <v>0</v>
      </c>
      <c r="AY8" s="193">
        <f t="shared" si="13"/>
        <v>0</v>
      </c>
      <c r="AZ8" s="194">
        <f t="shared" si="14"/>
        <v>0</v>
      </c>
      <c r="BA8" s="106"/>
      <c r="BB8" s="106"/>
      <c r="BC8" s="78"/>
      <c r="BD8" s="78"/>
      <c r="BE8" s="78"/>
    </row>
    <row r="9" spans="1:57" ht="18">
      <c r="A9" s="188">
        <v>7</v>
      </c>
      <c r="B9" s="94" t="s">
        <v>12</v>
      </c>
      <c r="C9" s="95" t="s">
        <v>74</v>
      </c>
      <c r="D9" s="95" t="s">
        <v>178</v>
      </c>
      <c r="E9" s="112">
        <v>0.5</v>
      </c>
      <c r="F9" s="96">
        <f>IFERROR(_xlfn.XLOOKUP(C9,Projection_!A:A,Projection_!N:N),0)</f>
        <v>0</v>
      </c>
      <c r="G9" s="189">
        <v>0</v>
      </c>
      <c r="H9" s="189">
        <v>0</v>
      </c>
      <c r="I9" s="189">
        <v>0</v>
      </c>
      <c r="J9" s="189">
        <v>0</v>
      </c>
      <c r="K9" s="189">
        <v>0</v>
      </c>
      <c r="L9" s="189">
        <v>0</v>
      </c>
      <c r="M9" s="189">
        <v>0</v>
      </c>
      <c r="N9" s="190">
        <f>SUM(G9:L9)</f>
        <v>0</v>
      </c>
      <c r="O9" s="191">
        <f t="shared" si="0"/>
        <v>0</v>
      </c>
      <c r="P9" s="192">
        <f t="shared" si="1"/>
        <v>0</v>
      </c>
      <c r="Q9" s="189">
        <v>0</v>
      </c>
      <c r="R9" s="189">
        <v>0</v>
      </c>
      <c r="S9" s="189">
        <v>0</v>
      </c>
      <c r="T9" s="189">
        <v>0</v>
      </c>
      <c r="U9" s="189">
        <v>0</v>
      </c>
      <c r="V9" s="189">
        <v>0</v>
      </c>
      <c r="W9" s="189">
        <v>0</v>
      </c>
      <c r="X9" s="190">
        <f t="shared" si="2"/>
        <v>0</v>
      </c>
      <c r="Y9" s="191">
        <f t="shared" si="3"/>
        <v>0</v>
      </c>
      <c r="Z9" s="192">
        <f t="shared" si="4"/>
        <v>0</v>
      </c>
      <c r="AA9" s="189">
        <v>0</v>
      </c>
      <c r="AB9" s="189">
        <v>0</v>
      </c>
      <c r="AC9" s="189">
        <v>0</v>
      </c>
      <c r="AD9" s="189">
        <v>0</v>
      </c>
      <c r="AE9" s="189">
        <v>0</v>
      </c>
      <c r="AF9" s="189">
        <v>0</v>
      </c>
      <c r="AG9" s="189">
        <v>0</v>
      </c>
      <c r="AH9" s="191">
        <f t="shared" si="5"/>
        <v>0</v>
      </c>
      <c r="AI9" s="190">
        <f t="shared" si="6"/>
        <v>0</v>
      </c>
      <c r="AJ9" s="192">
        <f t="shared" si="7"/>
        <v>0</v>
      </c>
      <c r="AK9" s="189">
        <v>0</v>
      </c>
      <c r="AL9" s="189">
        <v>0</v>
      </c>
      <c r="AM9" s="189">
        <v>0</v>
      </c>
      <c r="AN9" s="189">
        <v>0</v>
      </c>
      <c r="AO9" s="189">
        <v>0</v>
      </c>
      <c r="AP9" s="189">
        <v>0</v>
      </c>
      <c r="AQ9" s="189">
        <v>0</v>
      </c>
      <c r="AR9" s="189">
        <v>0</v>
      </c>
      <c r="AS9" s="189">
        <v>0</v>
      </c>
      <c r="AT9" s="190">
        <f t="shared" si="8"/>
        <v>0</v>
      </c>
      <c r="AU9" s="191">
        <f t="shared" si="9"/>
        <v>0</v>
      </c>
      <c r="AV9" s="192">
        <f t="shared" si="10"/>
        <v>0</v>
      </c>
      <c r="AW9" s="190">
        <f t="shared" si="11"/>
        <v>0</v>
      </c>
      <c r="AX9" s="191">
        <f t="shared" si="12"/>
        <v>0</v>
      </c>
      <c r="AY9" s="193">
        <f t="shared" si="13"/>
        <v>0</v>
      </c>
      <c r="AZ9" s="194">
        <f t="shared" si="14"/>
        <v>0</v>
      </c>
      <c r="BA9" s="106"/>
      <c r="BB9" s="106"/>
      <c r="BC9" s="78"/>
      <c r="BD9" s="78"/>
      <c r="BE9" s="78"/>
    </row>
    <row r="10" spans="1:57" ht="18">
      <c r="A10" s="93">
        <v>8</v>
      </c>
      <c r="B10" s="94" t="s">
        <v>12</v>
      </c>
      <c r="C10" s="95" t="s">
        <v>125</v>
      </c>
      <c r="D10" s="95" t="s">
        <v>46</v>
      </c>
      <c r="E10" s="96">
        <v>0.1</v>
      </c>
      <c r="F10" s="96">
        <f>IFERROR(_xlfn.XLOOKUP(C10,Projection_!A:A,Projection_!N:N),0)</f>
        <v>0</v>
      </c>
      <c r="G10" s="189">
        <v>0</v>
      </c>
      <c r="H10" s="189">
        <v>0</v>
      </c>
      <c r="I10" s="189">
        <v>0</v>
      </c>
      <c r="J10" s="189">
        <v>0</v>
      </c>
      <c r="K10" s="189">
        <v>0</v>
      </c>
      <c r="L10" s="189">
        <v>0</v>
      </c>
      <c r="M10" s="189">
        <v>0</v>
      </c>
      <c r="N10" s="190">
        <f>SUM(G10:L10)</f>
        <v>0</v>
      </c>
      <c r="O10" s="191">
        <f t="shared" si="0"/>
        <v>0</v>
      </c>
      <c r="P10" s="192">
        <f t="shared" si="1"/>
        <v>0</v>
      </c>
      <c r="Q10" s="189">
        <v>0</v>
      </c>
      <c r="R10" s="189">
        <v>0</v>
      </c>
      <c r="S10" s="189">
        <v>0</v>
      </c>
      <c r="T10" s="189">
        <v>0</v>
      </c>
      <c r="U10" s="189">
        <v>0</v>
      </c>
      <c r="V10" s="189">
        <v>0</v>
      </c>
      <c r="W10" s="189">
        <v>0</v>
      </c>
      <c r="X10" s="190">
        <f t="shared" si="2"/>
        <v>0</v>
      </c>
      <c r="Y10" s="191">
        <f t="shared" si="3"/>
        <v>0</v>
      </c>
      <c r="Z10" s="192">
        <f t="shared" si="4"/>
        <v>0</v>
      </c>
      <c r="AA10" s="189">
        <v>0</v>
      </c>
      <c r="AB10" s="189">
        <v>0</v>
      </c>
      <c r="AC10" s="189">
        <v>0</v>
      </c>
      <c r="AD10" s="189">
        <v>0</v>
      </c>
      <c r="AE10" s="189">
        <v>0</v>
      </c>
      <c r="AF10" s="189">
        <v>0</v>
      </c>
      <c r="AG10" s="189">
        <v>0</v>
      </c>
      <c r="AH10" s="191">
        <f t="shared" si="5"/>
        <v>0</v>
      </c>
      <c r="AI10" s="190">
        <f t="shared" si="6"/>
        <v>0</v>
      </c>
      <c r="AJ10" s="192">
        <f t="shared" si="7"/>
        <v>0</v>
      </c>
      <c r="AK10" s="189">
        <v>0</v>
      </c>
      <c r="AL10" s="189">
        <v>0</v>
      </c>
      <c r="AM10" s="189">
        <v>0</v>
      </c>
      <c r="AN10" s="189">
        <v>0</v>
      </c>
      <c r="AO10" s="189">
        <v>0</v>
      </c>
      <c r="AP10" s="189">
        <v>0</v>
      </c>
      <c r="AQ10" s="189">
        <v>0</v>
      </c>
      <c r="AR10" s="189">
        <v>0</v>
      </c>
      <c r="AS10" s="189">
        <v>0</v>
      </c>
      <c r="AT10" s="190">
        <f t="shared" si="8"/>
        <v>0</v>
      </c>
      <c r="AU10" s="191">
        <f t="shared" si="9"/>
        <v>0</v>
      </c>
      <c r="AV10" s="192">
        <f t="shared" si="10"/>
        <v>0</v>
      </c>
      <c r="AW10" s="190">
        <f t="shared" si="11"/>
        <v>0</v>
      </c>
      <c r="AX10" s="191">
        <f t="shared" si="12"/>
        <v>0</v>
      </c>
      <c r="AY10" s="193">
        <f t="shared" si="13"/>
        <v>0</v>
      </c>
      <c r="AZ10" s="194">
        <f t="shared" si="14"/>
        <v>0</v>
      </c>
      <c r="BA10" s="106" t="s">
        <v>179</v>
      </c>
      <c r="BB10" s="106"/>
      <c r="BC10" s="78"/>
      <c r="BD10" s="78"/>
      <c r="BE10" s="78"/>
    </row>
    <row r="11" spans="1:57" ht="18">
      <c r="A11" s="188">
        <v>9</v>
      </c>
      <c r="B11" s="94" t="s">
        <v>12</v>
      </c>
      <c r="C11" s="95" t="s">
        <v>81</v>
      </c>
      <c r="D11" s="95" t="s">
        <v>42</v>
      </c>
      <c r="E11" s="96">
        <v>1</v>
      </c>
      <c r="F11" s="96">
        <f>IFERROR(_xlfn.XLOOKUP(C11,Projection_!A:A,Projection_!N:N),0)</f>
        <v>0</v>
      </c>
      <c r="G11" s="189">
        <v>0</v>
      </c>
      <c r="H11" s="189">
        <v>0</v>
      </c>
      <c r="I11" s="189">
        <v>0</v>
      </c>
      <c r="J11" s="189">
        <v>0</v>
      </c>
      <c r="K11" s="189">
        <v>0</v>
      </c>
      <c r="L11" s="189">
        <v>0</v>
      </c>
      <c r="M11" s="189">
        <v>0</v>
      </c>
      <c r="N11" s="190">
        <f>SUM(G11:M11)</f>
        <v>0</v>
      </c>
      <c r="O11" s="191">
        <f t="shared" si="0"/>
        <v>0</v>
      </c>
      <c r="P11" s="192">
        <f t="shared" si="1"/>
        <v>0</v>
      </c>
      <c r="Q11" s="189">
        <v>0</v>
      </c>
      <c r="R11" s="189">
        <v>0</v>
      </c>
      <c r="S11" s="189">
        <v>0</v>
      </c>
      <c r="T11" s="189">
        <v>0</v>
      </c>
      <c r="U11" s="189">
        <v>0</v>
      </c>
      <c r="V11" s="189">
        <v>0</v>
      </c>
      <c r="W11" s="189">
        <v>0</v>
      </c>
      <c r="X11" s="190">
        <f t="shared" si="2"/>
        <v>0</v>
      </c>
      <c r="Y11" s="191">
        <f t="shared" si="3"/>
        <v>0</v>
      </c>
      <c r="Z11" s="192">
        <f t="shared" si="4"/>
        <v>0</v>
      </c>
      <c r="AA11" s="189">
        <v>0</v>
      </c>
      <c r="AB11" s="189">
        <v>0</v>
      </c>
      <c r="AC11" s="189">
        <v>0</v>
      </c>
      <c r="AD11" s="189">
        <v>0</v>
      </c>
      <c r="AE11" s="189">
        <v>0</v>
      </c>
      <c r="AF11" s="189">
        <v>0</v>
      </c>
      <c r="AG11" s="189">
        <v>0</v>
      </c>
      <c r="AH11" s="191">
        <f t="shared" si="5"/>
        <v>0</v>
      </c>
      <c r="AI11" s="190">
        <f t="shared" si="6"/>
        <v>0</v>
      </c>
      <c r="AJ11" s="192">
        <f t="shared" si="7"/>
        <v>0</v>
      </c>
      <c r="AK11" s="189">
        <v>0</v>
      </c>
      <c r="AL11" s="189">
        <v>0</v>
      </c>
      <c r="AM11" s="189">
        <v>0</v>
      </c>
      <c r="AN11" s="189">
        <v>0</v>
      </c>
      <c r="AO11" s="189">
        <v>0</v>
      </c>
      <c r="AP11" s="189">
        <v>0</v>
      </c>
      <c r="AQ11" s="189">
        <v>0</v>
      </c>
      <c r="AR11" s="189">
        <v>0</v>
      </c>
      <c r="AS11" s="189">
        <v>0</v>
      </c>
      <c r="AT11" s="190">
        <f t="shared" si="8"/>
        <v>0</v>
      </c>
      <c r="AU11" s="191">
        <f t="shared" si="9"/>
        <v>0</v>
      </c>
      <c r="AV11" s="192">
        <f t="shared" si="10"/>
        <v>0</v>
      </c>
      <c r="AW11" s="190">
        <f t="shared" si="11"/>
        <v>0</v>
      </c>
      <c r="AX11" s="191">
        <f t="shared" si="12"/>
        <v>0</v>
      </c>
      <c r="AY11" s="193">
        <f t="shared" si="13"/>
        <v>0</v>
      </c>
      <c r="AZ11" s="194">
        <f t="shared" si="14"/>
        <v>0</v>
      </c>
      <c r="BA11" s="106"/>
      <c r="BB11" s="106"/>
      <c r="BC11" s="78"/>
      <c r="BD11" s="78"/>
      <c r="BE11" s="78"/>
    </row>
    <row r="12" spans="1:57" ht="18">
      <c r="A12" s="93">
        <v>10</v>
      </c>
      <c r="B12" s="94" t="s">
        <v>12</v>
      </c>
      <c r="C12" s="95" t="s">
        <v>75</v>
      </c>
      <c r="D12" s="95" t="s">
        <v>25</v>
      </c>
      <c r="E12" s="96">
        <v>0.1</v>
      </c>
      <c r="F12" s="96">
        <f>IFERROR(_xlfn.XLOOKUP(C12,Projection_!A:A,Projection_!N:N),0)</f>
        <v>0</v>
      </c>
      <c r="G12" s="189">
        <v>0</v>
      </c>
      <c r="H12" s="189">
        <v>0</v>
      </c>
      <c r="I12" s="189">
        <v>0</v>
      </c>
      <c r="J12" s="189">
        <v>0</v>
      </c>
      <c r="K12" s="189">
        <v>0</v>
      </c>
      <c r="L12" s="189">
        <v>0</v>
      </c>
      <c r="M12" s="189">
        <v>0</v>
      </c>
      <c r="N12" s="190">
        <f t="shared" ref="N12:N21" si="15">SUM(G12:L12)</f>
        <v>0</v>
      </c>
      <c r="O12" s="191">
        <f t="shared" si="0"/>
        <v>0</v>
      </c>
      <c r="P12" s="192">
        <f t="shared" si="1"/>
        <v>0</v>
      </c>
      <c r="Q12" s="189">
        <v>0</v>
      </c>
      <c r="R12" s="189">
        <v>0</v>
      </c>
      <c r="S12" s="189">
        <v>0</v>
      </c>
      <c r="T12" s="189">
        <v>0</v>
      </c>
      <c r="U12" s="189">
        <v>0</v>
      </c>
      <c r="V12" s="189">
        <v>0</v>
      </c>
      <c r="W12" s="189">
        <v>0</v>
      </c>
      <c r="X12" s="190">
        <f t="shared" si="2"/>
        <v>0</v>
      </c>
      <c r="Y12" s="191">
        <f t="shared" si="3"/>
        <v>0</v>
      </c>
      <c r="Z12" s="192">
        <f t="shared" si="4"/>
        <v>0</v>
      </c>
      <c r="AA12" s="189">
        <v>0</v>
      </c>
      <c r="AB12" s="189">
        <v>0</v>
      </c>
      <c r="AC12" s="189">
        <v>0</v>
      </c>
      <c r="AD12" s="189">
        <v>0</v>
      </c>
      <c r="AE12" s="189">
        <v>0</v>
      </c>
      <c r="AF12" s="189">
        <v>0</v>
      </c>
      <c r="AG12" s="189">
        <v>0</v>
      </c>
      <c r="AH12" s="191">
        <f t="shared" si="5"/>
        <v>0</v>
      </c>
      <c r="AI12" s="190">
        <f t="shared" si="6"/>
        <v>0</v>
      </c>
      <c r="AJ12" s="192">
        <f t="shared" si="7"/>
        <v>0</v>
      </c>
      <c r="AK12" s="189">
        <v>0</v>
      </c>
      <c r="AL12" s="189">
        <v>0</v>
      </c>
      <c r="AM12" s="189">
        <v>0</v>
      </c>
      <c r="AN12" s="189">
        <v>0</v>
      </c>
      <c r="AO12" s="189">
        <v>0</v>
      </c>
      <c r="AP12" s="189">
        <v>0</v>
      </c>
      <c r="AQ12" s="189">
        <v>0</v>
      </c>
      <c r="AR12" s="189">
        <v>0</v>
      </c>
      <c r="AS12" s="189">
        <v>0</v>
      </c>
      <c r="AT12" s="190">
        <f t="shared" si="8"/>
        <v>0</v>
      </c>
      <c r="AU12" s="191">
        <f t="shared" si="9"/>
        <v>0</v>
      </c>
      <c r="AV12" s="192">
        <f t="shared" si="10"/>
        <v>0</v>
      </c>
      <c r="AW12" s="190">
        <f t="shared" si="11"/>
        <v>0</v>
      </c>
      <c r="AX12" s="191">
        <f t="shared" si="12"/>
        <v>0</v>
      </c>
      <c r="AY12" s="193">
        <f t="shared" si="13"/>
        <v>0</v>
      </c>
      <c r="AZ12" s="194">
        <f t="shared" si="14"/>
        <v>0</v>
      </c>
      <c r="BA12" s="106"/>
      <c r="BB12" s="106"/>
      <c r="BC12" s="78"/>
      <c r="BD12" s="78"/>
      <c r="BE12" s="78"/>
    </row>
    <row r="13" spans="1:57" ht="18">
      <c r="A13" s="188">
        <v>11</v>
      </c>
      <c r="B13" s="94" t="s">
        <v>12</v>
      </c>
      <c r="C13" s="95" t="s">
        <v>144</v>
      </c>
      <c r="D13" s="95" t="s">
        <v>145</v>
      </c>
      <c r="E13" s="96">
        <v>1</v>
      </c>
      <c r="F13" s="96">
        <f>IFERROR(_xlfn.XLOOKUP(C13,Projection_!A:A,Projection_!N:N),0)</f>
        <v>0</v>
      </c>
      <c r="G13" s="189">
        <v>0</v>
      </c>
      <c r="H13" s="189">
        <v>0</v>
      </c>
      <c r="I13" s="189">
        <v>0</v>
      </c>
      <c r="J13" s="189">
        <v>0</v>
      </c>
      <c r="K13" s="189">
        <v>0</v>
      </c>
      <c r="L13" s="189">
        <v>0</v>
      </c>
      <c r="M13" s="189">
        <v>0</v>
      </c>
      <c r="N13" s="190">
        <f t="shared" si="15"/>
        <v>0</v>
      </c>
      <c r="O13" s="191">
        <f t="shared" si="0"/>
        <v>0</v>
      </c>
      <c r="P13" s="192">
        <f t="shared" si="1"/>
        <v>0</v>
      </c>
      <c r="Q13" s="189">
        <v>0</v>
      </c>
      <c r="R13" s="189">
        <v>0</v>
      </c>
      <c r="S13" s="189">
        <v>0</v>
      </c>
      <c r="T13" s="189">
        <v>0</v>
      </c>
      <c r="U13" s="189">
        <v>0</v>
      </c>
      <c r="V13" s="189">
        <v>0</v>
      </c>
      <c r="W13" s="189">
        <v>0</v>
      </c>
      <c r="X13" s="190">
        <f t="shared" si="2"/>
        <v>0</v>
      </c>
      <c r="Y13" s="191">
        <f t="shared" si="3"/>
        <v>0</v>
      </c>
      <c r="Z13" s="192">
        <f t="shared" si="4"/>
        <v>0</v>
      </c>
      <c r="AA13" s="189">
        <v>0</v>
      </c>
      <c r="AB13" s="189">
        <v>0</v>
      </c>
      <c r="AC13" s="189">
        <v>0</v>
      </c>
      <c r="AD13" s="189">
        <v>0</v>
      </c>
      <c r="AE13" s="189">
        <v>0</v>
      </c>
      <c r="AF13" s="189">
        <v>0</v>
      </c>
      <c r="AG13" s="189">
        <v>0</v>
      </c>
      <c r="AH13" s="191">
        <f t="shared" si="5"/>
        <v>0</v>
      </c>
      <c r="AI13" s="190">
        <f t="shared" si="6"/>
        <v>0</v>
      </c>
      <c r="AJ13" s="192">
        <f t="shared" si="7"/>
        <v>0</v>
      </c>
      <c r="AK13" s="189">
        <v>0</v>
      </c>
      <c r="AL13" s="189">
        <v>0</v>
      </c>
      <c r="AM13" s="189">
        <v>0</v>
      </c>
      <c r="AN13" s="189">
        <v>0</v>
      </c>
      <c r="AO13" s="189">
        <v>0</v>
      </c>
      <c r="AP13" s="189">
        <v>0</v>
      </c>
      <c r="AQ13" s="189">
        <v>0</v>
      </c>
      <c r="AR13" s="189">
        <v>0</v>
      </c>
      <c r="AS13" s="189">
        <v>0</v>
      </c>
      <c r="AT13" s="190">
        <f t="shared" si="8"/>
        <v>0</v>
      </c>
      <c r="AU13" s="191">
        <f t="shared" si="9"/>
        <v>0</v>
      </c>
      <c r="AV13" s="192">
        <f t="shared" si="10"/>
        <v>0</v>
      </c>
      <c r="AW13" s="190">
        <f t="shared" si="11"/>
        <v>0</v>
      </c>
      <c r="AX13" s="191">
        <f t="shared" si="12"/>
        <v>0</v>
      </c>
      <c r="AY13" s="193">
        <f t="shared" si="13"/>
        <v>0</v>
      </c>
      <c r="AZ13" s="194">
        <f t="shared" si="14"/>
        <v>0</v>
      </c>
      <c r="BA13" s="106"/>
      <c r="BB13" s="106"/>
      <c r="BC13" s="78"/>
      <c r="BD13" s="78"/>
      <c r="BE13" s="78"/>
    </row>
    <row r="14" spans="1:57" ht="18">
      <c r="A14" s="93">
        <v>12</v>
      </c>
      <c r="B14" s="94" t="s">
        <v>12</v>
      </c>
      <c r="C14" s="95" t="s">
        <v>68</v>
      </c>
      <c r="D14" s="95" t="s">
        <v>13</v>
      </c>
      <c r="E14" s="96">
        <v>0.2</v>
      </c>
      <c r="F14" s="96">
        <f>IFERROR(_xlfn.XLOOKUP(C14,Projection_!A:A,Projection_!N:N),0)</f>
        <v>0</v>
      </c>
      <c r="G14" s="189">
        <v>0</v>
      </c>
      <c r="H14" s="189">
        <v>0</v>
      </c>
      <c r="I14" s="189">
        <v>0</v>
      </c>
      <c r="J14" s="189">
        <v>0</v>
      </c>
      <c r="K14" s="189">
        <v>0</v>
      </c>
      <c r="L14" s="189">
        <v>0</v>
      </c>
      <c r="M14" s="189">
        <v>0</v>
      </c>
      <c r="N14" s="190">
        <f t="shared" si="15"/>
        <v>0</v>
      </c>
      <c r="O14" s="191">
        <f t="shared" si="0"/>
        <v>0</v>
      </c>
      <c r="P14" s="192">
        <f t="shared" si="1"/>
        <v>0</v>
      </c>
      <c r="Q14" s="189">
        <v>0</v>
      </c>
      <c r="R14" s="189">
        <v>0</v>
      </c>
      <c r="S14" s="189">
        <v>0</v>
      </c>
      <c r="T14" s="189">
        <v>0</v>
      </c>
      <c r="U14" s="189">
        <v>0</v>
      </c>
      <c r="V14" s="189">
        <v>0</v>
      </c>
      <c r="W14" s="189">
        <v>0</v>
      </c>
      <c r="X14" s="190">
        <f t="shared" si="2"/>
        <v>0</v>
      </c>
      <c r="Y14" s="191">
        <f t="shared" si="3"/>
        <v>0</v>
      </c>
      <c r="Z14" s="192">
        <f t="shared" si="4"/>
        <v>0</v>
      </c>
      <c r="AA14" s="189">
        <v>0</v>
      </c>
      <c r="AB14" s="189">
        <v>0</v>
      </c>
      <c r="AC14" s="189">
        <v>0</v>
      </c>
      <c r="AD14" s="189">
        <v>0</v>
      </c>
      <c r="AE14" s="189">
        <v>0</v>
      </c>
      <c r="AF14" s="189">
        <v>0</v>
      </c>
      <c r="AG14" s="189">
        <v>0</v>
      </c>
      <c r="AH14" s="191">
        <f t="shared" si="5"/>
        <v>0</v>
      </c>
      <c r="AI14" s="190">
        <f t="shared" si="6"/>
        <v>0</v>
      </c>
      <c r="AJ14" s="192">
        <f t="shared" si="7"/>
        <v>0</v>
      </c>
      <c r="AK14" s="189">
        <v>0</v>
      </c>
      <c r="AL14" s="189">
        <v>0</v>
      </c>
      <c r="AM14" s="189">
        <v>0</v>
      </c>
      <c r="AN14" s="189">
        <v>0</v>
      </c>
      <c r="AO14" s="189">
        <v>0</v>
      </c>
      <c r="AP14" s="189">
        <v>0</v>
      </c>
      <c r="AQ14" s="189">
        <v>0</v>
      </c>
      <c r="AR14" s="189">
        <v>0</v>
      </c>
      <c r="AS14" s="189">
        <v>0</v>
      </c>
      <c r="AT14" s="190">
        <f t="shared" si="8"/>
        <v>0</v>
      </c>
      <c r="AU14" s="191">
        <f t="shared" si="9"/>
        <v>0</v>
      </c>
      <c r="AV14" s="192">
        <f t="shared" si="10"/>
        <v>0</v>
      </c>
      <c r="AW14" s="190">
        <f t="shared" si="11"/>
        <v>0</v>
      </c>
      <c r="AX14" s="191">
        <f t="shared" si="12"/>
        <v>0</v>
      </c>
      <c r="AY14" s="193">
        <f t="shared" si="13"/>
        <v>0</v>
      </c>
      <c r="AZ14" s="194">
        <f t="shared" si="14"/>
        <v>0</v>
      </c>
      <c r="BA14" s="106"/>
      <c r="BB14" s="106"/>
      <c r="BC14" s="78"/>
      <c r="BD14" s="78"/>
      <c r="BE14" s="78"/>
    </row>
    <row r="15" spans="1:57" ht="18">
      <c r="A15" s="188">
        <v>13</v>
      </c>
      <c r="B15" s="94" t="s">
        <v>12</v>
      </c>
      <c r="C15" s="95" t="s">
        <v>78</v>
      </c>
      <c r="D15" s="95" t="s">
        <v>35</v>
      </c>
      <c r="E15" s="96">
        <v>0.2</v>
      </c>
      <c r="F15" s="96">
        <f>IFERROR(_xlfn.XLOOKUP(C15,Projection_!A:A,Projection_!N:N),0)</f>
        <v>0</v>
      </c>
      <c r="G15" s="189">
        <v>0</v>
      </c>
      <c r="H15" s="189">
        <v>0</v>
      </c>
      <c r="I15" s="189">
        <v>0</v>
      </c>
      <c r="J15" s="189">
        <v>0</v>
      </c>
      <c r="K15" s="189">
        <v>0</v>
      </c>
      <c r="L15" s="189">
        <v>0</v>
      </c>
      <c r="M15" s="189">
        <v>0</v>
      </c>
      <c r="N15" s="190">
        <f t="shared" si="15"/>
        <v>0</v>
      </c>
      <c r="O15" s="191">
        <f t="shared" si="0"/>
        <v>0</v>
      </c>
      <c r="P15" s="192">
        <f t="shared" si="1"/>
        <v>0</v>
      </c>
      <c r="Q15" s="189">
        <v>0</v>
      </c>
      <c r="R15" s="189">
        <v>0</v>
      </c>
      <c r="S15" s="189">
        <v>0</v>
      </c>
      <c r="T15" s="189">
        <v>0</v>
      </c>
      <c r="U15" s="189">
        <v>0</v>
      </c>
      <c r="V15" s="189">
        <v>0</v>
      </c>
      <c r="W15" s="189">
        <v>0</v>
      </c>
      <c r="X15" s="190">
        <f t="shared" si="2"/>
        <v>0</v>
      </c>
      <c r="Y15" s="191">
        <f t="shared" si="3"/>
        <v>0</v>
      </c>
      <c r="Z15" s="192">
        <f t="shared" si="4"/>
        <v>0</v>
      </c>
      <c r="AA15" s="189">
        <v>0</v>
      </c>
      <c r="AB15" s="189">
        <v>0</v>
      </c>
      <c r="AC15" s="189">
        <v>0</v>
      </c>
      <c r="AD15" s="189">
        <v>0</v>
      </c>
      <c r="AE15" s="189">
        <v>0</v>
      </c>
      <c r="AF15" s="189">
        <v>0</v>
      </c>
      <c r="AG15" s="189">
        <v>0</v>
      </c>
      <c r="AH15" s="191">
        <f t="shared" si="5"/>
        <v>0</v>
      </c>
      <c r="AI15" s="190">
        <f t="shared" si="6"/>
        <v>0</v>
      </c>
      <c r="AJ15" s="192">
        <f t="shared" si="7"/>
        <v>0</v>
      </c>
      <c r="AK15" s="189">
        <v>0</v>
      </c>
      <c r="AL15" s="189">
        <v>0</v>
      </c>
      <c r="AM15" s="189">
        <v>0</v>
      </c>
      <c r="AN15" s="189">
        <v>0</v>
      </c>
      <c r="AO15" s="189">
        <v>0</v>
      </c>
      <c r="AP15" s="189">
        <v>0</v>
      </c>
      <c r="AQ15" s="189">
        <v>0</v>
      </c>
      <c r="AR15" s="189">
        <v>0</v>
      </c>
      <c r="AS15" s="189">
        <v>0</v>
      </c>
      <c r="AT15" s="190">
        <f t="shared" si="8"/>
        <v>0</v>
      </c>
      <c r="AU15" s="191">
        <f t="shared" si="9"/>
        <v>0</v>
      </c>
      <c r="AV15" s="192">
        <f t="shared" si="10"/>
        <v>0</v>
      </c>
      <c r="AW15" s="190">
        <f t="shared" si="11"/>
        <v>0</v>
      </c>
      <c r="AX15" s="191">
        <f t="shared" si="12"/>
        <v>0</v>
      </c>
      <c r="AY15" s="193">
        <f t="shared" si="13"/>
        <v>0</v>
      </c>
      <c r="AZ15" s="194">
        <f t="shared" si="14"/>
        <v>0</v>
      </c>
      <c r="BA15" s="106"/>
      <c r="BB15" s="106"/>
      <c r="BC15" s="78"/>
      <c r="BD15" s="78"/>
      <c r="BE15" s="78"/>
    </row>
    <row r="16" spans="1:57" ht="18">
      <c r="A16" s="93">
        <v>14</v>
      </c>
      <c r="B16" s="94" t="s">
        <v>12</v>
      </c>
      <c r="C16" s="95" t="s">
        <v>71</v>
      </c>
      <c r="D16" s="95" t="s">
        <v>21</v>
      </c>
      <c r="E16" s="96">
        <v>0.2</v>
      </c>
      <c r="F16" s="96">
        <f>IFERROR(_xlfn.XLOOKUP(C16,Projection_!A:A,Projection_!N:N),0)</f>
        <v>0</v>
      </c>
      <c r="G16" s="189">
        <v>0</v>
      </c>
      <c r="H16" s="189">
        <v>0</v>
      </c>
      <c r="I16" s="189">
        <v>0</v>
      </c>
      <c r="J16" s="189">
        <v>0</v>
      </c>
      <c r="K16" s="189">
        <v>0</v>
      </c>
      <c r="L16" s="189">
        <v>0</v>
      </c>
      <c r="M16" s="189">
        <v>0</v>
      </c>
      <c r="N16" s="190">
        <f t="shared" si="15"/>
        <v>0</v>
      </c>
      <c r="O16" s="191">
        <f t="shared" si="0"/>
        <v>0</v>
      </c>
      <c r="P16" s="192">
        <f t="shared" si="1"/>
        <v>0</v>
      </c>
      <c r="Q16" s="189">
        <v>0</v>
      </c>
      <c r="R16" s="189">
        <v>0</v>
      </c>
      <c r="S16" s="189">
        <v>0</v>
      </c>
      <c r="T16" s="189">
        <v>0</v>
      </c>
      <c r="U16" s="189">
        <v>0</v>
      </c>
      <c r="V16" s="189">
        <v>0</v>
      </c>
      <c r="W16" s="189">
        <v>0</v>
      </c>
      <c r="X16" s="190">
        <f t="shared" si="2"/>
        <v>0</v>
      </c>
      <c r="Y16" s="191">
        <f t="shared" si="3"/>
        <v>0</v>
      </c>
      <c r="Z16" s="192">
        <f t="shared" si="4"/>
        <v>0</v>
      </c>
      <c r="AA16" s="189">
        <v>0</v>
      </c>
      <c r="AB16" s="189">
        <v>0</v>
      </c>
      <c r="AC16" s="189">
        <v>0</v>
      </c>
      <c r="AD16" s="189">
        <v>0</v>
      </c>
      <c r="AE16" s="189">
        <v>0</v>
      </c>
      <c r="AF16" s="189">
        <v>0</v>
      </c>
      <c r="AG16" s="189">
        <v>0</v>
      </c>
      <c r="AH16" s="191">
        <f t="shared" si="5"/>
        <v>0</v>
      </c>
      <c r="AI16" s="190">
        <f t="shared" si="6"/>
        <v>0</v>
      </c>
      <c r="AJ16" s="192">
        <f t="shared" si="7"/>
        <v>0</v>
      </c>
      <c r="AK16" s="189">
        <v>0</v>
      </c>
      <c r="AL16" s="189">
        <v>0</v>
      </c>
      <c r="AM16" s="189">
        <v>0</v>
      </c>
      <c r="AN16" s="189">
        <v>0</v>
      </c>
      <c r="AO16" s="189">
        <v>0</v>
      </c>
      <c r="AP16" s="189">
        <v>0</v>
      </c>
      <c r="AQ16" s="189">
        <v>0</v>
      </c>
      <c r="AR16" s="189">
        <v>0</v>
      </c>
      <c r="AS16" s="189">
        <v>0</v>
      </c>
      <c r="AT16" s="190">
        <f t="shared" si="8"/>
        <v>0</v>
      </c>
      <c r="AU16" s="191">
        <f t="shared" si="9"/>
        <v>0</v>
      </c>
      <c r="AV16" s="192">
        <f t="shared" si="10"/>
        <v>0</v>
      </c>
      <c r="AW16" s="190">
        <f t="shared" si="11"/>
        <v>0</v>
      </c>
      <c r="AX16" s="191">
        <f t="shared" si="12"/>
        <v>0</v>
      </c>
      <c r="AY16" s="193">
        <f t="shared" si="13"/>
        <v>0</v>
      </c>
      <c r="AZ16" s="194">
        <f t="shared" si="14"/>
        <v>0</v>
      </c>
      <c r="BA16" s="106"/>
      <c r="BB16" s="106"/>
      <c r="BC16" s="78"/>
      <c r="BD16" s="78"/>
      <c r="BE16" s="78"/>
    </row>
    <row r="17" spans="1:57" ht="18">
      <c r="A17" s="188">
        <v>15</v>
      </c>
      <c r="B17" s="94" t="s">
        <v>12</v>
      </c>
      <c r="C17" s="95" t="s">
        <v>72</v>
      </c>
      <c r="D17" s="95" t="s">
        <v>22</v>
      </c>
      <c r="E17" s="96">
        <v>0.2</v>
      </c>
      <c r="F17" s="96">
        <f>IFERROR(_xlfn.XLOOKUP(C17,Projection_!A:A,Projection_!N:N),0)</f>
        <v>0</v>
      </c>
      <c r="G17" s="189">
        <v>0</v>
      </c>
      <c r="H17" s="189">
        <v>0</v>
      </c>
      <c r="I17" s="189">
        <v>0</v>
      </c>
      <c r="J17" s="189">
        <v>0</v>
      </c>
      <c r="K17" s="189">
        <v>0</v>
      </c>
      <c r="L17" s="189">
        <v>0</v>
      </c>
      <c r="M17" s="189">
        <v>0</v>
      </c>
      <c r="N17" s="190">
        <f t="shared" si="15"/>
        <v>0</v>
      </c>
      <c r="O17" s="191">
        <f t="shared" si="0"/>
        <v>0</v>
      </c>
      <c r="P17" s="192">
        <f t="shared" si="1"/>
        <v>0</v>
      </c>
      <c r="Q17" s="189">
        <v>0</v>
      </c>
      <c r="R17" s="189">
        <v>0</v>
      </c>
      <c r="S17" s="189">
        <v>0</v>
      </c>
      <c r="T17" s="189">
        <v>0</v>
      </c>
      <c r="U17" s="189">
        <v>0</v>
      </c>
      <c r="V17" s="189">
        <v>0</v>
      </c>
      <c r="W17" s="189">
        <v>0</v>
      </c>
      <c r="X17" s="190">
        <f t="shared" si="2"/>
        <v>0</v>
      </c>
      <c r="Y17" s="191">
        <f t="shared" si="3"/>
        <v>0</v>
      </c>
      <c r="Z17" s="192">
        <f t="shared" si="4"/>
        <v>0</v>
      </c>
      <c r="AA17" s="189">
        <v>0</v>
      </c>
      <c r="AB17" s="189">
        <v>0</v>
      </c>
      <c r="AC17" s="189">
        <v>0</v>
      </c>
      <c r="AD17" s="189">
        <v>0</v>
      </c>
      <c r="AE17" s="189">
        <v>0</v>
      </c>
      <c r="AF17" s="189">
        <v>0</v>
      </c>
      <c r="AG17" s="189">
        <v>0</v>
      </c>
      <c r="AH17" s="191">
        <f t="shared" si="5"/>
        <v>0</v>
      </c>
      <c r="AI17" s="190">
        <f t="shared" si="6"/>
        <v>0</v>
      </c>
      <c r="AJ17" s="192">
        <f t="shared" si="7"/>
        <v>0</v>
      </c>
      <c r="AK17" s="189">
        <v>0</v>
      </c>
      <c r="AL17" s="189">
        <v>0</v>
      </c>
      <c r="AM17" s="189">
        <v>0</v>
      </c>
      <c r="AN17" s="189">
        <v>0</v>
      </c>
      <c r="AO17" s="189">
        <v>0</v>
      </c>
      <c r="AP17" s="189">
        <v>0</v>
      </c>
      <c r="AQ17" s="189">
        <v>0</v>
      </c>
      <c r="AR17" s="189">
        <v>0</v>
      </c>
      <c r="AS17" s="189">
        <v>0</v>
      </c>
      <c r="AT17" s="190">
        <f t="shared" si="8"/>
        <v>0</v>
      </c>
      <c r="AU17" s="191">
        <f t="shared" si="9"/>
        <v>0</v>
      </c>
      <c r="AV17" s="192">
        <f t="shared" si="10"/>
        <v>0</v>
      </c>
      <c r="AW17" s="190">
        <f t="shared" si="11"/>
        <v>0</v>
      </c>
      <c r="AX17" s="191">
        <f t="shared" si="12"/>
        <v>0</v>
      </c>
      <c r="AY17" s="193">
        <f t="shared" si="13"/>
        <v>0</v>
      </c>
      <c r="AZ17" s="194">
        <f t="shared" si="14"/>
        <v>0</v>
      </c>
      <c r="BA17" s="106"/>
      <c r="BB17" s="106"/>
      <c r="BC17" s="78"/>
      <c r="BD17" s="78"/>
      <c r="BE17" s="78"/>
    </row>
    <row r="18" spans="1:57" ht="18">
      <c r="A18" s="93">
        <v>16</v>
      </c>
      <c r="B18" s="94" t="s">
        <v>12</v>
      </c>
      <c r="C18" s="95" t="s">
        <v>70</v>
      </c>
      <c r="D18" s="95" t="s">
        <v>14</v>
      </c>
      <c r="E18" s="96">
        <v>0.2</v>
      </c>
      <c r="F18" s="96">
        <f>IFERROR(_xlfn.XLOOKUP(C18,Projection_!A:A,Projection_!N:N),0)</f>
        <v>0</v>
      </c>
      <c r="G18" s="189">
        <v>0</v>
      </c>
      <c r="H18" s="189">
        <v>0</v>
      </c>
      <c r="I18" s="189">
        <v>0</v>
      </c>
      <c r="J18" s="189">
        <v>0</v>
      </c>
      <c r="K18" s="189">
        <v>0</v>
      </c>
      <c r="L18" s="189">
        <v>0</v>
      </c>
      <c r="M18" s="189">
        <v>0</v>
      </c>
      <c r="N18" s="190">
        <f t="shared" si="15"/>
        <v>0</v>
      </c>
      <c r="O18" s="191">
        <f t="shared" si="0"/>
        <v>0</v>
      </c>
      <c r="P18" s="192">
        <f t="shared" si="1"/>
        <v>0</v>
      </c>
      <c r="Q18" s="189">
        <v>0</v>
      </c>
      <c r="R18" s="189">
        <v>0</v>
      </c>
      <c r="S18" s="189">
        <v>0</v>
      </c>
      <c r="T18" s="189">
        <v>0</v>
      </c>
      <c r="U18" s="189">
        <v>0</v>
      </c>
      <c r="V18" s="189">
        <v>0</v>
      </c>
      <c r="W18" s="189">
        <v>0</v>
      </c>
      <c r="X18" s="190">
        <f t="shared" si="2"/>
        <v>0</v>
      </c>
      <c r="Y18" s="191">
        <f t="shared" si="3"/>
        <v>0</v>
      </c>
      <c r="Z18" s="192">
        <f t="shared" si="4"/>
        <v>0</v>
      </c>
      <c r="AA18" s="189">
        <v>0</v>
      </c>
      <c r="AB18" s="189">
        <v>0</v>
      </c>
      <c r="AC18" s="189">
        <v>0</v>
      </c>
      <c r="AD18" s="189">
        <v>0</v>
      </c>
      <c r="AE18" s="189">
        <v>0</v>
      </c>
      <c r="AF18" s="189">
        <v>0</v>
      </c>
      <c r="AG18" s="189">
        <v>0</v>
      </c>
      <c r="AH18" s="191">
        <f t="shared" si="5"/>
        <v>0</v>
      </c>
      <c r="AI18" s="190">
        <f t="shared" si="6"/>
        <v>0</v>
      </c>
      <c r="AJ18" s="192">
        <f t="shared" si="7"/>
        <v>0</v>
      </c>
      <c r="AK18" s="189">
        <v>0</v>
      </c>
      <c r="AL18" s="189">
        <v>0</v>
      </c>
      <c r="AM18" s="189">
        <v>0</v>
      </c>
      <c r="AN18" s="189">
        <v>0</v>
      </c>
      <c r="AO18" s="189">
        <v>0</v>
      </c>
      <c r="AP18" s="189">
        <v>0</v>
      </c>
      <c r="AQ18" s="189">
        <v>0</v>
      </c>
      <c r="AR18" s="189">
        <v>0</v>
      </c>
      <c r="AS18" s="189">
        <v>0</v>
      </c>
      <c r="AT18" s="190">
        <f t="shared" si="8"/>
        <v>0</v>
      </c>
      <c r="AU18" s="191">
        <f t="shared" si="9"/>
        <v>0</v>
      </c>
      <c r="AV18" s="192">
        <f t="shared" si="10"/>
        <v>0</v>
      </c>
      <c r="AW18" s="190">
        <f t="shared" si="11"/>
        <v>0</v>
      </c>
      <c r="AX18" s="191">
        <f t="shared" si="12"/>
        <v>0</v>
      </c>
      <c r="AY18" s="193">
        <f t="shared" si="13"/>
        <v>0</v>
      </c>
      <c r="AZ18" s="194">
        <f t="shared" si="14"/>
        <v>0</v>
      </c>
      <c r="BA18" s="106"/>
      <c r="BB18" s="106"/>
      <c r="BC18" s="78"/>
      <c r="BD18" s="78"/>
      <c r="BE18" s="78"/>
    </row>
    <row r="19" spans="1:57" ht="18">
      <c r="A19" s="188">
        <v>17</v>
      </c>
      <c r="B19" s="94" t="s">
        <v>12</v>
      </c>
      <c r="C19" s="95" t="s">
        <v>67</v>
      </c>
      <c r="D19" s="95" t="s">
        <v>9</v>
      </c>
      <c r="E19" s="96">
        <v>0.2</v>
      </c>
      <c r="F19" s="96">
        <f>IFERROR(_xlfn.XLOOKUP(C19,Projection_!A:A,Projection_!N:N),0)</f>
        <v>0</v>
      </c>
      <c r="G19" s="189">
        <v>0</v>
      </c>
      <c r="H19" s="189">
        <v>0</v>
      </c>
      <c r="I19" s="189">
        <v>0</v>
      </c>
      <c r="J19" s="189">
        <v>0</v>
      </c>
      <c r="K19" s="189">
        <v>0</v>
      </c>
      <c r="L19" s="189">
        <v>0</v>
      </c>
      <c r="M19" s="189">
        <v>0</v>
      </c>
      <c r="N19" s="190">
        <f t="shared" si="15"/>
        <v>0</v>
      </c>
      <c r="O19" s="191">
        <f t="shared" si="0"/>
        <v>0</v>
      </c>
      <c r="P19" s="192">
        <f t="shared" si="1"/>
        <v>0</v>
      </c>
      <c r="Q19" s="189">
        <v>0</v>
      </c>
      <c r="R19" s="189">
        <v>0</v>
      </c>
      <c r="S19" s="189">
        <v>0</v>
      </c>
      <c r="T19" s="189">
        <v>0</v>
      </c>
      <c r="U19" s="189">
        <v>0</v>
      </c>
      <c r="V19" s="189">
        <v>0</v>
      </c>
      <c r="W19" s="189">
        <v>0</v>
      </c>
      <c r="X19" s="190">
        <f t="shared" si="2"/>
        <v>0</v>
      </c>
      <c r="Y19" s="191">
        <f t="shared" si="3"/>
        <v>0</v>
      </c>
      <c r="Z19" s="192">
        <f t="shared" si="4"/>
        <v>0</v>
      </c>
      <c r="AA19" s="189">
        <v>0</v>
      </c>
      <c r="AB19" s="189">
        <v>0</v>
      </c>
      <c r="AC19" s="189">
        <v>0</v>
      </c>
      <c r="AD19" s="189">
        <v>0</v>
      </c>
      <c r="AE19" s="189">
        <v>0</v>
      </c>
      <c r="AF19" s="189">
        <v>0</v>
      </c>
      <c r="AG19" s="189">
        <v>0</v>
      </c>
      <c r="AH19" s="191">
        <f t="shared" si="5"/>
        <v>0</v>
      </c>
      <c r="AI19" s="190">
        <f t="shared" si="6"/>
        <v>0</v>
      </c>
      <c r="AJ19" s="192">
        <f t="shared" si="7"/>
        <v>0</v>
      </c>
      <c r="AK19" s="189">
        <v>0</v>
      </c>
      <c r="AL19" s="189">
        <v>0</v>
      </c>
      <c r="AM19" s="189">
        <v>0</v>
      </c>
      <c r="AN19" s="189">
        <v>0</v>
      </c>
      <c r="AO19" s="189">
        <v>0</v>
      </c>
      <c r="AP19" s="189">
        <v>0</v>
      </c>
      <c r="AQ19" s="189">
        <v>0</v>
      </c>
      <c r="AR19" s="189">
        <v>0</v>
      </c>
      <c r="AS19" s="189">
        <v>0</v>
      </c>
      <c r="AT19" s="190">
        <f t="shared" si="8"/>
        <v>0</v>
      </c>
      <c r="AU19" s="191">
        <f t="shared" si="9"/>
        <v>0</v>
      </c>
      <c r="AV19" s="192">
        <f t="shared" si="10"/>
        <v>0</v>
      </c>
      <c r="AW19" s="190">
        <f t="shared" si="11"/>
        <v>0</v>
      </c>
      <c r="AX19" s="191">
        <f t="shared" si="12"/>
        <v>0</v>
      </c>
      <c r="AY19" s="193">
        <f t="shared" si="13"/>
        <v>0</v>
      </c>
      <c r="AZ19" s="194">
        <f t="shared" si="14"/>
        <v>0</v>
      </c>
      <c r="BA19" s="106"/>
      <c r="BB19" s="114"/>
      <c r="BC19" s="168"/>
      <c r="BD19" s="168"/>
      <c r="BE19" s="168"/>
    </row>
    <row r="20" spans="1:57" ht="18">
      <c r="A20" s="93">
        <v>18</v>
      </c>
      <c r="B20" s="94" t="s">
        <v>12</v>
      </c>
      <c r="C20" s="95" t="s">
        <v>146</v>
      </c>
      <c r="D20" s="95" t="s">
        <v>147</v>
      </c>
      <c r="E20" s="96"/>
      <c r="F20" s="96">
        <f>IFERROR(_xlfn.XLOOKUP(C20,Projection_!A:A,Projection_!N:N),0)</f>
        <v>0</v>
      </c>
      <c r="G20" s="189">
        <v>0</v>
      </c>
      <c r="H20" s="189">
        <v>0</v>
      </c>
      <c r="I20" s="189">
        <v>0</v>
      </c>
      <c r="J20" s="189">
        <v>0</v>
      </c>
      <c r="K20" s="189">
        <v>0</v>
      </c>
      <c r="L20" s="189">
        <v>0</v>
      </c>
      <c r="M20" s="189">
        <v>0</v>
      </c>
      <c r="N20" s="190">
        <f t="shared" si="15"/>
        <v>0</v>
      </c>
      <c r="O20" s="191">
        <f t="shared" si="0"/>
        <v>0</v>
      </c>
      <c r="P20" s="192">
        <f t="shared" si="1"/>
        <v>0</v>
      </c>
      <c r="Q20" s="189">
        <v>0</v>
      </c>
      <c r="R20" s="189">
        <v>0</v>
      </c>
      <c r="S20" s="189">
        <v>0</v>
      </c>
      <c r="T20" s="189">
        <v>0</v>
      </c>
      <c r="U20" s="189">
        <v>0</v>
      </c>
      <c r="V20" s="189">
        <v>0</v>
      </c>
      <c r="W20" s="189">
        <v>0</v>
      </c>
      <c r="X20" s="190">
        <f t="shared" si="2"/>
        <v>0</v>
      </c>
      <c r="Y20" s="191">
        <f t="shared" si="3"/>
        <v>0</v>
      </c>
      <c r="Z20" s="192">
        <f t="shared" si="4"/>
        <v>0</v>
      </c>
      <c r="AA20" s="189">
        <v>0</v>
      </c>
      <c r="AB20" s="189">
        <v>0</v>
      </c>
      <c r="AC20" s="189">
        <v>0</v>
      </c>
      <c r="AD20" s="189">
        <v>0</v>
      </c>
      <c r="AE20" s="189">
        <v>0</v>
      </c>
      <c r="AF20" s="189">
        <v>0</v>
      </c>
      <c r="AG20" s="189">
        <v>0</v>
      </c>
      <c r="AH20" s="191">
        <f t="shared" si="5"/>
        <v>0</v>
      </c>
      <c r="AI20" s="190">
        <f t="shared" si="6"/>
        <v>0</v>
      </c>
      <c r="AJ20" s="192">
        <f t="shared" si="7"/>
        <v>0</v>
      </c>
      <c r="AK20" s="189">
        <v>0</v>
      </c>
      <c r="AL20" s="189">
        <v>0</v>
      </c>
      <c r="AM20" s="189">
        <v>0</v>
      </c>
      <c r="AN20" s="189">
        <v>0</v>
      </c>
      <c r="AO20" s="189">
        <v>0</v>
      </c>
      <c r="AP20" s="189">
        <v>0</v>
      </c>
      <c r="AQ20" s="189">
        <v>0</v>
      </c>
      <c r="AR20" s="189">
        <v>0</v>
      </c>
      <c r="AS20" s="189">
        <v>0</v>
      </c>
      <c r="AT20" s="190">
        <f t="shared" si="8"/>
        <v>0</v>
      </c>
      <c r="AU20" s="191">
        <f t="shared" si="9"/>
        <v>0</v>
      </c>
      <c r="AV20" s="192">
        <f t="shared" si="10"/>
        <v>0</v>
      </c>
      <c r="AW20" s="190">
        <f t="shared" si="11"/>
        <v>0</v>
      </c>
      <c r="AX20" s="191">
        <f t="shared" si="12"/>
        <v>0</v>
      </c>
      <c r="AY20" s="193">
        <f t="shared" si="13"/>
        <v>0</v>
      </c>
      <c r="AZ20" s="194">
        <f t="shared" si="14"/>
        <v>0</v>
      </c>
      <c r="BA20" s="106"/>
      <c r="BB20" s="114"/>
      <c r="BC20" s="168"/>
      <c r="BD20" s="168"/>
      <c r="BE20" s="168"/>
    </row>
    <row r="21" spans="1:57" ht="18">
      <c r="A21" s="188">
        <v>19</v>
      </c>
      <c r="B21" s="195" t="s">
        <v>12</v>
      </c>
      <c r="C21" s="115" t="s">
        <v>77</v>
      </c>
      <c r="D21" s="196" t="s">
        <v>140</v>
      </c>
      <c r="E21" s="116"/>
      <c r="F21" s="96">
        <f>IFERROR(_xlfn.XLOOKUP(C21,Projection_!A:A,Projection_!N:N),0)</f>
        <v>0</v>
      </c>
      <c r="G21" s="189">
        <v>0</v>
      </c>
      <c r="H21" s="189">
        <v>0</v>
      </c>
      <c r="I21" s="189">
        <v>0</v>
      </c>
      <c r="J21" s="189">
        <v>0</v>
      </c>
      <c r="K21" s="189">
        <v>0</v>
      </c>
      <c r="L21" s="189">
        <v>0</v>
      </c>
      <c r="M21" s="189">
        <v>0</v>
      </c>
      <c r="N21" s="190">
        <f t="shared" si="15"/>
        <v>0</v>
      </c>
      <c r="O21" s="191">
        <f t="shared" si="0"/>
        <v>0</v>
      </c>
      <c r="P21" s="192">
        <f t="shared" si="1"/>
        <v>0</v>
      </c>
      <c r="Q21" s="189">
        <v>0</v>
      </c>
      <c r="R21" s="189">
        <v>0</v>
      </c>
      <c r="S21" s="189">
        <v>0</v>
      </c>
      <c r="T21" s="189">
        <v>0</v>
      </c>
      <c r="U21" s="189">
        <v>0</v>
      </c>
      <c r="V21" s="189">
        <v>0</v>
      </c>
      <c r="W21" s="189">
        <v>0</v>
      </c>
      <c r="X21" s="190">
        <f t="shared" si="2"/>
        <v>0</v>
      </c>
      <c r="Y21" s="191">
        <f t="shared" si="3"/>
        <v>0</v>
      </c>
      <c r="Z21" s="192">
        <f t="shared" si="4"/>
        <v>0</v>
      </c>
      <c r="AA21" s="189">
        <v>0</v>
      </c>
      <c r="AB21" s="189">
        <v>0</v>
      </c>
      <c r="AC21" s="189">
        <v>0</v>
      </c>
      <c r="AD21" s="189">
        <v>0</v>
      </c>
      <c r="AE21" s="189">
        <v>0</v>
      </c>
      <c r="AF21" s="189">
        <v>0</v>
      </c>
      <c r="AG21" s="189">
        <v>0</v>
      </c>
      <c r="AH21" s="191">
        <f t="shared" si="5"/>
        <v>0</v>
      </c>
      <c r="AI21" s="190">
        <f t="shared" si="6"/>
        <v>0</v>
      </c>
      <c r="AJ21" s="192">
        <f t="shared" si="7"/>
        <v>0</v>
      </c>
      <c r="AK21" s="189">
        <v>0</v>
      </c>
      <c r="AL21" s="189">
        <v>0</v>
      </c>
      <c r="AM21" s="189">
        <v>0</v>
      </c>
      <c r="AN21" s="189">
        <v>0</v>
      </c>
      <c r="AO21" s="189">
        <v>0</v>
      </c>
      <c r="AP21" s="189">
        <v>0</v>
      </c>
      <c r="AQ21" s="189">
        <v>0</v>
      </c>
      <c r="AR21" s="189">
        <v>0</v>
      </c>
      <c r="AS21" s="189">
        <v>0</v>
      </c>
      <c r="AT21" s="190">
        <f t="shared" si="8"/>
        <v>0</v>
      </c>
      <c r="AU21" s="191">
        <f t="shared" si="9"/>
        <v>0</v>
      </c>
      <c r="AV21" s="192">
        <f t="shared" si="10"/>
        <v>0</v>
      </c>
      <c r="AW21" s="190">
        <f t="shared" si="11"/>
        <v>0</v>
      </c>
      <c r="AX21" s="191">
        <f t="shared" si="12"/>
        <v>0</v>
      </c>
      <c r="AY21" s="193">
        <f t="shared" si="13"/>
        <v>0</v>
      </c>
      <c r="AZ21" s="194">
        <f t="shared" si="14"/>
        <v>0</v>
      </c>
      <c r="BA21" s="106"/>
      <c r="BB21" s="106"/>
      <c r="BC21" s="78"/>
      <c r="BD21" s="78"/>
      <c r="BE21" s="78"/>
    </row>
    <row r="22" spans="1:57" ht="30" customHeight="1">
      <c r="A22" s="201" t="s">
        <v>127</v>
      </c>
      <c r="B22" s="201"/>
      <c r="C22" s="201"/>
      <c r="D22" s="201"/>
      <c r="E22" s="116"/>
      <c r="F22" s="117">
        <f t="shared" ref="F22:AY22" si="16">SUM(F3:F19)</f>
        <v>0</v>
      </c>
      <c r="G22" s="117">
        <f t="shared" si="16"/>
        <v>0</v>
      </c>
      <c r="H22" s="117">
        <f t="shared" si="16"/>
        <v>0</v>
      </c>
      <c r="I22" s="117">
        <f t="shared" si="16"/>
        <v>0</v>
      </c>
      <c r="J22" s="117">
        <f t="shared" si="16"/>
        <v>0</v>
      </c>
      <c r="K22" s="117">
        <f t="shared" si="16"/>
        <v>0</v>
      </c>
      <c r="L22" s="117">
        <f t="shared" si="16"/>
        <v>0</v>
      </c>
      <c r="M22" s="117">
        <f t="shared" si="16"/>
        <v>0</v>
      </c>
      <c r="N22" s="197">
        <f t="shared" si="16"/>
        <v>0</v>
      </c>
      <c r="O22" s="198">
        <f t="shared" si="16"/>
        <v>0</v>
      </c>
      <c r="P22" s="197">
        <f t="shared" si="16"/>
        <v>0</v>
      </c>
      <c r="Q22" s="117">
        <f t="shared" si="16"/>
        <v>0</v>
      </c>
      <c r="R22" s="117">
        <f t="shared" si="16"/>
        <v>0</v>
      </c>
      <c r="S22" s="117">
        <f t="shared" si="16"/>
        <v>0</v>
      </c>
      <c r="T22" s="117">
        <f t="shared" si="16"/>
        <v>0</v>
      </c>
      <c r="U22" s="117">
        <f t="shared" si="16"/>
        <v>0</v>
      </c>
      <c r="V22" s="117">
        <f t="shared" si="16"/>
        <v>0</v>
      </c>
      <c r="W22" s="117">
        <f t="shared" si="16"/>
        <v>0</v>
      </c>
      <c r="X22" s="197">
        <f t="shared" si="16"/>
        <v>0</v>
      </c>
      <c r="Y22" s="198">
        <f t="shared" si="16"/>
        <v>0</v>
      </c>
      <c r="Z22" s="197">
        <f t="shared" si="16"/>
        <v>0</v>
      </c>
      <c r="AA22" s="117">
        <f t="shared" si="16"/>
        <v>0</v>
      </c>
      <c r="AB22" s="117">
        <f t="shared" si="16"/>
        <v>0</v>
      </c>
      <c r="AC22" s="117">
        <f t="shared" si="16"/>
        <v>0</v>
      </c>
      <c r="AD22" s="117">
        <f t="shared" si="16"/>
        <v>0</v>
      </c>
      <c r="AE22" s="117">
        <f t="shared" si="16"/>
        <v>0</v>
      </c>
      <c r="AF22" s="117">
        <f t="shared" si="16"/>
        <v>0</v>
      </c>
      <c r="AG22" s="117">
        <f t="shared" si="16"/>
        <v>0</v>
      </c>
      <c r="AH22" s="198">
        <f t="shared" si="16"/>
        <v>0</v>
      </c>
      <c r="AI22" s="197">
        <f t="shared" si="16"/>
        <v>0</v>
      </c>
      <c r="AJ22" s="197">
        <f t="shared" si="16"/>
        <v>0</v>
      </c>
      <c r="AK22" s="117">
        <f t="shared" si="16"/>
        <v>0</v>
      </c>
      <c r="AL22" s="117">
        <f t="shared" si="16"/>
        <v>0</v>
      </c>
      <c r="AM22" s="117">
        <f t="shared" si="16"/>
        <v>0</v>
      </c>
      <c r="AN22" s="117">
        <f t="shared" si="16"/>
        <v>0</v>
      </c>
      <c r="AO22" s="117">
        <f t="shared" si="16"/>
        <v>0</v>
      </c>
      <c r="AP22" s="117">
        <f t="shared" si="16"/>
        <v>0</v>
      </c>
      <c r="AQ22" s="117">
        <f t="shared" si="16"/>
        <v>0</v>
      </c>
      <c r="AR22" s="117">
        <f t="shared" si="16"/>
        <v>0</v>
      </c>
      <c r="AS22" s="117">
        <f t="shared" si="16"/>
        <v>0</v>
      </c>
      <c r="AT22" s="197">
        <f t="shared" si="16"/>
        <v>0</v>
      </c>
      <c r="AU22" s="198">
        <f t="shared" si="16"/>
        <v>0</v>
      </c>
      <c r="AV22" s="197">
        <f t="shared" si="16"/>
        <v>0</v>
      </c>
      <c r="AW22" s="199">
        <f t="shared" si="16"/>
        <v>0</v>
      </c>
      <c r="AX22" s="200">
        <f t="shared" si="16"/>
        <v>0</v>
      </c>
      <c r="AY22" s="199">
        <f t="shared" si="16"/>
        <v>0</v>
      </c>
      <c r="AZ22" s="194"/>
      <c r="BA22" s="106"/>
      <c r="BB22" s="106"/>
      <c r="BC22" s="78"/>
      <c r="BD22" s="78"/>
      <c r="BE22" s="78"/>
    </row>
    <row r="23" spans="1:57" ht="22.5" customHeight="1">
      <c r="A23" s="78"/>
      <c r="B23" s="79"/>
      <c r="C23" s="79"/>
      <c r="D23" s="79"/>
      <c r="E23" s="79"/>
      <c r="F23" s="79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AH23" s="78"/>
      <c r="AI23" s="78"/>
      <c r="AJ23" s="78"/>
      <c r="AK23" s="78"/>
      <c r="AL23" s="78"/>
      <c r="AM23" s="78"/>
      <c r="AN23" s="78"/>
      <c r="AO23" s="78"/>
      <c r="AP23" s="78"/>
      <c r="AQ23" s="78"/>
      <c r="AR23" s="78"/>
      <c r="AS23" s="78"/>
      <c r="AT23" s="78"/>
      <c r="AU23" s="78"/>
      <c r="AV23" s="78"/>
      <c r="AW23" s="79"/>
      <c r="AX23" s="78"/>
      <c r="AY23" s="79"/>
      <c r="AZ23" s="80"/>
      <c r="BA23" s="78"/>
      <c r="BB23" s="78"/>
      <c r="BC23" s="78"/>
      <c r="BD23" s="78"/>
      <c r="BE23" s="78"/>
    </row>
  </sheetData>
  <autoFilter ref="A2:BE22" xr:uid="{828E2012-7DF4-4796-9C1B-7109A9136AC0}"/>
  <mergeCells count="1">
    <mergeCell ref="A22:D22"/>
  </mergeCells>
  <conditionalFormatting sqref="G3:P21 X3:AV3 Q4:AV21 J22:P22 T22:Z22 AD22:AJ22 AN22:AV22">
    <cfRule type="cellIs" dxfId="10" priority="6" stopIfTrue="1" operator="lessThanOrEqual">
      <formula>0</formula>
    </cfRule>
  </conditionalFormatting>
  <pageMargins left="0.70000000000000007" right="0.70000000000000007" top="0.75" bottom="0.75" header="0.30000000000000004" footer="0.30000000000000004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2289D-1B37-4470-ABEF-D440BAE29A67}">
  <sheetPr>
    <tabColor rgb="FFFF0000"/>
  </sheetPr>
  <dimension ref="A1:BH23"/>
  <sheetViews>
    <sheetView workbookViewId="0"/>
  </sheetViews>
  <sheetFormatPr defaultColWidth="12" defaultRowHeight="15.75" customHeight="1"/>
  <cols>
    <col min="1" max="2" width="12" customWidth="1"/>
    <col min="3" max="3" width="15.54296875" customWidth="1"/>
    <col min="4" max="4" width="46.08984375" bestFit="1" customWidth="1"/>
    <col min="5" max="5" width="4.08984375" hidden="1" customWidth="1"/>
    <col min="6" max="6" width="10.08984375" hidden="1" customWidth="1"/>
    <col min="7" max="7" width="5" hidden="1" customWidth="1"/>
    <col min="8" max="8" width="10.90625" customWidth="1"/>
    <col min="9" max="9" width="8.81640625" customWidth="1"/>
    <col min="10" max="10" width="7.7265625" customWidth="1"/>
    <col min="11" max="11" width="8.26953125" customWidth="1"/>
    <col min="12" max="15" width="7.7265625" customWidth="1"/>
    <col min="16" max="17" width="13.90625" customWidth="1"/>
    <col min="18" max="18" width="14.54296875" customWidth="1"/>
    <col min="19" max="25" width="9.26953125" customWidth="1"/>
    <col min="26" max="26" width="13.90625" customWidth="1"/>
    <col min="27" max="27" width="14.81640625" customWidth="1"/>
    <col min="28" max="28" width="14.7265625" customWidth="1"/>
    <col min="29" max="29" width="8.26953125" customWidth="1"/>
    <col min="30" max="30" width="7.7265625" customWidth="1"/>
    <col min="31" max="35" width="8.26953125" customWidth="1"/>
    <col min="36" max="36" width="14.7265625" customWidth="1"/>
    <col min="37" max="38" width="14.54296875" customWidth="1"/>
    <col min="39" max="44" width="8.26953125" customWidth="1"/>
    <col min="45" max="47" width="9.26953125" customWidth="1"/>
    <col min="48" max="48" width="14.26953125" customWidth="1"/>
    <col min="49" max="50" width="14.54296875" customWidth="1"/>
    <col min="51" max="51" width="15.54296875" customWidth="1"/>
    <col min="52" max="52" width="16.453125" customWidth="1"/>
    <col min="53" max="53" width="17.54296875" customWidth="1"/>
    <col min="54" max="55" width="18.36328125" customWidth="1"/>
    <col min="56" max="56" width="36" hidden="1" customWidth="1"/>
    <col min="57" max="60" width="34.08984375" hidden="1" customWidth="1"/>
    <col min="61" max="61" width="12" customWidth="1"/>
  </cols>
  <sheetData>
    <row r="1" spans="1:60" ht="22.5" customHeight="1">
      <c r="A1" s="78"/>
      <c r="B1" s="79"/>
      <c r="C1" s="79"/>
      <c r="D1" s="79"/>
      <c r="E1" s="79"/>
      <c r="F1" s="79"/>
      <c r="G1" s="79"/>
      <c r="H1" s="78">
        <v>5860</v>
      </c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78"/>
      <c r="AP1" s="78"/>
      <c r="AQ1" s="78"/>
      <c r="AR1" s="78"/>
      <c r="AS1" s="78"/>
      <c r="AT1" s="78"/>
      <c r="AU1" s="78"/>
      <c r="AV1" s="78"/>
      <c r="AW1" s="78"/>
      <c r="AX1" s="78"/>
      <c r="AY1" s="79">
        <f>SUBTOTAL(9,AY3:AY19)</f>
        <v>0</v>
      </c>
      <c r="AZ1" s="78"/>
      <c r="BA1" s="79" t="e">
        <f>SUBTOTAL(9,BA3:BA19)</f>
        <v>#N/A</v>
      </c>
      <c r="BB1" s="80">
        <f>AY1/H1</f>
        <v>0</v>
      </c>
      <c r="BC1" s="80"/>
      <c r="BD1" s="78"/>
      <c r="BE1" s="78"/>
      <c r="BF1" s="78"/>
      <c r="BG1" s="78"/>
      <c r="BH1" s="78"/>
    </row>
    <row r="2" spans="1:60" ht="87" customHeight="1">
      <c r="A2" s="126" t="s">
        <v>106</v>
      </c>
      <c r="B2" s="126" t="s">
        <v>6</v>
      </c>
      <c r="C2" s="83" t="s">
        <v>59</v>
      </c>
      <c r="D2" s="83" t="s">
        <v>108</v>
      </c>
      <c r="E2" s="84" t="s">
        <v>109</v>
      </c>
      <c r="F2" s="85"/>
      <c r="G2" s="202" t="s">
        <v>180</v>
      </c>
      <c r="H2" s="183" t="s">
        <v>181</v>
      </c>
      <c r="I2" s="183" t="s">
        <v>182</v>
      </c>
      <c r="J2" s="183">
        <v>26</v>
      </c>
      <c r="K2" s="183">
        <v>27</v>
      </c>
      <c r="L2" s="183">
        <v>28</v>
      </c>
      <c r="M2" s="183">
        <v>29</v>
      </c>
      <c r="N2" s="183">
        <v>30</v>
      </c>
      <c r="O2" s="183">
        <v>31</v>
      </c>
      <c r="P2" s="183" t="s">
        <v>166</v>
      </c>
      <c r="Q2" s="183" t="s">
        <v>167</v>
      </c>
      <c r="R2" s="183" t="s">
        <v>168</v>
      </c>
      <c r="S2" s="183">
        <v>1</v>
      </c>
      <c r="T2" s="183">
        <v>2</v>
      </c>
      <c r="U2" s="183">
        <v>3</v>
      </c>
      <c r="V2" s="183">
        <v>4</v>
      </c>
      <c r="W2" s="183">
        <v>5</v>
      </c>
      <c r="X2" s="183">
        <v>6</v>
      </c>
      <c r="Y2" s="183">
        <v>7</v>
      </c>
      <c r="Z2" s="183" t="s">
        <v>169</v>
      </c>
      <c r="AA2" s="183" t="s">
        <v>170</v>
      </c>
      <c r="AB2" s="183" t="s">
        <v>171</v>
      </c>
      <c r="AC2" s="183">
        <v>8</v>
      </c>
      <c r="AD2" s="183">
        <v>9</v>
      </c>
      <c r="AE2" s="183">
        <v>10</v>
      </c>
      <c r="AF2" s="183">
        <v>11</v>
      </c>
      <c r="AG2" s="183">
        <v>12</v>
      </c>
      <c r="AH2" s="183">
        <v>13</v>
      </c>
      <c r="AI2" s="183">
        <v>14</v>
      </c>
      <c r="AJ2" s="183" t="s">
        <v>172</v>
      </c>
      <c r="AK2" s="183" t="s">
        <v>173</v>
      </c>
      <c r="AL2" s="183" t="s">
        <v>174</v>
      </c>
      <c r="AM2" s="183">
        <v>15</v>
      </c>
      <c r="AN2" s="183">
        <v>16</v>
      </c>
      <c r="AO2" s="183">
        <v>17</v>
      </c>
      <c r="AP2" s="183">
        <v>18</v>
      </c>
      <c r="AQ2" s="183">
        <v>19</v>
      </c>
      <c r="AR2" s="183">
        <v>20</v>
      </c>
      <c r="AS2" s="183">
        <v>21</v>
      </c>
      <c r="AT2" s="183">
        <v>22</v>
      </c>
      <c r="AU2" s="183">
        <v>23</v>
      </c>
      <c r="AV2" s="183" t="s">
        <v>175</v>
      </c>
      <c r="AW2" s="183" t="s">
        <v>176</v>
      </c>
      <c r="AX2" s="183" t="s">
        <v>177</v>
      </c>
      <c r="AY2" s="203" t="s">
        <v>150</v>
      </c>
      <c r="AZ2" s="204" t="s">
        <v>112</v>
      </c>
      <c r="BA2" s="205" t="s">
        <v>151</v>
      </c>
      <c r="BB2" s="206" t="s">
        <v>115</v>
      </c>
      <c r="BC2" s="206"/>
      <c r="BD2" s="183" t="s">
        <v>63</v>
      </c>
      <c r="BE2" s="183" t="s">
        <v>130</v>
      </c>
      <c r="BF2" s="184" t="s">
        <v>131</v>
      </c>
      <c r="BG2" s="184" t="s">
        <v>132</v>
      </c>
      <c r="BH2" s="184" t="s">
        <v>133</v>
      </c>
    </row>
    <row r="3" spans="1:60" ht="18">
      <c r="A3" s="188">
        <v>1</v>
      </c>
      <c r="B3" s="94" t="s">
        <v>12</v>
      </c>
      <c r="C3" s="95" t="s">
        <v>79</v>
      </c>
      <c r="D3" s="95" t="s">
        <v>37</v>
      </c>
      <c r="E3" s="96">
        <v>0.5</v>
      </c>
      <c r="F3" s="96"/>
      <c r="G3" s="207" t="e">
        <f>#REF!*E3</f>
        <v>#REF!</v>
      </c>
      <c r="H3" s="208">
        <f>_xlfn.XLOOKUP(C3,Projection_!A:A,Projection_!I:I)</f>
        <v>0</v>
      </c>
      <c r="I3" s="209"/>
      <c r="J3" s="209"/>
      <c r="K3" s="209"/>
      <c r="L3" s="209"/>
      <c r="M3" s="209"/>
      <c r="N3" s="209"/>
      <c r="O3" s="209"/>
      <c r="P3" s="190">
        <f>SUM(I3:O3)</f>
        <v>0</v>
      </c>
      <c r="Q3" s="191">
        <f t="shared" ref="Q3:Q21" si="0">P3*E3</f>
        <v>0</v>
      </c>
      <c r="R3" s="192">
        <f t="shared" ref="R3:R21" si="1">H3*40%</f>
        <v>0</v>
      </c>
      <c r="S3" s="209"/>
      <c r="T3" s="209"/>
      <c r="U3" s="209"/>
      <c r="V3" s="209"/>
      <c r="W3" s="209"/>
      <c r="X3" s="209"/>
      <c r="Y3" s="209"/>
      <c r="Z3" s="190">
        <f t="shared" ref="Z3:Z21" si="2">SUM(S3:Y3)</f>
        <v>0</v>
      </c>
      <c r="AA3" s="191">
        <f t="shared" ref="AA3:AA21" si="3">Z3*E3</f>
        <v>0</v>
      </c>
      <c r="AB3" s="192">
        <f t="shared" ref="AB3:AB21" si="4">H3*30%</f>
        <v>0</v>
      </c>
      <c r="AC3" s="209"/>
      <c r="AD3" s="209"/>
      <c r="AE3" s="209"/>
      <c r="AF3" s="209"/>
      <c r="AG3" s="209"/>
      <c r="AH3" s="209"/>
      <c r="AI3" s="209"/>
      <c r="AJ3" s="191">
        <f t="shared" ref="AJ3:AJ21" si="5">AK3*E3</f>
        <v>0</v>
      </c>
      <c r="AK3" s="190">
        <f t="shared" ref="AK3:AK21" si="6">SUM(AC3:AI3)</f>
        <v>0</v>
      </c>
      <c r="AL3" s="192">
        <f t="shared" ref="AL3:AL21" si="7">H3*20%</f>
        <v>0</v>
      </c>
      <c r="AM3" s="209"/>
      <c r="AN3" s="209"/>
      <c r="AO3" s="209"/>
      <c r="AP3" s="209"/>
      <c r="AQ3" s="209"/>
      <c r="AR3" s="209"/>
      <c r="AS3" s="209"/>
      <c r="AT3" s="209"/>
      <c r="AU3" s="209"/>
      <c r="AV3" s="190">
        <f t="shared" ref="AV3:AV21" si="8">SUM(AM3:AU3)</f>
        <v>0</v>
      </c>
      <c r="AW3" s="191">
        <f t="shared" ref="AW3:AW21" si="9">AV3*E3</f>
        <v>0</v>
      </c>
      <c r="AX3" s="192">
        <f t="shared" ref="AX3:AX21" si="10">H3*10%</f>
        <v>0</v>
      </c>
      <c r="AY3" s="190">
        <f t="shared" ref="AY3:AY21" si="11">P3+Z3+AK3+AV3</f>
        <v>0</v>
      </c>
      <c r="AZ3" s="191">
        <f t="shared" ref="AZ3:AZ21" si="12">AY3*E3</f>
        <v>0</v>
      </c>
      <c r="BA3" s="191">
        <f t="shared" ref="BA3:BA21" si="13">AY3-H3</f>
        <v>0</v>
      </c>
      <c r="BB3" s="194">
        <f t="shared" ref="BB3:BB21" si="14">IFERROR(AY3/H3,)</f>
        <v>0</v>
      </c>
      <c r="BC3" s="194"/>
      <c r="BD3" s="106"/>
      <c r="BE3" s="106"/>
      <c r="BF3" s="78"/>
      <c r="BG3" s="78"/>
      <c r="BH3" s="78"/>
    </row>
    <row r="4" spans="1:60" ht="18">
      <c r="A4" s="93">
        <v>2</v>
      </c>
      <c r="B4" s="94" t="s">
        <v>12</v>
      </c>
      <c r="C4" s="95" t="s">
        <v>83</v>
      </c>
      <c r="D4" s="95" t="s">
        <v>48</v>
      </c>
      <c r="E4" s="96">
        <v>1</v>
      </c>
      <c r="F4" s="96"/>
      <c r="G4" s="207" t="e">
        <f>#REF!*E4</f>
        <v>#REF!</v>
      </c>
      <c r="H4" s="208">
        <f>_xlfn.XLOOKUP(C4,Projection_!A:A,Projection_!I:I)</f>
        <v>0</v>
      </c>
      <c r="I4" s="209"/>
      <c r="J4" s="209"/>
      <c r="K4" s="209"/>
      <c r="L4" s="209"/>
      <c r="M4" s="209"/>
      <c r="N4" s="209"/>
      <c r="O4" s="209"/>
      <c r="P4" s="190">
        <f>SUM(I4:O4)</f>
        <v>0</v>
      </c>
      <c r="Q4" s="191">
        <f t="shared" si="0"/>
        <v>0</v>
      </c>
      <c r="R4" s="192">
        <f t="shared" si="1"/>
        <v>0</v>
      </c>
      <c r="S4" s="209"/>
      <c r="T4" s="209"/>
      <c r="U4" s="209"/>
      <c r="V4" s="209"/>
      <c r="W4" s="209"/>
      <c r="X4" s="209"/>
      <c r="Y4" s="209"/>
      <c r="Z4" s="190">
        <f t="shared" si="2"/>
        <v>0</v>
      </c>
      <c r="AA4" s="191">
        <f t="shared" si="3"/>
        <v>0</v>
      </c>
      <c r="AB4" s="192">
        <f t="shared" si="4"/>
        <v>0</v>
      </c>
      <c r="AC4" s="209"/>
      <c r="AD4" s="209"/>
      <c r="AE4" s="209"/>
      <c r="AF4" s="209"/>
      <c r="AG4" s="209"/>
      <c r="AH4" s="209"/>
      <c r="AI4" s="209"/>
      <c r="AJ4" s="191">
        <f t="shared" si="5"/>
        <v>0</v>
      </c>
      <c r="AK4" s="190">
        <f t="shared" si="6"/>
        <v>0</v>
      </c>
      <c r="AL4" s="192">
        <f t="shared" si="7"/>
        <v>0</v>
      </c>
      <c r="AM4" s="209"/>
      <c r="AN4" s="209"/>
      <c r="AO4" s="209"/>
      <c r="AP4" s="209"/>
      <c r="AQ4" s="209"/>
      <c r="AR4" s="209"/>
      <c r="AS4" s="209"/>
      <c r="AT4" s="209"/>
      <c r="AU4" s="209"/>
      <c r="AV4" s="190">
        <f t="shared" si="8"/>
        <v>0</v>
      </c>
      <c r="AW4" s="191">
        <f t="shared" si="9"/>
        <v>0</v>
      </c>
      <c r="AX4" s="192">
        <f t="shared" si="10"/>
        <v>0</v>
      </c>
      <c r="AY4" s="190">
        <f t="shared" si="11"/>
        <v>0</v>
      </c>
      <c r="AZ4" s="191">
        <f t="shared" si="12"/>
        <v>0</v>
      </c>
      <c r="BA4" s="191">
        <f t="shared" si="13"/>
        <v>0</v>
      </c>
      <c r="BB4" s="194">
        <f t="shared" si="14"/>
        <v>0</v>
      </c>
      <c r="BC4" s="210"/>
      <c r="BD4" s="106"/>
      <c r="BE4" s="106"/>
      <c r="BF4" s="78"/>
      <c r="BG4" s="78"/>
      <c r="BH4" s="78"/>
    </row>
    <row r="5" spans="1:60" ht="18">
      <c r="A5" s="188">
        <v>3</v>
      </c>
      <c r="B5" s="94" t="s">
        <v>12</v>
      </c>
      <c r="C5" s="95" t="s">
        <v>80</v>
      </c>
      <c r="D5" s="95" t="s">
        <v>136</v>
      </c>
      <c r="E5" s="96">
        <v>5</v>
      </c>
      <c r="F5" s="96"/>
      <c r="G5" s="207">
        <f>F5*E5</f>
        <v>0</v>
      </c>
      <c r="H5" s="208">
        <f>_xlfn.XLOOKUP(C5,Projection_!A:A,Projection_!I:I)</f>
        <v>0</v>
      </c>
      <c r="I5" s="209"/>
      <c r="J5" s="209"/>
      <c r="K5" s="209"/>
      <c r="L5" s="209"/>
      <c r="M5" s="209"/>
      <c r="N5" s="209"/>
      <c r="O5" s="209"/>
      <c r="P5" s="190">
        <f>SUM(I5:O5)</f>
        <v>0</v>
      </c>
      <c r="Q5" s="191">
        <f t="shared" si="0"/>
        <v>0</v>
      </c>
      <c r="R5" s="192">
        <f t="shared" si="1"/>
        <v>0</v>
      </c>
      <c r="S5" s="209"/>
      <c r="T5" s="209"/>
      <c r="U5" s="209"/>
      <c r="V5" s="209"/>
      <c r="W5" s="209"/>
      <c r="X5" s="209"/>
      <c r="Y5" s="209"/>
      <c r="Z5" s="190">
        <f t="shared" si="2"/>
        <v>0</v>
      </c>
      <c r="AA5" s="191">
        <f t="shared" si="3"/>
        <v>0</v>
      </c>
      <c r="AB5" s="192">
        <f t="shared" si="4"/>
        <v>0</v>
      </c>
      <c r="AC5" s="209"/>
      <c r="AD5" s="209"/>
      <c r="AE5" s="209"/>
      <c r="AF5" s="209"/>
      <c r="AG5" s="209"/>
      <c r="AH5" s="209"/>
      <c r="AI5" s="209"/>
      <c r="AJ5" s="191">
        <f t="shared" si="5"/>
        <v>0</v>
      </c>
      <c r="AK5" s="190">
        <f t="shared" si="6"/>
        <v>0</v>
      </c>
      <c r="AL5" s="192">
        <f t="shared" si="7"/>
        <v>0</v>
      </c>
      <c r="AM5" s="209"/>
      <c r="AN5" s="209"/>
      <c r="AO5" s="209"/>
      <c r="AP5" s="209"/>
      <c r="AQ5" s="209"/>
      <c r="AR5" s="209"/>
      <c r="AS5" s="209"/>
      <c r="AT5" s="209"/>
      <c r="AU5" s="209"/>
      <c r="AV5" s="190">
        <f t="shared" si="8"/>
        <v>0</v>
      </c>
      <c r="AW5" s="191">
        <f t="shared" si="9"/>
        <v>0</v>
      </c>
      <c r="AX5" s="192">
        <f t="shared" si="10"/>
        <v>0</v>
      </c>
      <c r="AY5" s="190">
        <f t="shared" si="11"/>
        <v>0</v>
      </c>
      <c r="AZ5" s="191">
        <f t="shared" si="12"/>
        <v>0</v>
      </c>
      <c r="BA5" s="191">
        <f t="shared" si="13"/>
        <v>0</v>
      </c>
      <c r="BB5" s="194">
        <f t="shared" si="14"/>
        <v>0</v>
      </c>
      <c r="BC5" s="194"/>
      <c r="BD5" s="106"/>
      <c r="BE5" s="106"/>
      <c r="BF5" s="78"/>
      <c r="BG5" s="78"/>
      <c r="BH5" s="78"/>
    </row>
    <row r="6" spans="1:60" ht="18">
      <c r="A6" s="93">
        <v>4</v>
      </c>
      <c r="B6" s="94" t="s">
        <v>12</v>
      </c>
      <c r="C6" s="95" t="s">
        <v>82</v>
      </c>
      <c r="D6" s="95" t="s">
        <v>44</v>
      </c>
      <c r="E6" s="96">
        <v>0.25</v>
      </c>
      <c r="F6" s="96"/>
      <c r="G6" s="207"/>
      <c r="H6" s="208">
        <f>_xlfn.XLOOKUP(C6,Projection_!A:A,Projection_!I:I)</f>
        <v>0</v>
      </c>
      <c r="I6" s="209"/>
      <c r="J6" s="209"/>
      <c r="K6" s="209"/>
      <c r="L6" s="209"/>
      <c r="M6" s="209"/>
      <c r="N6" s="209"/>
      <c r="O6" s="209"/>
      <c r="P6" s="190">
        <f>SUM(I6:O6)</f>
        <v>0</v>
      </c>
      <c r="Q6" s="191">
        <f t="shared" si="0"/>
        <v>0</v>
      </c>
      <c r="R6" s="192">
        <f t="shared" si="1"/>
        <v>0</v>
      </c>
      <c r="S6" s="209"/>
      <c r="T6" s="209"/>
      <c r="U6" s="209"/>
      <c r="V6" s="209"/>
      <c r="W6" s="209"/>
      <c r="X6" s="209"/>
      <c r="Y6" s="209"/>
      <c r="Z6" s="190">
        <f t="shared" si="2"/>
        <v>0</v>
      </c>
      <c r="AA6" s="191">
        <f t="shared" si="3"/>
        <v>0</v>
      </c>
      <c r="AB6" s="192">
        <f t="shared" si="4"/>
        <v>0</v>
      </c>
      <c r="AC6" s="209"/>
      <c r="AD6" s="209"/>
      <c r="AE6" s="209"/>
      <c r="AF6" s="209"/>
      <c r="AG6" s="209"/>
      <c r="AH6" s="209"/>
      <c r="AI6" s="209"/>
      <c r="AJ6" s="191">
        <f t="shared" si="5"/>
        <v>0</v>
      </c>
      <c r="AK6" s="190">
        <f t="shared" si="6"/>
        <v>0</v>
      </c>
      <c r="AL6" s="192">
        <f t="shared" si="7"/>
        <v>0</v>
      </c>
      <c r="AM6" s="209"/>
      <c r="AN6" s="209"/>
      <c r="AO6" s="209"/>
      <c r="AP6" s="209"/>
      <c r="AQ6" s="209"/>
      <c r="AR6" s="209"/>
      <c r="AS6" s="209"/>
      <c r="AT6" s="209"/>
      <c r="AU6" s="209"/>
      <c r="AV6" s="190">
        <f t="shared" si="8"/>
        <v>0</v>
      </c>
      <c r="AW6" s="191">
        <f t="shared" si="9"/>
        <v>0</v>
      </c>
      <c r="AX6" s="192">
        <f t="shared" si="10"/>
        <v>0</v>
      </c>
      <c r="AY6" s="190">
        <f t="shared" si="11"/>
        <v>0</v>
      </c>
      <c r="AZ6" s="191">
        <f t="shared" si="12"/>
        <v>0</v>
      </c>
      <c r="BA6" s="191">
        <f t="shared" si="13"/>
        <v>0</v>
      </c>
      <c r="BB6" s="194">
        <f t="shared" si="14"/>
        <v>0</v>
      </c>
      <c r="BC6" s="194"/>
      <c r="BD6" s="106"/>
      <c r="BE6" s="106"/>
      <c r="BF6" s="78"/>
      <c r="BG6" s="78"/>
      <c r="BH6" s="78"/>
    </row>
    <row r="7" spans="1:60" ht="18">
      <c r="A7" s="188">
        <v>5</v>
      </c>
      <c r="B7" s="94" t="s">
        <v>12</v>
      </c>
      <c r="C7" s="95" t="s">
        <v>76</v>
      </c>
      <c r="D7" s="95" t="s">
        <v>26</v>
      </c>
      <c r="E7" s="96">
        <v>0.5</v>
      </c>
      <c r="F7" s="96"/>
      <c r="G7" s="207"/>
      <c r="H7" s="208">
        <f>_xlfn.XLOOKUP(C7,Projection_!A:A,Projection_!I:I)</f>
        <v>0</v>
      </c>
      <c r="I7" s="209"/>
      <c r="J7" s="209"/>
      <c r="K7" s="209"/>
      <c r="L7" s="209"/>
      <c r="M7" s="209"/>
      <c r="N7" s="209"/>
      <c r="O7" s="209"/>
      <c r="P7" s="190">
        <f>SUM(I7:N7)</f>
        <v>0</v>
      </c>
      <c r="Q7" s="191">
        <f t="shared" si="0"/>
        <v>0</v>
      </c>
      <c r="R7" s="192">
        <f t="shared" si="1"/>
        <v>0</v>
      </c>
      <c r="S7" s="209"/>
      <c r="T7" s="209"/>
      <c r="U7" s="209"/>
      <c r="V7" s="209"/>
      <c r="W7" s="209"/>
      <c r="X7" s="209"/>
      <c r="Y7" s="209"/>
      <c r="Z7" s="190">
        <f t="shared" si="2"/>
        <v>0</v>
      </c>
      <c r="AA7" s="191">
        <f t="shared" si="3"/>
        <v>0</v>
      </c>
      <c r="AB7" s="192">
        <f t="shared" si="4"/>
        <v>0</v>
      </c>
      <c r="AC7" s="209"/>
      <c r="AD7" s="209"/>
      <c r="AE7" s="209"/>
      <c r="AF7" s="209"/>
      <c r="AG7" s="209"/>
      <c r="AH7" s="209"/>
      <c r="AI7" s="209"/>
      <c r="AJ7" s="191">
        <f t="shared" si="5"/>
        <v>0</v>
      </c>
      <c r="AK7" s="190">
        <f t="shared" si="6"/>
        <v>0</v>
      </c>
      <c r="AL7" s="192">
        <f t="shared" si="7"/>
        <v>0</v>
      </c>
      <c r="AM7" s="209"/>
      <c r="AN7" s="209"/>
      <c r="AO7" s="209"/>
      <c r="AP7" s="209"/>
      <c r="AQ7" s="209"/>
      <c r="AR7" s="209"/>
      <c r="AS7" s="209"/>
      <c r="AT7" s="209"/>
      <c r="AU7" s="209"/>
      <c r="AV7" s="190">
        <f t="shared" si="8"/>
        <v>0</v>
      </c>
      <c r="AW7" s="191">
        <f t="shared" si="9"/>
        <v>0</v>
      </c>
      <c r="AX7" s="192">
        <f t="shared" si="10"/>
        <v>0</v>
      </c>
      <c r="AY7" s="190">
        <f t="shared" si="11"/>
        <v>0</v>
      </c>
      <c r="AZ7" s="191">
        <f t="shared" si="12"/>
        <v>0</v>
      </c>
      <c r="BA7" s="191">
        <f t="shared" si="13"/>
        <v>0</v>
      </c>
      <c r="BB7" s="194">
        <f t="shared" si="14"/>
        <v>0</v>
      </c>
      <c r="BC7" s="194"/>
      <c r="BD7" s="106"/>
      <c r="BE7" s="106"/>
      <c r="BF7" s="78"/>
      <c r="BG7" s="78"/>
      <c r="BH7" s="78"/>
    </row>
    <row r="8" spans="1:60" ht="18">
      <c r="A8" s="93">
        <v>6</v>
      </c>
      <c r="B8" s="94" t="s">
        <v>12</v>
      </c>
      <c r="C8" s="95" t="s">
        <v>73</v>
      </c>
      <c r="D8" s="95" t="s">
        <v>23</v>
      </c>
      <c r="E8" s="96">
        <v>0.5</v>
      </c>
      <c r="F8" s="96"/>
      <c r="G8" s="207">
        <f>F8*E8</f>
        <v>0</v>
      </c>
      <c r="H8" s="208">
        <f>_xlfn.XLOOKUP(C8,Projection_!A:A,Projection_!I:I)</f>
        <v>0</v>
      </c>
      <c r="I8" s="209"/>
      <c r="J8" s="209"/>
      <c r="K8" s="209"/>
      <c r="L8" s="209"/>
      <c r="M8" s="209"/>
      <c r="N8" s="209"/>
      <c r="O8" s="209"/>
      <c r="P8" s="190">
        <f>SUM(I8:O8)</f>
        <v>0</v>
      </c>
      <c r="Q8" s="191">
        <f t="shared" si="0"/>
        <v>0</v>
      </c>
      <c r="R8" s="192">
        <f t="shared" si="1"/>
        <v>0</v>
      </c>
      <c r="S8" s="209"/>
      <c r="T8" s="209"/>
      <c r="U8" s="209"/>
      <c r="V8" s="209"/>
      <c r="W8" s="209"/>
      <c r="X8" s="209"/>
      <c r="Y8" s="209"/>
      <c r="Z8" s="190">
        <f t="shared" si="2"/>
        <v>0</v>
      </c>
      <c r="AA8" s="191">
        <f t="shared" si="3"/>
        <v>0</v>
      </c>
      <c r="AB8" s="192">
        <f t="shared" si="4"/>
        <v>0</v>
      </c>
      <c r="AC8" s="209"/>
      <c r="AD8" s="209"/>
      <c r="AE8" s="209"/>
      <c r="AF8" s="209"/>
      <c r="AG8" s="209"/>
      <c r="AH8" s="209"/>
      <c r="AI8" s="209"/>
      <c r="AJ8" s="191">
        <f t="shared" si="5"/>
        <v>0</v>
      </c>
      <c r="AK8" s="190">
        <f t="shared" si="6"/>
        <v>0</v>
      </c>
      <c r="AL8" s="192">
        <f t="shared" si="7"/>
        <v>0</v>
      </c>
      <c r="AM8" s="209"/>
      <c r="AN8" s="209"/>
      <c r="AO8" s="209"/>
      <c r="AP8" s="209"/>
      <c r="AQ8" s="209"/>
      <c r="AR8" s="209"/>
      <c r="AS8" s="209"/>
      <c r="AT8" s="209"/>
      <c r="AU8" s="209"/>
      <c r="AV8" s="190">
        <f t="shared" si="8"/>
        <v>0</v>
      </c>
      <c r="AW8" s="191">
        <f t="shared" si="9"/>
        <v>0</v>
      </c>
      <c r="AX8" s="192">
        <f t="shared" si="10"/>
        <v>0</v>
      </c>
      <c r="AY8" s="190">
        <f t="shared" si="11"/>
        <v>0</v>
      </c>
      <c r="AZ8" s="191">
        <f t="shared" si="12"/>
        <v>0</v>
      </c>
      <c r="BA8" s="191">
        <f t="shared" si="13"/>
        <v>0</v>
      </c>
      <c r="BB8" s="194">
        <f t="shared" si="14"/>
        <v>0</v>
      </c>
      <c r="BC8" s="194"/>
      <c r="BD8" s="106"/>
      <c r="BE8" s="106"/>
      <c r="BF8" s="78"/>
      <c r="BG8" s="78"/>
      <c r="BH8" s="78"/>
    </row>
    <row r="9" spans="1:60" ht="18">
      <c r="A9" s="188">
        <v>7</v>
      </c>
      <c r="B9" s="94" t="s">
        <v>12</v>
      </c>
      <c r="C9" s="95" t="s">
        <v>74</v>
      </c>
      <c r="D9" s="95" t="s">
        <v>24</v>
      </c>
      <c r="E9" s="112">
        <v>0.5</v>
      </c>
      <c r="F9" s="96"/>
      <c r="G9" s="207"/>
      <c r="H9" s="208">
        <f>_xlfn.XLOOKUP(C9,Projection_!A:A,Projection_!I:I)</f>
        <v>0</v>
      </c>
      <c r="I9" s="209"/>
      <c r="J9" s="209"/>
      <c r="K9" s="209"/>
      <c r="L9" s="209"/>
      <c r="M9" s="209"/>
      <c r="N9" s="209"/>
      <c r="O9" s="209"/>
      <c r="P9" s="190">
        <f>SUM(I9:N9)</f>
        <v>0</v>
      </c>
      <c r="Q9" s="191">
        <f t="shared" si="0"/>
        <v>0</v>
      </c>
      <c r="R9" s="192">
        <f t="shared" si="1"/>
        <v>0</v>
      </c>
      <c r="S9" s="209"/>
      <c r="T9" s="209"/>
      <c r="U9" s="209"/>
      <c r="V9" s="209"/>
      <c r="W9" s="209"/>
      <c r="X9" s="209"/>
      <c r="Y9" s="209"/>
      <c r="Z9" s="190">
        <f t="shared" si="2"/>
        <v>0</v>
      </c>
      <c r="AA9" s="191">
        <f t="shared" si="3"/>
        <v>0</v>
      </c>
      <c r="AB9" s="192">
        <f t="shared" si="4"/>
        <v>0</v>
      </c>
      <c r="AC9" s="209"/>
      <c r="AD9" s="209"/>
      <c r="AE9" s="209"/>
      <c r="AF9" s="209"/>
      <c r="AG9" s="209"/>
      <c r="AH9" s="209"/>
      <c r="AI9" s="209"/>
      <c r="AJ9" s="191">
        <f t="shared" si="5"/>
        <v>0</v>
      </c>
      <c r="AK9" s="190">
        <f t="shared" si="6"/>
        <v>0</v>
      </c>
      <c r="AL9" s="192">
        <f t="shared" si="7"/>
        <v>0</v>
      </c>
      <c r="AM9" s="209"/>
      <c r="AN9" s="209"/>
      <c r="AO9" s="209"/>
      <c r="AP9" s="209"/>
      <c r="AQ9" s="209"/>
      <c r="AR9" s="209"/>
      <c r="AS9" s="209"/>
      <c r="AT9" s="209"/>
      <c r="AU9" s="209"/>
      <c r="AV9" s="190">
        <f t="shared" si="8"/>
        <v>0</v>
      </c>
      <c r="AW9" s="191">
        <f t="shared" si="9"/>
        <v>0</v>
      </c>
      <c r="AX9" s="192">
        <f t="shared" si="10"/>
        <v>0</v>
      </c>
      <c r="AY9" s="190">
        <f t="shared" si="11"/>
        <v>0</v>
      </c>
      <c r="AZ9" s="191">
        <f t="shared" si="12"/>
        <v>0</v>
      </c>
      <c r="BA9" s="191">
        <f t="shared" si="13"/>
        <v>0</v>
      </c>
      <c r="BB9" s="194">
        <f t="shared" si="14"/>
        <v>0</v>
      </c>
      <c r="BC9" s="194"/>
      <c r="BD9" s="106"/>
      <c r="BE9" s="106"/>
      <c r="BF9" s="78"/>
      <c r="BG9" s="78"/>
      <c r="BH9" s="78"/>
    </row>
    <row r="10" spans="1:60" ht="18">
      <c r="A10" s="93">
        <v>8</v>
      </c>
      <c r="B10" s="94" t="s">
        <v>12</v>
      </c>
      <c r="C10" s="95" t="s">
        <v>125</v>
      </c>
      <c r="D10" s="95" t="s">
        <v>46</v>
      </c>
      <c r="E10" s="96">
        <v>0.1</v>
      </c>
      <c r="F10" s="96"/>
      <c r="G10" s="207"/>
      <c r="H10" s="208">
        <f>_xlfn.XLOOKUP(C10,Projection_!A:A,Projection_!I:I)</f>
        <v>0</v>
      </c>
      <c r="I10" s="209"/>
      <c r="J10" s="209"/>
      <c r="K10" s="209"/>
      <c r="L10" s="209"/>
      <c r="M10" s="209"/>
      <c r="N10" s="209"/>
      <c r="O10" s="209"/>
      <c r="P10" s="190">
        <f>SUM(I10:N10)</f>
        <v>0</v>
      </c>
      <c r="Q10" s="191">
        <f t="shared" si="0"/>
        <v>0</v>
      </c>
      <c r="R10" s="192">
        <f t="shared" si="1"/>
        <v>0</v>
      </c>
      <c r="S10" s="209"/>
      <c r="T10" s="209"/>
      <c r="U10" s="209"/>
      <c r="V10" s="209"/>
      <c r="W10" s="209"/>
      <c r="X10" s="209"/>
      <c r="Y10" s="209"/>
      <c r="Z10" s="190">
        <f t="shared" si="2"/>
        <v>0</v>
      </c>
      <c r="AA10" s="191">
        <f t="shared" si="3"/>
        <v>0</v>
      </c>
      <c r="AB10" s="192">
        <f t="shared" si="4"/>
        <v>0</v>
      </c>
      <c r="AC10" s="209"/>
      <c r="AD10" s="209"/>
      <c r="AE10" s="209"/>
      <c r="AF10" s="209"/>
      <c r="AG10" s="209"/>
      <c r="AH10" s="209"/>
      <c r="AI10" s="209"/>
      <c r="AJ10" s="191">
        <f t="shared" si="5"/>
        <v>0</v>
      </c>
      <c r="AK10" s="190">
        <f t="shared" si="6"/>
        <v>0</v>
      </c>
      <c r="AL10" s="192">
        <f t="shared" si="7"/>
        <v>0</v>
      </c>
      <c r="AM10" s="209"/>
      <c r="AN10" s="209"/>
      <c r="AO10" s="209"/>
      <c r="AP10" s="209"/>
      <c r="AQ10" s="209"/>
      <c r="AR10" s="209"/>
      <c r="AS10" s="209"/>
      <c r="AT10" s="209"/>
      <c r="AU10" s="209"/>
      <c r="AV10" s="190">
        <f t="shared" si="8"/>
        <v>0</v>
      </c>
      <c r="AW10" s="191">
        <f t="shared" si="9"/>
        <v>0</v>
      </c>
      <c r="AX10" s="192">
        <f t="shared" si="10"/>
        <v>0</v>
      </c>
      <c r="AY10" s="190">
        <f t="shared" si="11"/>
        <v>0</v>
      </c>
      <c r="AZ10" s="191">
        <f t="shared" si="12"/>
        <v>0</v>
      </c>
      <c r="BA10" s="191">
        <f t="shared" si="13"/>
        <v>0</v>
      </c>
      <c r="BB10" s="194">
        <f t="shared" si="14"/>
        <v>0</v>
      </c>
      <c r="BC10" s="194"/>
      <c r="BD10" s="106"/>
      <c r="BE10" s="106"/>
      <c r="BF10" s="78"/>
      <c r="BG10" s="78"/>
      <c r="BH10" s="78"/>
    </row>
    <row r="11" spans="1:60" ht="18">
      <c r="A11" s="188">
        <v>9</v>
      </c>
      <c r="B11" s="94" t="s">
        <v>12</v>
      </c>
      <c r="C11" s="95" t="s">
        <v>81</v>
      </c>
      <c r="D11" s="95" t="s">
        <v>42</v>
      </c>
      <c r="E11" s="96">
        <v>1</v>
      </c>
      <c r="F11" s="96"/>
      <c r="G11" s="207"/>
      <c r="H11" s="208">
        <f>_xlfn.XLOOKUP(C11,Projection_!A:A,Projection_!I:I)</f>
        <v>0</v>
      </c>
      <c r="I11" s="209"/>
      <c r="J11" s="209"/>
      <c r="K11" s="209"/>
      <c r="L11" s="209"/>
      <c r="M11" s="209"/>
      <c r="N11" s="209"/>
      <c r="O11" s="209"/>
      <c r="P11" s="190">
        <f>SUM(I11:O11)</f>
        <v>0</v>
      </c>
      <c r="Q11" s="191">
        <f t="shared" si="0"/>
        <v>0</v>
      </c>
      <c r="R11" s="192">
        <f t="shared" si="1"/>
        <v>0</v>
      </c>
      <c r="S11" s="209"/>
      <c r="T11" s="209"/>
      <c r="U11" s="209"/>
      <c r="V11" s="209"/>
      <c r="W11" s="209"/>
      <c r="X11" s="209"/>
      <c r="Y11" s="209"/>
      <c r="Z11" s="190">
        <f t="shared" si="2"/>
        <v>0</v>
      </c>
      <c r="AA11" s="191">
        <f t="shared" si="3"/>
        <v>0</v>
      </c>
      <c r="AB11" s="192">
        <f t="shared" si="4"/>
        <v>0</v>
      </c>
      <c r="AC11" s="209"/>
      <c r="AD11" s="209"/>
      <c r="AE11" s="209"/>
      <c r="AF11" s="209"/>
      <c r="AG11" s="209"/>
      <c r="AH11" s="209"/>
      <c r="AI11" s="209"/>
      <c r="AJ11" s="191">
        <f t="shared" si="5"/>
        <v>0</v>
      </c>
      <c r="AK11" s="190">
        <f t="shared" si="6"/>
        <v>0</v>
      </c>
      <c r="AL11" s="192">
        <f t="shared" si="7"/>
        <v>0</v>
      </c>
      <c r="AM11" s="209"/>
      <c r="AN11" s="209"/>
      <c r="AO11" s="209"/>
      <c r="AP11" s="209"/>
      <c r="AQ11" s="209"/>
      <c r="AR11" s="209"/>
      <c r="AS11" s="209"/>
      <c r="AT11" s="209"/>
      <c r="AU11" s="209"/>
      <c r="AV11" s="190">
        <f t="shared" si="8"/>
        <v>0</v>
      </c>
      <c r="AW11" s="191">
        <f t="shared" si="9"/>
        <v>0</v>
      </c>
      <c r="AX11" s="192">
        <f t="shared" si="10"/>
        <v>0</v>
      </c>
      <c r="AY11" s="190">
        <f t="shared" si="11"/>
        <v>0</v>
      </c>
      <c r="AZ11" s="191">
        <f t="shared" si="12"/>
        <v>0</v>
      </c>
      <c r="BA11" s="191">
        <f t="shared" si="13"/>
        <v>0</v>
      </c>
      <c r="BB11" s="194">
        <f t="shared" si="14"/>
        <v>0</v>
      </c>
      <c r="BC11" s="194"/>
      <c r="BD11" s="106"/>
      <c r="BE11" s="106"/>
      <c r="BF11" s="78"/>
      <c r="BG11" s="78"/>
      <c r="BH11" s="78"/>
    </row>
    <row r="12" spans="1:60" ht="18">
      <c r="A12" s="93">
        <v>10</v>
      </c>
      <c r="B12" s="94" t="s">
        <v>12</v>
      </c>
      <c r="C12" s="95" t="s">
        <v>75</v>
      </c>
      <c r="D12" s="95" t="s">
        <v>25</v>
      </c>
      <c r="E12" s="96">
        <v>0.1</v>
      </c>
      <c r="F12" s="96"/>
      <c r="G12" s="207">
        <f>F12*E12</f>
        <v>0</v>
      </c>
      <c r="H12" s="208">
        <f>_xlfn.XLOOKUP(C12,Projection_!A:A,Projection_!I:I)</f>
        <v>0</v>
      </c>
      <c r="I12" s="209"/>
      <c r="J12" s="209"/>
      <c r="K12" s="209"/>
      <c r="L12" s="209"/>
      <c r="M12" s="209"/>
      <c r="N12" s="209"/>
      <c r="O12" s="209"/>
      <c r="P12" s="190">
        <f t="shared" ref="P12:P21" si="15">SUM(I12:N12)</f>
        <v>0</v>
      </c>
      <c r="Q12" s="191">
        <f t="shared" si="0"/>
        <v>0</v>
      </c>
      <c r="R12" s="192">
        <f t="shared" si="1"/>
        <v>0</v>
      </c>
      <c r="S12" s="209"/>
      <c r="T12" s="209"/>
      <c r="U12" s="209"/>
      <c r="V12" s="209"/>
      <c r="W12" s="209"/>
      <c r="X12" s="209"/>
      <c r="Y12" s="209"/>
      <c r="Z12" s="190">
        <f t="shared" si="2"/>
        <v>0</v>
      </c>
      <c r="AA12" s="191">
        <f t="shared" si="3"/>
        <v>0</v>
      </c>
      <c r="AB12" s="192">
        <f t="shared" si="4"/>
        <v>0</v>
      </c>
      <c r="AC12" s="209"/>
      <c r="AD12" s="209"/>
      <c r="AE12" s="209"/>
      <c r="AF12" s="209"/>
      <c r="AG12" s="209"/>
      <c r="AH12" s="209"/>
      <c r="AI12" s="209"/>
      <c r="AJ12" s="191">
        <f t="shared" si="5"/>
        <v>0</v>
      </c>
      <c r="AK12" s="190">
        <f t="shared" si="6"/>
        <v>0</v>
      </c>
      <c r="AL12" s="192">
        <f t="shared" si="7"/>
        <v>0</v>
      </c>
      <c r="AM12" s="209"/>
      <c r="AN12" s="209"/>
      <c r="AO12" s="209"/>
      <c r="AP12" s="209"/>
      <c r="AQ12" s="209"/>
      <c r="AR12" s="209"/>
      <c r="AS12" s="209"/>
      <c r="AT12" s="209"/>
      <c r="AU12" s="209"/>
      <c r="AV12" s="190">
        <f t="shared" si="8"/>
        <v>0</v>
      </c>
      <c r="AW12" s="191">
        <f t="shared" si="9"/>
        <v>0</v>
      </c>
      <c r="AX12" s="192">
        <f t="shared" si="10"/>
        <v>0</v>
      </c>
      <c r="AY12" s="190">
        <f t="shared" si="11"/>
        <v>0</v>
      </c>
      <c r="AZ12" s="191">
        <f t="shared" si="12"/>
        <v>0</v>
      </c>
      <c r="BA12" s="191">
        <f t="shared" si="13"/>
        <v>0</v>
      </c>
      <c r="BB12" s="194">
        <f t="shared" si="14"/>
        <v>0</v>
      </c>
      <c r="BC12" s="194"/>
      <c r="BD12" s="106"/>
      <c r="BE12" s="106"/>
      <c r="BF12" s="78"/>
      <c r="BG12" s="78"/>
      <c r="BH12" s="78"/>
    </row>
    <row r="13" spans="1:60" ht="18">
      <c r="A13" s="188">
        <v>11</v>
      </c>
      <c r="B13" s="94" t="s">
        <v>12</v>
      </c>
      <c r="C13" s="95" t="s">
        <v>144</v>
      </c>
      <c r="D13" s="95" t="s">
        <v>145</v>
      </c>
      <c r="E13" s="96">
        <v>1</v>
      </c>
      <c r="F13" s="96"/>
      <c r="G13" s="207"/>
      <c r="H13" s="208" t="e">
        <f>_xlfn.XLOOKUP(C13,Projection_!A:A,Projection_!I:I)</f>
        <v>#N/A</v>
      </c>
      <c r="I13" s="209"/>
      <c r="J13" s="209"/>
      <c r="K13" s="209"/>
      <c r="L13" s="209"/>
      <c r="M13" s="209"/>
      <c r="N13" s="209"/>
      <c r="O13" s="209"/>
      <c r="P13" s="190">
        <f t="shared" si="15"/>
        <v>0</v>
      </c>
      <c r="Q13" s="191">
        <f t="shared" si="0"/>
        <v>0</v>
      </c>
      <c r="R13" s="192" t="e">
        <f t="shared" si="1"/>
        <v>#N/A</v>
      </c>
      <c r="S13" s="209"/>
      <c r="T13" s="209"/>
      <c r="U13" s="209"/>
      <c r="V13" s="209"/>
      <c r="W13" s="209"/>
      <c r="X13" s="209"/>
      <c r="Y13" s="209"/>
      <c r="Z13" s="190">
        <f t="shared" si="2"/>
        <v>0</v>
      </c>
      <c r="AA13" s="191">
        <f t="shared" si="3"/>
        <v>0</v>
      </c>
      <c r="AB13" s="192" t="e">
        <f t="shared" si="4"/>
        <v>#N/A</v>
      </c>
      <c r="AC13" s="209"/>
      <c r="AD13" s="209"/>
      <c r="AE13" s="209"/>
      <c r="AF13" s="209"/>
      <c r="AG13" s="209"/>
      <c r="AH13" s="209"/>
      <c r="AI13" s="209"/>
      <c r="AJ13" s="191">
        <f t="shared" si="5"/>
        <v>0</v>
      </c>
      <c r="AK13" s="190">
        <f t="shared" si="6"/>
        <v>0</v>
      </c>
      <c r="AL13" s="192" t="e">
        <f t="shared" si="7"/>
        <v>#N/A</v>
      </c>
      <c r="AM13" s="209"/>
      <c r="AN13" s="209"/>
      <c r="AO13" s="209"/>
      <c r="AP13" s="209"/>
      <c r="AQ13" s="209"/>
      <c r="AR13" s="209"/>
      <c r="AS13" s="209"/>
      <c r="AT13" s="209"/>
      <c r="AU13" s="209"/>
      <c r="AV13" s="190">
        <f t="shared" si="8"/>
        <v>0</v>
      </c>
      <c r="AW13" s="191">
        <f t="shared" si="9"/>
        <v>0</v>
      </c>
      <c r="AX13" s="192" t="e">
        <f t="shared" si="10"/>
        <v>#N/A</v>
      </c>
      <c r="AY13" s="190">
        <f t="shared" si="11"/>
        <v>0</v>
      </c>
      <c r="AZ13" s="191">
        <f t="shared" si="12"/>
        <v>0</v>
      </c>
      <c r="BA13" s="191" t="e">
        <f t="shared" si="13"/>
        <v>#N/A</v>
      </c>
      <c r="BB13" s="194">
        <f t="shared" si="14"/>
        <v>0</v>
      </c>
      <c r="BC13" s="194"/>
      <c r="BD13" s="106"/>
      <c r="BE13" s="106"/>
      <c r="BF13" s="78"/>
      <c r="BG13" s="78"/>
      <c r="BH13" s="78"/>
    </row>
    <row r="14" spans="1:60" ht="18">
      <c r="A14" s="93">
        <v>12</v>
      </c>
      <c r="B14" s="94" t="s">
        <v>12</v>
      </c>
      <c r="C14" s="95" t="s">
        <v>68</v>
      </c>
      <c r="D14" s="95" t="s">
        <v>13</v>
      </c>
      <c r="E14" s="96">
        <v>0.2</v>
      </c>
      <c r="F14" s="96"/>
      <c r="G14" s="207"/>
      <c r="H14" s="208">
        <f>_xlfn.XLOOKUP(C14,Projection_!A:A,Projection_!I:I)</f>
        <v>0</v>
      </c>
      <c r="I14" s="209"/>
      <c r="J14" s="209"/>
      <c r="K14" s="209"/>
      <c r="L14" s="209"/>
      <c r="M14" s="209"/>
      <c r="N14" s="209"/>
      <c r="O14" s="209"/>
      <c r="P14" s="190">
        <f t="shared" si="15"/>
        <v>0</v>
      </c>
      <c r="Q14" s="191">
        <f t="shared" si="0"/>
        <v>0</v>
      </c>
      <c r="R14" s="192">
        <f t="shared" si="1"/>
        <v>0</v>
      </c>
      <c r="S14" s="209"/>
      <c r="T14" s="209"/>
      <c r="U14" s="209"/>
      <c r="V14" s="209"/>
      <c r="W14" s="209"/>
      <c r="X14" s="209"/>
      <c r="Y14" s="209"/>
      <c r="Z14" s="190">
        <f t="shared" si="2"/>
        <v>0</v>
      </c>
      <c r="AA14" s="191">
        <f t="shared" si="3"/>
        <v>0</v>
      </c>
      <c r="AB14" s="192">
        <f t="shared" si="4"/>
        <v>0</v>
      </c>
      <c r="AC14" s="209"/>
      <c r="AD14" s="209"/>
      <c r="AE14" s="209"/>
      <c r="AF14" s="209"/>
      <c r="AG14" s="209"/>
      <c r="AH14" s="209"/>
      <c r="AI14" s="209"/>
      <c r="AJ14" s="191">
        <f t="shared" si="5"/>
        <v>0</v>
      </c>
      <c r="AK14" s="190">
        <f t="shared" si="6"/>
        <v>0</v>
      </c>
      <c r="AL14" s="192">
        <f t="shared" si="7"/>
        <v>0</v>
      </c>
      <c r="AM14" s="209"/>
      <c r="AN14" s="209"/>
      <c r="AO14" s="209"/>
      <c r="AP14" s="209"/>
      <c r="AQ14" s="209"/>
      <c r="AR14" s="209"/>
      <c r="AS14" s="209"/>
      <c r="AT14" s="209"/>
      <c r="AU14" s="209"/>
      <c r="AV14" s="190">
        <f t="shared" si="8"/>
        <v>0</v>
      </c>
      <c r="AW14" s="191">
        <f t="shared" si="9"/>
        <v>0</v>
      </c>
      <c r="AX14" s="192">
        <f t="shared" si="10"/>
        <v>0</v>
      </c>
      <c r="AY14" s="190">
        <f t="shared" si="11"/>
        <v>0</v>
      </c>
      <c r="AZ14" s="191">
        <f t="shared" si="12"/>
        <v>0</v>
      </c>
      <c r="BA14" s="191">
        <f t="shared" si="13"/>
        <v>0</v>
      </c>
      <c r="BB14" s="194">
        <f t="shared" si="14"/>
        <v>0</v>
      </c>
      <c r="BC14" s="194"/>
      <c r="BD14" s="106"/>
      <c r="BE14" s="106"/>
      <c r="BF14" s="78"/>
      <c r="BG14" s="78"/>
      <c r="BH14" s="78"/>
    </row>
    <row r="15" spans="1:60" ht="18">
      <c r="A15" s="188">
        <v>13</v>
      </c>
      <c r="B15" s="94" t="s">
        <v>12</v>
      </c>
      <c r="C15" s="95" t="s">
        <v>78</v>
      </c>
      <c r="D15" s="95" t="s">
        <v>35</v>
      </c>
      <c r="E15" s="96">
        <v>0.2</v>
      </c>
      <c r="F15" s="96"/>
      <c r="G15" s="207">
        <f>F15*E15</f>
        <v>0</v>
      </c>
      <c r="H15" s="208">
        <f>_xlfn.XLOOKUP(C15,Projection_!A:A,Projection_!I:I)</f>
        <v>0</v>
      </c>
      <c r="I15" s="209"/>
      <c r="J15" s="209"/>
      <c r="K15" s="209"/>
      <c r="L15" s="209"/>
      <c r="M15" s="209"/>
      <c r="N15" s="209"/>
      <c r="O15" s="209"/>
      <c r="P15" s="190">
        <f t="shared" si="15"/>
        <v>0</v>
      </c>
      <c r="Q15" s="191">
        <f t="shared" si="0"/>
        <v>0</v>
      </c>
      <c r="R15" s="192">
        <f t="shared" si="1"/>
        <v>0</v>
      </c>
      <c r="S15" s="209"/>
      <c r="T15" s="209"/>
      <c r="U15" s="209"/>
      <c r="V15" s="209"/>
      <c r="W15" s="209"/>
      <c r="X15" s="209"/>
      <c r="Y15" s="209"/>
      <c r="Z15" s="190">
        <f t="shared" si="2"/>
        <v>0</v>
      </c>
      <c r="AA15" s="191">
        <f t="shared" si="3"/>
        <v>0</v>
      </c>
      <c r="AB15" s="192">
        <f t="shared" si="4"/>
        <v>0</v>
      </c>
      <c r="AC15" s="209"/>
      <c r="AD15" s="209"/>
      <c r="AE15" s="209"/>
      <c r="AF15" s="209"/>
      <c r="AG15" s="209"/>
      <c r="AH15" s="209"/>
      <c r="AI15" s="209"/>
      <c r="AJ15" s="191">
        <f t="shared" si="5"/>
        <v>0</v>
      </c>
      <c r="AK15" s="190">
        <f t="shared" si="6"/>
        <v>0</v>
      </c>
      <c r="AL15" s="192">
        <f t="shared" si="7"/>
        <v>0</v>
      </c>
      <c r="AM15" s="209"/>
      <c r="AN15" s="209"/>
      <c r="AO15" s="209"/>
      <c r="AP15" s="209"/>
      <c r="AQ15" s="209"/>
      <c r="AR15" s="209"/>
      <c r="AS15" s="209"/>
      <c r="AT15" s="209"/>
      <c r="AU15" s="209"/>
      <c r="AV15" s="190">
        <f t="shared" si="8"/>
        <v>0</v>
      </c>
      <c r="AW15" s="191">
        <f t="shared" si="9"/>
        <v>0</v>
      </c>
      <c r="AX15" s="192">
        <f t="shared" si="10"/>
        <v>0</v>
      </c>
      <c r="AY15" s="190">
        <f t="shared" si="11"/>
        <v>0</v>
      </c>
      <c r="AZ15" s="191">
        <f t="shared" si="12"/>
        <v>0</v>
      </c>
      <c r="BA15" s="191">
        <f t="shared" si="13"/>
        <v>0</v>
      </c>
      <c r="BB15" s="194">
        <f t="shared" si="14"/>
        <v>0</v>
      </c>
      <c r="BC15" s="194"/>
      <c r="BD15" s="106"/>
      <c r="BE15" s="106"/>
      <c r="BF15" s="78"/>
      <c r="BG15" s="78"/>
      <c r="BH15" s="78"/>
    </row>
    <row r="16" spans="1:60" ht="18">
      <c r="A16" s="93">
        <v>14</v>
      </c>
      <c r="B16" s="94" t="s">
        <v>12</v>
      </c>
      <c r="C16" s="95" t="s">
        <v>71</v>
      </c>
      <c r="D16" s="95" t="s">
        <v>21</v>
      </c>
      <c r="E16" s="96">
        <v>0.2</v>
      </c>
      <c r="F16" s="96"/>
      <c r="G16" s="207">
        <f>F16*E16</f>
        <v>0</v>
      </c>
      <c r="H16" s="208">
        <f>_xlfn.XLOOKUP(C16,Projection_!A:A,Projection_!I:I)</f>
        <v>0</v>
      </c>
      <c r="I16" s="209"/>
      <c r="J16" s="209"/>
      <c r="K16" s="209"/>
      <c r="L16" s="209"/>
      <c r="M16" s="209"/>
      <c r="N16" s="209"/>
      <c r="O16" s="209"/>
      <c r="P16" s="190">
        <f t="shared" si="15"/>
        <v>0</v>
      </c>
      <c r="Q16" s="191">
        <f t="shared" si="0"/>
        <v>0</v>
      </c>
      <c r="R16" s="192">
        <f t="shared" si="1"/>
        <v>0</v>
      </c>
      <c r="S16" s="209"/>
      <c r="T16" s="209"/>
      <c r="U16" s="209"/>
      <c r="V16" s="209"/>
      <c r="W16" s="209"/>
      <c r="X16" s="209"/>
      <c r="Y16" s="209"/>
      <c r="Z16" s="190">
        <f t="shared" si="2"/>
        <v>0</v>
      </c>
      <c r="AA16" s="191">
        <f t="shared" si="3"/>
        <v>0</v>
      </c>
      <c r="AB16" s="192">
        <f t="shared" si="4"/>
        <v>0</v>
      </c>
      <c r="AC16" s="209"/>
      <c r="AD16" s="209"/>
      <c r="AE16" s="209"/>
      <c r="AF16" s="209"/>
      <c r="AG16" s="209"/>
      <c r="AH16" s="209"/>
      <c r="AI16" s="209"/>
      <c r="AJ16" s="191">
        <f t="shared" si="5"/>
        <v>0</v>
      </c>
      <c r="AK16" s="190">
        <f t="shared" si="6"/>
        <v>0</v>
      </c>
      <c r="AL16" s="192">
        <f t="shared" si="7"/>
        <v>0</v>
      </c>
      <c r="AM16" s="209"/>
      <c r="AN16" s="209"/>
      <c r="AO16" s="209"/>
      <c r="AP16" s="209"/>
      <c r="AQ16" s="209"/>
      <c r="AR16" s="209"/>
      <c r="AS16" s="209"/>
      <c r="AT16" s="209"/>
      <c r="AU16" s="209"/>
      <c r="AV16" s="190">
        <f t="shared" si="8"/>
        <v>0</v>
      </c>
      <c r="AW16" s="191">
        <f t="shared" si="9"/>
        <v>0</v>
      </c>
      <c r="AX16" s="192">
        <f t="shared" si="10"/>
        <v>0</v>
      </c>
      <c r="AY16" s="190">
        <f t="shared" si="11"/>
        <v>0</v>
      </c>
      <c r="AZ16" s="191">
        <f t="shared" si="12"/>
        <v>0</v>
      </c>
      <c r="BA16" s="191">
        <f t="shared" si="13"/>
        <v>0</v>
      </c>
      <c r="BB16" s="194">
        <f t="shared" si="14"/>
        <v>0</v>
      </c>
      <c r="BC16" s="194"/>
      <c r="BD16" s="106"/>
      <c r="BE16" s="106"/>
      <c r="BF16" s="78"/>
      <c r="BG16" s="78"/>
      <c r="BH16" s="78"/>
    </row>
    <row r="17" spans="1:60" ht="18">
      <c r="A17" s="188">
        <v>15</v>
      </c>
      <c r="B17" s="94" t="s">
        <v>12</v>
      </c>
      <c r="C17" s="95" t="s">
        <v>72</v>
      </c>
      <c r="D17" s="95" t="s">
        <v>22</v>
      </c>
      <c r="E17" s="96">
        <v>0.2</v>
      </c>
      <c r="F17" s="96"/>
      <c r="G17" s="207"/>
      <c r="H17" s="208">
        <f>_xlfn.XLOOKUP(C17,Projection_!A:A,Projection_!I:I)</f>
        <v>0</v>
      </c>
      <c r="I17" s="209"/>
      <c r="J17" s="209"/>
      <c r="K17" s="209"/>
      <c r="L17" s="209"/>
      <c r="M17" s="209"/>
      <c r="N17" s="209"/>
      <c r="O17" s="209"/>
      <c r="P17" s="190">
        <f t="shared" si="15"/>
        <v>0</v>
      </c>
      <c r="Q17" s="191">
        <f t="shared" si="0"/>
        <v>0</v>
      </c>
      <c r="R17" s="192">
        <f t="shared" si="1"/>
        <v>0</v>
      </c>
      <c r="S17" s="209"/>
      <c r="T17" s="209"/>
      <c r="U17" s="209"/>
      <c r="V17" s="209"/>
      <c r="W17" s="209"/>
      <c r="X17" s="209"/>
      <c r="Y17" s="209"/>
      <c r="Z17" s="190">
        <f t="shared" si="2"/>
        <v>0</v>
      </c>
      <c r="AA17" s="191">
        <f t="shared" si="3"/>
        <v>0</v>
      </c>
      <c r="AB17" s="192">
        <f t="shared" si="4"/>
        <v>0</v>
      </c>
      <c r="AC17" s="209"/>
      <c r="AD17" s="209"/>
      <c r="AE17" s="209"/>
      <c r="AF17" s="209"/>
      <c r="AG17" s="209"/>
      <c r="AH17" s="209"/>
      <c r="AI17" s="209"/>
      <c r="AJ17" s="191">
        <f t="shared" si="5"/>
        <v>0</v>
      </c>
      <c r="AK17" s="190">
        <f t="shared" si="6"/>
        <v>0</v>
      </c>
      <c r="AL17" s="192">
        <f t="shared" si="7"/>
        <v>0</v>
      </c>
      <c r="AM17" s="209"/>
      <c r="AN17" s="209"/>
      <c r="AO17" s="209"/>
      <c r="AP17" s="209"/>
      <c r="AQ17" s="209"/>
      <c r="AR17" s="209"/>
      <c r="AS17" s="209"/>
      <c r="AT17" s="209"/>
      <c r="AU17" s="209"/>
      <c r="AV17" s="190">
        <f t="shared" si="8"/>
        <v>0</v>
      </c>
      <c r="AW17" s="191">
        <f t="shared" si="9"/>
        <v>0</v>
      </c>
      <c r="AX17" s="192">
        <f t="shared" si="10"/>
        <v>0</v>
      </c>
      <c r="AY17" s="190">
        <f t="shared" si="11"/>
        <v>0</v>
      </c>
      <c r="AZ17" s="191">
        <f t="shared" si="12"/>
        <v>0</v>
      </c>
      <c r="BA17" s="191">
        <f t="shared" si="13"/>
        <v>0</v>
      </c>
      <c r="BB17" s="194">
        <f t="shared" si="14"/>
        <v>0</v>
      </c>
      <c r="BC17" s="194"/>
      <c r="BD17" s="106"/>
      <c r="BE17" s="106"/>
      <c r="BF17" s="78"/>
      <c r="BG17" s="78"/>
      <c r="BH17" s="78"/>
    </row>
    <row r="18" spans="1:60" ht="18">
      <c r="A18" s="93">
        <v>16</v>
      </c>
      <c r="B18" s="94" t="s">
        <v>12</v>
      </c>
      <c r="C18" s="95" t="s">
        <v>70</v>
      </c>
      <c r="D18" s="95" t="s">
        <v>14</v>
      </c>
      <c r="E18" s="96">
        <v>0.2</v>
      </c>
      <c r="F18" s="96"/>
      <c r="G18" s="207"/>
      <c r="H18" s="208">
        <f>_xlfn.XLOOKUP(C18,Projection_!A:A,Projection_!I:I)</f>
        <v>0</v>
      </c>
      <c r="I18" s="209"/>
      <c r="J18" s="209"/>
      <c r="K18" s="209"/>
      <c r="L18" s="209"/>
      <c r="M18" s="209"/>
      <c r="N18" s="209"/>
      <c r="O18" s="209"/>
      <c r="P18" s="190">
        <f t="shared" si="15"/>
        <v>0</v>
      </c>
      <c r="Q18" s="191">
        <f t="shared" si="0"/>
        <v>0</v>
      </c>
      <c r="R18" s="192">
        <f t="shared" si="1"/>
        <v>0</v>
      </c>
      <c r="S18" s="209"/>
      <c r="T18" s="209"/>
      <c r="U18" s="209"/>
      <c r="V18" s="209"/>
      <c r="W18" s="209"/>
      <c r="X18" s="209"/>
      <c r="Y18" s="209"/>
      <c r="Z18" s="190">
        <f t="shared" si="2"/>
        <v>0</v>
      </c>
      <c r="AA18" s="191">
        <f t="shared" si="3"/>
        <v>0</v>
      </c>
      <c r="AB18" s="192">
        <f t="shared" si="4"/>
        <v>0</v>
      </c>
      <c r="AC18" s="209"/>
      <c r="AD18" s="209"/>
      <c r="AE18" s="209"/>
      <c r="AF18" s="209"/>
      <c r="AG18" s="209"/>
      <c r="AH18" s="209"/>
      <c r="AI18" s="209"/>
      <c r="AJ18" s="191">
        <f t="shared" si="5"/>
        <v>0</v>
      </c>
      <c r="AK18" s="190">
        <f t="shared" si="6"/>
        <v>0</v>
      </c>
      <c r="AL18" s="192">
        <f t="shared" si="7"/>
        <v>0</v>
      </c>
      <c r="AM18" s="209"/>
      <c r="AN18" s="209"/>
      <c r="AO18" s="209"/>
      <c r="AP18" s="209"/>
      <c r="AQ18" s="209"/>
      <c r="AR18" s="209"/>
      <c r="AS18" s="209"/>
      <c r="AT18" s="209"/>
      <c r="AU18" s="209"/>
      <c r="AV18" s="190">
        <f t="shared" si="8"/>
        <v>0</v>
      </c>
      <c r="AW18" s="191">
        <f t="shared" si="9"/>
        <v>0</v>
      </c>
      <c r="AX18" s="192">
        <f t="shared" si="10"/>
        <v>0</v>
      </c>
      <c r="AY18" s="190">
        <f t="shared" si="11"/>
        <v>0</v>
      </c>
      <c r="AZ18" s="191">
        <f t="shared" si="12"/>
        <v>0</v>
      </c>
      <c r="BA18" s="191">
        <f t="shared" si="13"/>
        <v>0</v>
      </c>
      <c r="BB18" s="194">
        <f t="shared" si="14"/>
        <v>0</v>
      </c>
      <c r="BC18" s="194"/>
      <c r="BD18" s="106"/>
      <c r="BE18" s="106"/>
      <c r="BF18" s="78"/>
      <c r="BG18" s="78"/>
      <c r="BH18" s="78"/>
    </row>
    <row r="19" spans="1:60" ht="18">
      <c r="A19" s="188">
        <v>17</v>
      </c>
      <c r="B19" s="94" t="s">
        <v>12</v>
      </c>
      <c r="C19" s="95" t="s">
        <v>67</v>
      </c>
      <c r="D19" s="95" t="s">
        <v>9</v>
      </c>
      <c r="E19" s="96">
        <v>0.2</v>
      </c>
      <c r="F19" s="96"/>
      <c r="G19" s="207"/>
      <c r="H19" s="208">
        <f>_xlfn.XLOOKUP(C19,Projection_!A:A,Projection_!I:I)</f>
        <v>0</v>
      </c>
      <c r="I19" s="209"/>
      <c r="J19" s="209"/>
      <c r="K19" s="209"/>
      <c r="L19" s="209"/>
      <c r="M19" s="209"/>
      <c r="N19" s="209"/>
      <c r="O19" s="209"/>
      <c r="P19" s="190">
        <f t="shared" si="15"/>
        <v>0</v>
      </c>
      <c r="Q19" s="191">
        <f t="shared" si="0"/>
        <v>0</v>
      </c>
      <c r="R19" s="192">
        <f t="shared" si="1"/>
        <v>0</v>
      </c>
      <c r="S19" s="209"/>
      <c r="T19" s="209"/>
      <c r="U19" s="209"/>
      <c r="V19" s="209"/>
      <c r="W19" s="209"/>
      <c r="X19" s="209"/>
      <c r="Y19" s="209"/>
      <c r="Z19" s="190">
        <f t="shared" si="2"/>
        <v>0</v>
      </c>
      <c r="AA19" s="191">
        <f t="shared" si="3"/>
        <v>0</v>
      </c>
      <c r="AB19" s="192">
        <f t="shared" si="4"/>
        <v>0</v>
      </c>
      <c r="AC19" s="209"/>
      <c r="AD19" s="209"/>
      <c r="AE19" s="209"/>
      <c r="AF19" s="209"/>
      <c r="AG19" s="209"/>
      <c r="AH19" s="209"/>
      <c r="AI19" s="209"/>
      <c r="AJ19" s="191">
        <f t="shared" si="5"/>
        <v>0</v>
      </c>
      <c r="AK19" s="190">
        <f t="shared" si="6"/>
        <v>0</v>
      </c>
      <c r="AL19" s="192">
        <f t="shared" si="7"/>
        <v>0</v>
      </c>
      <c r="AM19" s="209"/>
      <c r="AN19" s="209"/>
      <c r="AO19" s="209"/>
      <c r="AP19" s="209"/>
      <c r="AQ19" s="209"/>
      <c r="AR19" s="209"/>
      <c r="AS19" s="209"/>
      <c r="AT19" s="209"/>
      <c r="AU19" s="209"/>
      <c r="AV19" s="190">
        <f t="shared" si="8"/>
        <v>0</v>
      </c>
      <c r="AW19" s="191">
        <f t="shared" si="9"/>
        <v>0</v>
      </c>
      <c r="AX19" s="192">
        <f t="shared" si="10"/>
        <v>0</v>
      </c>
      <c r="AY19" s="190">
        <f t="shared" si="11"/>
        <v>0</v>
      </c>
      <c r="AZ19" s="191">
        <f t="shared" si="12"/>
        <v>0</v>
      </c>
      <c r="BA19" s="191">
        <f t="shared" si="13"/>
        <v>0</v>
      </c>
      <c r="BB19" s="194">
        <f t="shared" si="14"/>
        <v>0</v>
      </c>
      <c r="BC19" s="194"/>
      <c r="BD19" s="106"/>
      <c r="BE19" s="114"/>
      <c r="BF19" s="168"/>
      <c r="BG19" s="168"/>
      <c r="BH19" s="168"/>
    </row>
    <row r="20" spans="1:60" ht="18">
      <c r="A20" s="93">
        <v>18</v>
      </c>
      <c r="B20" s="94" t="s">
        <v>12</v>
      </c>
      <c r="C20" s="95" t="s">
        <v>146</v>
      </c>
      <c r="D20" s="95" t="s">
        <v>147</v>
      </c>
      <c r="E20" s="96"/>
      <c r="F20" s="96"/>
      <c r="G20" s="207"/>
      <c r="H20" s="208" t="e">
        <f>_xlfn.XLOOKUP(C20,Projection_!A:A,Projection_!I:I)</f>
        <v>#N/A</v>
      </c>
      <c r="I20" s="209"/>
      <c r="J20" s="209"/>
      <c r="K20" s="209"/>
      <c r="L20" s="209"/>
      <c r="M20" s="209"/>
      <c r="N20" s="209"/>
      <c r="O20" s="209"/>
      <c r="P20" s="190">
        <f t="shared" si="15"/>
        <v>0</v>
      </c>
      <c r="Q20" s="191">
        <f t="shared" si="0"/>
        <v>0</v>
      </c>
      <c r="R20" s="192" t="e">
        <f t="shared" si="1"/>
        <v>#N/A</v>
      </c>
      <c r="S20" s="209"/>
      <c r="T20" s="209"/>
      <c r="U20" s="209"/>
      <c r="V20" s="209"/>
      <c r="W20" s="209"/>
      <c r="X20" s="209"/>
      <c r="Y20" s="209"/>
      <c r="Z20" s="190">
        <f t="shared" si="2"/>
        <v>0</v>
      </c>
      <c r="AA20" s="191">
        <f t="shared" si="3"/>
        <v>0</v>
      </c>
      <c r="AB20" s="192" t="e">
        <f t="shared" si="4"/>
        <v>#N/A</v>
      </c>
      <c r="AC20" s="209"/>
      <c r="AD20" s="209"/>
      <c r="AE20" s="209"/>
      <c r="AF20" s="209"/>
      <c r="AG20" s="209"/>
      <c r="AH20" s="209"/>
      <c r="AI20" s="209"/>
      <c r="AJ20" s="191">
        <f t="shared" si="5"/>
        <v>0</v>
      </c>
      <c r="AK20" s="190">
        <f t="shared" si="6"/>
        <v>0</v>
      </c>
      <c r="AL20" s="192" t="e">
        <f t="shared" si="7"/>
        <v>#N/A</v>
      </c>
      <c r="AM20" s="209"/>
      <c r="AN20" s="209"/>
      <c r="AO20" s="209"/>
      <c r="AP20" s="209"/>
      <c r="AQ20" s="209"/>
      <c r="AR20" s="209"/>
      <c r="AS20" s="209"/>
      <c r="AT20" s="209"/>
      <c r="AU20" s="209"/>
      <c r="AV20" s="190">
        <f t="shared" si="8"/>
        <v>0</v>
      </c>
      <c r="AW20" s="191">
        <f t="shared" si="9"/>
        <v>0</v>
      </c>
      <c r="AX20" s="192" t="e">
        <f t="shared" si="10"/>
        <v>#N/A</v>
      </c>
      <c r="AY20" s="190">
        <f t="shared" si="11"/>
        <v>0</v>
      </c>
      <c r="AZ20" s="191">
        <f t="shared" si="12"/>
        <v>0</v>
      </c>
      <c r="BA20" s="191" t="e">
        <f t="shared" si="13"/>
        <v>#N/A</v>
      </c>
      <c r="BB20" s="194">
        <f t="shared" si="14"/>
        <v>0</v>
      </c>
      <c r="BC20" s="194"/>
      <c r="BD20" s="106"/>
      <c r="BE20" s="114"/>
      <c r="BF20" s="168"/>
      <c r="BG20" s="168"/>
      <c r="BH20" s="168"/>
    </row>
    <row r="21" spans="1:60" ht="18">
      <c r="A21" s="188">
        <v>19</v>
      </c>
      <c r="B21" s="195" t="s">
        <v>12</v>
      </c>
      <c r="C21" s="115" t="s">
        <v>77</v>
      </c>
      <c r="D21" s="196" t="s">
        <v>140</v>
      </c>
      <c r="E21" s="96"/>
      <c r="F21" s="96"/>
      <c r="G21" s="207"/>
      <c r="H21" s="208">
        <f>_xlfn.XLOOKUP(C21,Projection_!A:A,Projection_!I:I)</f>
        <v>0</v>
      </c>
      <c r="I21" s="209"/>
      <c r="J21" s="209"/>
      <c r="K21" s="209"/>
      <c r="L21" s="209"/>
      <c r="M21" s="209"/>
      <c r="N21" s="209"/>
      <c r="O21" s="209"/>
      <c r="P21" s="190">
        <f t="shared" si="15"/>
        <v>0</v>
      </c>
      <c r="Q21" s="191">
        <f t="shared" si="0"/>
        <v>0</v>
      </c>
      <c r="R21" s="192">
        <f t="shared" si="1"/>
        <v>0</v>
      </c>
      <c r="S21" s="209"/>
      <c r="T21" s="209"/>
      <c r="U21" s="209"/>
      <c r="V21" s="209"/>
      <c r="W21" s="209"/>
      <c r="X21" s="209"/>
      <c r="Y21" s="209"/>
      <c r="Z21" s="190">
        <f t="shared" si="2"/>
        <v>0</v>
      </c>
      <c r="AA21" s="191">
        <f t="shared" si="3"/>
        <v>0</v>
      </c>
      <c r="AB21" s="192">
        <f t="shared" si="4"/>
        <v>0</v>
      </c>
      <c r="AC21" s="209"/>
      <c r="AD21" s="209"/>
      <c r="AE21" s="209"/>
      <c r="AF21" s="209"/>
      <c r="AG21" s="209"/>
      <c r="AH21" s="209"/>
      <c r="AI21" s="209"/>
      <c r="AJ21" s="191">
        <f t="shared" si="5"/>
        <v>0</v>
      </c>
      <c r="AK21" s="190">
        <f t="shared" si="6"/>
        <v>0</v>
      </c>
      <c r="AL21" s="192">
        <f t="shared" si="7"/>
        <v>0</v>
      </c>
      <c r="AM21" s="209"/>
      <c r="AN21" s="209"/>
      <c r="AO21" s="209"/>
      <c r="AP21" s="209"/>
      <c r="AQ21" s="209"/>
      <c r="AR21" s="209"/>
      <c r="AS21" s="209"/>
      <c r="AT21" s="209"/>
      <c r="AU21" s="209"/>
      <c r="AV21" s="190">
        <f t="shared" si="8"/>
        <v>0</v>
      </c>
      <c r="AW21" s="191">
        <f t="shared" si="9"/>
        <v>0</v>
      </c>
      <c r="AX21" s="192">
        <f t="shared" si="10"/>
        <v>0</v>
      </c>
      <c r="AY21" s="190">
        <f t="shared" si="11"/>
        <v>0</v>
      </c>
      <c r="AZ21" s="191">
        <f t="shared" si="12"/>
        <v>0</v>
      </c>
      <c r="BA21" s="191">
        <f t="shared" si="13"/>
        <v>0</v>
      </c>
      <c r="BB21" s="194">
        <f t="shared" si="14"/>
        <v>0</v>
      </c>
      <c r="BC21" s="194"/>
      <c r="BD21" s="106"/>
      <c r="BE21" s="114"/>
      <c r="BF21" s="168"/>
      <c r="BG21" s="168"/>
      <c r="BH21" s="168"/>
    </row>
    <row r="22" spans="1:60" ht="30" customHeight="1">
      <c r="A22" s="201" t="s">
        <v>127</v>
      </c>
      <c r="B22" s="201"/>
      <c r="C22" s="201"/>
      <c r="D22" s="201"/>
      <c r="E22" s="116"/>
      <c r="F22" s="117"/>
      <c r="G22" s="211"/>
      <c r="H22" s="189">
        <f>SUM(F22:F22)</f>
        <v>0</v>
      </c>
      <c r="I22" s="117">
        <f t="shared" ref="I22:BA22" si="16">SUM(I3:I19)</f>
        <v>0</v>
      </c>
      <c r="J22" s="117">
        <f t="shared" si="16"/>
        <v>0</v>
      </c>
      <c r="K22" s="117">
        <f t="shared" si="16"/>
        <v>0</v>
      </c>
      <c r="L22" s="117">
        <f t="shared" si="16"/>
        <v>0</v>
      </c>
      <c r="M22" s="117">
        <f t="shared" si="16"/>
        <v>0</v>
      </c>
      <c r="N22" s="117">
        <f t="shared" si="16"/>
        <v>0</v>
      </c>
      <c r="O22" s="117">
        <f t="shared" si="16"/>
        <v>0</v>
      </c>
      <c r="P22" s="197">
        <f t="shared" si="16"/>
        <v>0</v>
      </c>
      <c r="Q22" s="198">
        <f t="shared" si="16"/>
        <v>0</v>
      </c>
      <c r="R22" s="198" t="e">
        <f t="shared" si="16"/>
        <v>#N/A</v>
      </c>
      <c r="S22" s="117">
        <f t="shared" si="16"/>
        <v>0</v>
      </c>
      <c r="T22" s="117">
        <f t="shared" si="16"/>
        <v>0</v>
      </c>
      <c r="U22" s="117">
        <f t="shared" si="16"/>
        <v>0</v>
      </c>
      <c r="V22" s="117">
        <f t="shared" si="16"/>
        <v>0</v>
      </c>
      <c r="W22" s="117">
        <f t="shared" si="16"/>
        <v>0</v>
      </c>
      <c r="X22" s="117">
        <f t="shared" si="16"/>
        <v>0</v>
      </c>
      <c r="Y22" s="117">
        <f t="shared" si="16"/>
        <v>0</v>
      </c>
      <c r="Z22" s="197">
        <f t="shared" si="16"/>
        <v>0</v>
      </c>
      <c r="AA22" s="198">
        <f t="shared" si="16"/>
        <v>0</v>
      </c>
      <c r="AB22" s="198" t="e">
        <f t="shared" si="16"/>
        <v>#N/A</v>
      </c>
      <c r="AC22" s="117">
        <f t="shared" si="16"/>
        <v>0</v>
      </c>
      <c r="AD22" s="117">
        <f t="shared" si="16"/>
        <v>0</v>
      </c>
      <c r="AE22" s="117">
        <f t="shared" si="16"/>
        <v>0</v>
      </c>
      <c r="AF22" s="117">
        <f t="shared" si="16"/>
        <v>0</v>
      </c>
      <c r="AG22" s="117">
        <f t="shared" si="16"/>
        <v>0</v>
      </c>
      <c r="AH22" s="117">
        <f t="shared" si="16"/>
        <v>0</v>
      </c>
      <c r="AI22" s="117">
        <f t="shared" si="16"/>
        <v>0</v>
      </c>
      <c r="AJ22" s="198">
        <f t="shared" si="16"/>
        <v>0</v>
      </c>
      <c r="AK22" s="197">
        <f t="shared" si="16"/>
        <v>0</v>
      </c>
      <c r="AL22" s="198" t="e">
        <f t="shared" si="16"/>
        <v>#N/A</v>
      </c>
      <c r="AM22" s="117">
        <f t="shared" si="16"/>
        <v>0</v>
      </c>
      <c r="AN22" s="117">
        <f t="shared" si="16"/>
        <v>0</v>
      </c>
      <c r="AO22" s="117">
        <f t="shared" si="16"/>
        <v>0</v>
      </c>
      <c r="AP22" s="117">
        <f t="shared" si="16"/>
        <v>0</v>
      </c>
      <c r="AQ22" s="117">
        <f t="shared" si="16"/>
        <v>0</v>
      </c>
      <c r="AR22" s="117">
        <f t="shared" si="16"/>
        <v>0</v>
      </c>
      <c r="AS22" s="117">
        <f t="shared" si="16"/>
        <v>0</v>
      </c>
      <c r="AT22" s="117">
        <f t="shared" si="16"/>
        <v>0</v>
      </c>
      <c r="AU22" s="117">
        <f t="shared" si="16"/>
        <v>0</v>
      </c>
      <c r="AV22" s="197">
        <f t="shared" si="16"/>
        <v>0</v>
      </c>
      <c r="AW22" s="198">
        <f t="shared" si="16"/>
        <v>0</v>
      </c>
      <c r="AX22" s="198" t="e">
        <f t="shared" si="16"/>
        <v>#N/A</v>
      </c>
      <c r="AY22" s="199">
        <f t="shared" si="16"/>
        <v>0</v>
      </c>
      <c r="AZ22" s="200">
        <f t="shared" si="16"/>
        <v>0</v>
      </c>
      <c r="BA22" s="200" t="e">
        <f t="shared" si="16"/>
        <v>#N/A</v>
      </c>
      <c r="BB22" s="194"/>
      <c r="BC22" s="194"/>
      <c r="BD22" s="106"/>
      <c r="BE22" s="106"/>
      <c r="BF22" s="78"/>
      <c r="BG22" s="78"/>
      <c r="BH22" s="78"/>
    </row>
    <row r="23" spans="1:60" ht="22.5" customHeight="1">
      <c r="A23" s="78"/>
      <c r="B23" s="79"/>
      <c r="C23" s="79"/>
      <c r="D23" s="79"/>
      <c r="E23" s="79"/>
      <c r="F23" s="79"/>
      <c r="G23" s="79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AH23" s="78"/>
      <c r="AI23" s="78"/>
      <c r="AJ23" s="78"/>
      <c r="AK23" s="78"/>
      <c r="AL23" s="78"/>
      <c r="AM23" s="78"/>
      <c r="AN23" s="78"/>
      <c r="AO23" s="78"/>
      <c r="AP23" s="78"/>
      <c r="AQ23" s="78"/>
      <c r="AR23" s="78"/>
      <c r="AS23" s="78"/>
      <c r="AT23" s="78"/>
      <c r="AU23" s="78"/>
      <c r="AV23" s="78"/>
      <c r="AW23" s="78"/>
      <c r="AX23" s="78"/>
      <c r="AY23" s="79"/>
      <c r="AZ23" s="78"/>
      <c r="BA23" s="79"/>
      <c r="BB23" s="80"/>
      <c r="BC23" s="80"/>
      <c r="BD23" s="78"/>
      <c r="BE23" s="78"/>
      <c r="BF23" s="78"/>
      <c r="BG23" s="78"/>
      <c r="BH23" s="78"/>
    </row>
  </sheetData>
  <autoFilter ref="A2:BH22" xr:uid="{67BAB40D-C538-44B0-84AD-5F3AC9D548FD}"/>
  <mergeCells count="1">
    <mergeCell ref="A22:D22"/>
  </mergeCells>
  <conditionalFormatting sqref="H3:R21 Z3:AX3 S4:AX21 H22 L22:R22 V22:AB22 AF22:AL22 AP22:AX22">
    <cfRule type="cellIs" dxfId="9" priority="6" stopIfTrue="1" operator="lessThanOrEqual">
      <formula>0</formula>
    </cfRule>
  </conditionalFormatting>
  <pageMargins left="0.70000000000000007" right="0.70000000000000007" top="0.75" bottom="0.75" header="0.30000000000000004" footer="0.30000000000000004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B4EF1-E737-428A-ABB0-D947BB4FBD1D}">
  <sheetPr>
    <pageSetUpPr fitToPage="1"/>
  </sheetPr>
  <dimension ref="A1:BE23"/>
  <sheetViews>
    <sheetView workbookViewId="0"/>
  </sheetViews>
  <sheetFormatPr defaultColWidth="12" defaultRowHeight="15.75" customHeight="1"/>
  <cols>
    <col min="1" max="2" width="12" customWidth="1"/>
    <col min="3" max="3" width="15.54296875" customWidth="1"/>
    <col min="4" max="4" width="53.453125" customWidth="1"/>
    <col min="5" max="5" width="9.08984375" hidden="1" customWidth="1"/>
    <col min="6" max="6" width="8.26953125" customWidth="1"/>
    <col min="7" max="7" width="8.81640625" customWidth="1"/>
    <col min="8" max="8" width="7.7265625" customWidth="1"/>
    <col min="9" max="9" width="8.26953125" customWidth="1"/>
    <col min="10" max="13" width="7.7265625" customWidth="1"/>
    <col min="14" max="15" width="13.90625" customWidth="1"/>
    <col min="16" max="16" width="14.54296875" customWidth="1"/>
    <col min="17" max="23" width="9.26953125" customWidth="1"/>
    <col min="24" max="24" width="13.90625" customWidth="1"/>
    <col min="25" max="25" width="14.81640625" customWidth="1"/>
    <col min="26" max="26" width="14.7265625" customWidth="1"/>
    <col min="27" max="27" width="8.26953125" customWidth="1"/>
    <col min="28" max="28" width="7.7265625" customWidth="1"/>
    <col min="29" max="33" width="8.26953125" customWidth="1"/>
    <col min="34" max="34" width="14.7265625" customWidth="1"/>
    <col min="35" max="36" width="14.54296875" customWidth="1"/>
    <col min="37" max="42" width="8.26953125" customWidth="1"/>
    <col min="43" max="45" width="9.26953125" customWidth="1"/>
    <col min="46" max="46" width="14.26953125" customWidth="1"/>
    <col min="47" max="48" width="14.54296875" customWidth="1"/>
    <col min="49" max="49" width="15.54296875" customWidth="1"/>
    <col min="50" max="50" width="16.453125" customWidth="1"/>
    <col min="51" max="51" width="17.54296875" customWidth="1"/>
    <col min="52" max="52" width="18.36328125" customWidth="1"/>
    <col min="53" max="53" width="36" customWidth="1"/>
    <col min="54" max="57" width="34.08984375" customWidth="1"/>
    <col min="58" max="58" width="12" customWidth="1"/>
  </cols>
  <sheetData>
    <row r="1" spans="1:57" ht="22.5" customHeight="1">
      <c r="A1" s="78"/>
      <c r="B1" s="79"/>
      <c r="C1" s="79"/>
      <c r="D1" s="79"/>
      <c r="E1" s="79"/>
      <c r="F1" s="79">
        <f>SUBTOTAL(9,F3:F19)</f>
        <v>0</v>
      </c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78"/>
      <c r="AP1" s="78"/>
      <c r="AQ1" s="78"/>
      <c r="AR1" s="78"/>
      <c r="AS1" s="78"/>
      <c r="AT1" s="78"/>
      <c r="AU1" s="78"/>
      <c r="AV1" s="78"/>
      <c r="AW1" s="155">
        <f>SUBTOTAL(9,AW3:AW21)</f>
        <v>0</v>
      </c>
      <c r="AX1" s="182">
        <f>SUBTOTAL(9,AX3:AX21)</f>
        <v>0</v>
      </c>
      <c r="AY1" s="155">
        <f>SUBTOTAL(9,AY3:AY21)</f>
        <v>0</v>
      </c>
      <c r="AZ1" s="80">
        <f>IFERROR(AW1/SUBTOTAL(9,F3:F21),0)</f>
        <v>0</v>
      </c>
      <c r="BA1" s="78"/>
      <c r="BB1" s="78"/>
      <c r="BC1" s="78"/>
      <c r="BD1" s="78"/>
      <c r="BE1" s="78"/>
    </row>
    <row r="2" spans="1:57" ht="87" customHeight="1">
      <c r="A2" s="126" t="s">
        <v>106</v>
      </c>
      <c r="B2" s="126" t="s">
        <v>6</v>
      </c>
      <c r="C2" s="83" t="s">
        <v>59</v>
      </c>
      <c r="D2" s="83" t="s">
        <v>108</v>
      </c>
      <c r="E2" s="84" t="s">
        <v>109</v>
      </c>
      <c r="F2" s="85" t="s">
        <v>49</v>
      </c>
      <c r="G2" s="183" t="s">
        <v>182</v>
      </c>
      <c r="H2" s="183">
        <v>26</v>
      </c>
      <c r="I2" s="183">
        <v>27</v>
      </c>
      <c r="J2" s="183">
        <v>28</v>
      </c>
      <c r="K2" s="183">
        <v>29</v>
      </c>
      <c r="L2" s="183">
        <v>30</v>
      </c>
      <c r="M2" s="183">
        <v>31</v>
      </c>
      <c r="N2" s="183" t="s">
        <v>166</v>
      </c>
      <c r="O2" s="183" t="s">
        <v>167</v>
      </c>
      <c r="P2" s="183" t="s">
        <v>168</v>
      </c>
      <c r="Q2" s="183">
        <v>1</v>
      </c>
      <c r="R2" s="183">
        <v>2</v>
      </c>
      <c r="S2" s="183">
        <v>3</v>
      </c>
      <c r="T2" s="183">
        <v>4</v>
      </c>
      <c r="U2" s="183">
        <v>5</v>
      </c>
      <c r="V2" s="183">
        <v>6</v>
      </c>
      <c r="W2" s="183">
        <v>7</v>
      </c>
      <c r="X2" s="183" t="s">
        <v>169</v>
      </c>
      <c r="Y2" s="183" t="s">
        <v>170</v>
      </c>
      <c r="Z2" s="183" t="s">
        <v>171</v>
      </c>
      <c r="AA2" s="183">
        <v>8</v>
      </c>
      <c r="AB2" s="183">
        <v>9</v>
      </c>
      <c r="AC2" s="183">
        <v>10</v>
      </c>
      <c r="AD2" s="183">
        <v>11</v>
      </c>
      <c r="AE2" s="183">
        <v>12</v>
      </c>
      <c r="AF2" s="183">
        <v>13</v>
      </c>
      <c r="AG2" s="183">
        <v>14</v>
      </c>
      <c r="AH2" s="183" t="s">
        <v>172</v>
      </c>
      <c r="AI2" s="183" t="s">
        <v>173</v>
      </c>
      <c r="AJ2" s="183" t="s">
        <v>174</v>
      </c>
      <c r="AK2" s="183">
        <v>15</v>
      </c>
      <c r="AL2" s="183">
        <v>16</v>
      </c>
      <c r="AM2" s="183">
        <v>17</v>
      </c>
      <c r="AN2" s="183">
        <v>18</v>
      </c>
      <c r="AO2" s="183">
        <v>19</v>
      </c>
      <c r="AP2" s="183">
        <v>20</v>
      </c>
      <c r="AQ2" s="183">
        <v>21</v>
      </c>
      <c r="AR2" s="183">
        <v>22</v>
      </c>
      <c r="AS2" s="183">
        <v>23</v>
      </c>
      <c r="AT2" s="183" t="s">
        <v>175</v>
      </c>
      <c r="AU2" s="183" t="s">
        <v>176</v>
      </c>
      <c r="AV2" s="183" t="s">
        <v>177</v>
      </c>
      <c r="AW2" s="203" t="s">
        <v>150</v>
      </c>
      <c r="AX2" s="204" t="s">
        <v>112</v>
      </c>
      <c r="AY2" s="205" t="s">
        <v>151</v>
      </c>
      <c r="AZ2" s="206" t="s">
        <v>115</v>
      </c>
      <c r="BA2" s="183" t="s">
        <v>63</v>
      </c>
      <c r="BB2" s="183" t="s">
        <v>130</v>
      </c>
      <c r="BC2" s="184" t="s">
        <v>131</v>
      </c>
      <c r="BD2" s="184" t="s">
        <v>132</v>
      </c>
      <c r="BE2" s="184" t="s">
        <v>133</v>
      </c>
    </row>
    <row r="3" spans="1:57" ht="18">
      <c r="A3" s="188">
        <v>1</v>
      </c>
      <c r="B3" s="94" t="s">
        <v>12</v>
      </c>
      <c r="C3" s="95" t="s">
        <v>79</v>
      </c>
      <c r="D3" s="95" t="s">
        <v>37</v>
      </c>
      <c r="E3" s="96">
        <v>0.5</v>
      </c>
      <c r="F3" s="96">
        <f>IFERROR(_xlfn.XLOOKUP(C3,Projection_!A:A,Projection_!O:O),0)</f>
        <v>0</v>
      </c>
      <c r="G3" s="189">
        <v>0</v>
      </c>
      <c r="H3" s="189">
        <v>0</v>
      </c>
      <c r="I3" s="189">
        <v>0</v>
      </c>
      <c r="J3" s="189">
        <v>0</v>
      </c>
      <c r="K3" s="189">
        <v>0</v>
      </c>
      <c r="L3" s="189">
        <v>0</v>
      </c>
      <c r="M3" s="189">
        <v>0</v>
      </c>
      <c r="N3" s="190">
        <f>SUM(G3:M3)</f>
        <v>0</v>
      </c>
      <c r="O3" s="191">
        <f t="shared" ref="O3:O21" si="0">N3*E3</f>
        <v>0</v>
      </c>
      <c r="P3" s="192">
        <f t="shared" ref="P3:P21" si="1">F3*40%</f>
        <v>0</v>
      </c>
      <c r="Q3" s="189">
        <v>0</v>
      </c>
      <c r="R3" s="189">
        <v>0</v>
      </c>
      <c r="S3" s="189">
        <v>0</v>
      </c>
      <c r="T3" s="189">
        <v>0</v>
      </c>
      <c r="U3" s="189">
        <v>0</v>
      </c>
      <c r="V3" s="189">
        <v>0</v>
      </c>
      <c r="W3" s="189">
        <v>0</v>
      </c>
      <c r="X3" s="190">
        <f t="shared" ref="X3:X21" si="2">SUM(Q3:W3)</f>
        <v>0</v>
      </c>
      <c r="Y3" s="191">
        <f t="shared" ref="Y3:Y21" si="3">X3*E3</f>
        <v>0</v>
      </c>
      <c r="Z3" s="192">
        <f t="shared" ref="Z3:Z21" si="4">F3*30%</f>
        <v>0</v>
      </c>
      <c r="AA3" s="189">
        <v>0</v>
      </c>
      <c r="AB3" s="189">
        <v>0</v>
      </c>
      <c r="AC3" s="189">
        <v>0</v>
      </c>
      <c r="AD3" s="189">
        <v>0</v>
      </c>
      <c r="AE3" s="189">
        <v>0</v>
      </c>
      <c r="AF3" s="189">
        <v>0</v>
      </c>
      <c r="AG3" s="189">
        <v>0</v>
      </c>
      <c r="AH3" s="191">
        <f t="shared" ref="AH3:AH21" si="5">AI3*E3</f>
        <v>0</v>
      </c>
      <c r="AI3" s="190">
        <f t="shared" ref="AI3:AI21" si="6">SUM(AA3:AG3)</f>
        <v>0</v>
      </c>
      <c r="AJ3" s="192">
        <f t="shared" ref="AJ3:AJ21" si="7">F3*20%</f>
        <v>0</v>
      </c>
      <c r="AK3" s="189">
        <v>0</v>
      </c>
      <c r="AL3" s="189">
        <v>0</v>
      </c>
      <c r="AM3" s="189">
        <v>0</v>
      </c>
      <c r="AN3" s="189">
        <v>0</v>
      </c>
      <c r="AO3" s="189">
        <v>0</v>
      </c>
      <c r="AP3" s="189">
        <v>0</v>
      </c>
      <c r="AQ3" s="189">
        <v>0</v>
      </c>
      <c r="AR3" s="189">
        <v>0</v>
      </c>
      <c r="AS3" s="189">
        <v>0</v>
      </c>
      <c r="AT3" s="190">
        <f t="shared" ref="AT3:AT21" si="8">SUM(AK3:AS3)</f>
        <v>0</v>
      </c>
      <c r="AU3" s="191">
        <f t="shared" ref="AU3:AU21" si="9">AT3*E3</f>
        <v>0</v>
      </c>
      <c r="AV3" s="192">
        <f t="shared" ref="AV3:AV21" si="10">F3*10%</f>
        <v>0</v>
      </c>
      <c r="AW3" s="190">
        <f t="shared" ref="AW3:AW21" si="11">N3+X3+AI3+AT3</f>
        <v>0</v>
      </c>
      <c r="AX3" s="191">
        <f t="shared" ref="AX3:AX21" si="12">AW3*E3</f>
        <v>0</v>
      </c>
      <c r="AY3" s="193">
        <f t="shared" ref="AY3:AY21" si="13">IFERROR(AW3-F3,0)</f>
        <v>0</v>
      </c>
      <c r="AZ3" s="194">
        <f t="shared" ref="AZ3:AZ21" si="14">IFERROR(AW3/F3,0)</f>
        <v>0</v>
      </c>
      <c r="BA3" s="106"/>
      <c r="BB3" s="106"/>
      <c r="BC3" s="78"/>
      <c r="BD3" s="78"/>
      <c r="BE3" s="78"/>
    </row>
    <row r="4" spans="1:57" ht="18">
      <c r="A4" s="93">
        <v>2</v>
      </c>
      <c r="B4" s="94" t="s">
        <v>12</v>
      </c>
      <c r="C4" s="95" t="s">
        <v>83</v>
      </c>
      <c r="D4" s="95" t="s">
        <v>48</v>
      </c>
      <c r="E4" s="96">
        <v>1</v>
      </c>
      <c r="F4" s="96">
        <f>IFERROR(_xlfn.XLOOKUP(C4,Projection_!A:A,Projection_!O:O),0)</f>
        <v>0</v>
      </c>
      <c r="G4" s="189">
        <v>0</v>
      </c>
      <c r="H4" s="189">
        <v>0</v>
      </c>
      <c r="I4" s="189">
        <v>0</v>
      </c>
      <c r="J4" s="189">
        <v>0</v>
      </c>
      <c r="K4" s="189">
        <v>0</v>
      </c>
      <c r="L4" s="189">
        <v>0</v>
      </c>
      <c r="M4" s="189">
        <v>0</v>
      </c>
      <c r="N4" s="190">
        <f>SUM(G4:M4)</f>
        <v>0</v>
      </c>
      <c r="O4" s="191">
        <f t="shared" si="0"/>
        <v>0</v>
      </c>
      <c r="P4" s="192">
        <f t="shared" si="1"/>
        <v>0</v>
      </c>
      <c r="Q4" s="189">
        <v>0</v>
      </c>
      <c r="R4" s="189">
        <v>0</v>
      </c>
      <c r="S4" s="189">
        <v>0</v>
      </c>
      <c r="T4" s="189">
        <v>0</v>
      </c>
      <c r="U4" s="189">
        <v>0</v>
      </c>
      <c r="V4" s="189">
        <v>0</v>
      </c>
      <c r="W4" s="189">
        <v>0</v>
      </c>
      <c r="X4" s="190">
        <f t="shared" si="2"/>
        <v>0</v>
      </c>
      <c r="Y4" s="191">
        <f t="shared" si="3"/>
        <v>0</v>
      </c>
      <c r="Z4" s="192">
        <f t="shared" si="4"/>
        <v>0</v>
      </c>
      <c r="AA4" s="189">
        <v>0</v>
      </c>
      <c r="AB4" s="189">
        <v>0</v>
      </c>
      <c r="AC4" s="189">
        <v>0</v>
      </c>
      <c r="AD4" s="189">
        <v>0</v>
      </c>
      <c r="AE4" s="189">
        <v>0</v>
      </c>
      <c r="AF4" s="189">
        <v>0</v>
      </c>
      <c r="AG4" s="189">
        <v>0</v>
      </c>
      <c r="AH4" s="191">
        <f t="shared" si="5"/>
        <v>0</v>
      </c>
      <c r="AI4" s="190">
        <f t="shared" si="6"/>
        <v>0</v>
      </c>
      <c r="AJ4" s="192">
        <f t="shared" si="7"/>
        <v>0</v>
      </c>
      <c r="AK4" s="189">
        <v>0</v>
      </c>
      <c r="AL4" s="189">
        <v>0</v>
      </c>
      <c r="AM4" s="189">
        <v>0</v>
      </c>
      <c r="AN4" s="189">
        <v>0</v>
      </c>
      <c r="AO4" s="189">
        <v>0</v>
      </c>
      <c r="AP4" s="189">
        <v>0</v>
      </c>
      <c r="AQ4" s="189">
        <v>0</v>
      </c>
      <c r="AR4" s="189">
        <v>0</v>
      </c>
      <c r="AS4" s="189">
        <v>0</v>
      </c>
      <c r="AT4" s="190">
        <f t="shared" si="8"/>
        <v>0</v>
      </c>
      <c r="AU4" s="191">
        <f t="shared" si="9"/>
        <v>0</v>
      </c>
      <c r="AV4" s="192">
        <f t="shared" si="10"/>
        <v>0</v>
      </c>
      <c r="AW4" s="190">
        <f t="shared" si="11"/>
        <v>0</v>
      </c>
      <c r="AX4" s="191">
        <f t="shared" si="12"/>
        <v>0</v>
      </c>
      <c r="AY4" s="193">
        <f t="shared" si="13"/>
        <v>0</v>
      </c>
      <c r="AZ4" s="194">
        <f t="shared" si="14"/>
        <v>0</v>
      </c>
      <c r="BA4" s="106"/>
      <c r="BB4" s="106"/>
      <c r="BC4" s="78"/>
      <c r="BD4" s="78"/>
      <c r="BE4" s="78"/>
    </row>
    <row r="5" spans="1:57" ht="18">
      <c r="A5" s="188">
        <v>3</v>
      </c>
      <c r="B5" s="94" t="s">
        <v>12</v>
      </c>
      <c r="C5" s="95" t="s">
        <v>80</v>
      </c>
      <c r="D5" s="95" t="s">
        <v>136</v>
      </c>
      <c r="E5" s="96">
        <v>5</v>
      </c>
      <c r="F5" s="96">
        <f>IFERROR(_xlfn.XLOOKUP(C5,Projection_!A:A,Projection_!O:O),0)</f>
        <v>0</v>
      </c>
      <c r="G5" s="189">
        <v>0</v>
      </c>
      <c r="H5" s="189">
        <v>0</v>
      </c>
      <c r="I5" s="189">
        <v>0</v>
      </c>
      <c r="J5" s="189">
        <v>0</v>
      </c>
      <c r="K5" s="189">
        <v>0</v>
      </c>
      <c r="L5" s="189">
        <v>0</v>
      </c>
      <c r="M5" s="189">
        <v>0</v>
      </c>
      <c r="N5" s="190">
        <f>SUM(G5:M5)</f>
        <v>0</v>
      </c>
      <c r="O5" s="191">
        <f t="shared" si="0"/>
        <v>0</v>
      </c>
      <c r="P5" s="192">
        <f t="shared" si="1"/>
        <v>0</v>
      </c>
      <c r="Q5" s="189">
        <v>0</v>
      </c>
      <c r="R5" s="189">
        <v>0</v>
      </c>
      <c r="S5" s="189">
        <v>0</v>
      </c>
      <c r="T5" s="189">
        <v>0</v>
      </c>
      <c r="U5" s="189">
        <v>0</v>
      </c>
      <c r="V5" s="189">
        <v>0</v>
      </c>
      <c r="W5" s="189">
        <v>0</v>
      </c>
      <c r="X5" s="190">
        <f t="shared" si="2"/>
        <v>0</v>
      </c>
      <c r="Y5" s="191">
        <f t="shared" si="3"/>
        <v>0</v>
      </c>
      <c r="Z5" s="192">
        <f t="shared" si="4"/>
        <v>0</v>
      </c>
      <c r="AA5" s="189">
        <v>0</v>
      </c>
      <c r="AB5" s="189">
        <v>0</v>
      </c>
      <c r="AC5" s="189">
        <v>0</v>
      </c>
      <c r="AD5" s="189">
        <v>0</v>
      </c>
      <c r="AE5" s="189">
        <v>0</v>
      </c>
      <c r="AF5" s="189">
        <v>0</v>
      </c>
      <c r="AG5" s="189">
        <v>0</v>
      </c>
      <c r="AH5" s="191">
        <f t="shared" si="5"/>
        <v>0</v>
      </c>
      <c r="AI5" s="190">
        <f t="shared" si="6"/>
        <v>0</v>
      </c>
      <c r="AJ5" s="192">
        <f t="shared" si="7"/>
        <v>0</v>
      </c>
      <c r="AK5" s="189">
        <v>0</v>
      </c>
      <c r="AL5" s="189">
        <v>0</v>
      </c>
      <c r="AM5" s="189">
        <v>0</v>
      </c>
      <c r="AN5" s="189">
        <v>0</v>
      </c>
      <c r="AO5" s="189">
        <v>0</v>
      </c>
      <c r="AP5" s="189">
        <v>0</v>
      </c>
      <c r="AQ5" s="189">
        <v>0</v>
      </c>
      <c r="AR5" s="189">
        <v>0</v>
      </c>
      <c r="AS5" s="189">
        <v>0</v>
      </c>
      <c r="AT5" s="190">
        <f t="shared" si="8"/>
        <v>0</v>
      </c>
      <c r="AU5" s="191">
        <f t="shared" si="9"/>
        <v>0</v>
      </c>
      <c r="AV5" s="192">
        <f t="shared" si="10"/>
        <v>0</v>
      </c>
      <c r="AW5" s="190">
        <f t="shared" si="11"/>
        <v>0</v>
      </c>
      <c r="AX5" s="191">
        <f t="shared" si="12"/>
        <v>0</v>
      </c>
      <c r="AY5" s="193">
        <f t="shared" si="13"/>
        <v>0</v>
      </c>
      <c r="AZ5" s="194">
        <f t="shared" si="14"/>
        <v>0</v>
      </c>
      <c r="BA5" s="106"/>
      <c r="BB5" s="106"/>
      <c r="BC5" s="78"/>
      <c r="BD5" s="78"/>
      <c r="BE5" s="78"/>
    </row>
    <row r="6" spans="1:57" ht="18">
      <c r="A6" s="93">
        <v>4</v>
      </c>
      <c r="B6" s="94" t="s">
        <v>12</v>
      </c>
      <c r="C6" s="95" t="s">
        <v>82</v>
      </c>
      <c r="D6" s="95" t="s">
        <v>44</v>
      </c>
      <c r="E6" s="96">
        <v>0.25</v>
      </c>
      <c r="F6" s="96">
        <f>IFERROR(_xlfn.XLOOKUP(C6,Projection_!A:A,Projection_!O:O),0)</f>
        <v>0</v>
      </c>
      <c r="G6" s="189">
        <v>0</v>
      </c>
      <c r="H6" s="189">
        <v>0</v>
      </c>
      <c r="I6" s="189">
        <v>0</v>
      </c>
      <c r="J6" s="189">
        <v>0</v>
      </c>
      <c r="K6" s="189">
        <v>0</v>
      </c>
      <c r="L6" s="189">
        <v>0</v>
      </c>
      <c r="M6" s="189">
        <v>0</v>
      </c>
      <c r="N6" s="190">
        <f>SUM(G6:M6)</f>
        <v>0</v>
      </c>
      <c r="O6" s="191">
        <f t="shared" si="0"/>
        <v>0</v>
      </c>
      <c r="P6" s="192">
        <f t="shared" si="1"/>
        <v>0</v>
      </c>
      <c r="Q6" s="189">
        <v>0</v>
      </c>
      <c r="R6" s="189">
        <v>0</v>
      </c>
      <c r="S6" s="189">
        <v>0</v>
      </c>
      <c r="T6" s="189">
        <v>0</v>
      </c>
      <c r="U6" s="189">
        <v>0</v>
      </c>
      <c r="V6" s="189">
        <v>0</v>
      </c>
      <c r="W6" s="189">
        <v>0</v>
      </c>
      <c r="X6" s="190">
        <f t="shared" si="2"/>
        <v>0</v>
      </c>
      <c r="Y6" s="191">
        <f t="shared" si="3"/>
        <v>0</v>
      </c>
      <c r="Z6" s="192">
        <f t="shared" si="4"/>
        <v>0</v>
      </c>
      <c r="AA6" s="189">
        <v>0</v>
      </c>
      <c r="AB6" s="189">
        <v>0</v>
      </c>
      <c r="AC6" s="189">
        <v>0</v>
      </c>
      <c r="AD6" s="189">
        <v>0</v>
      </c>
      <c r="AE6" s="189">
        <v>0</v>
      </c>
      <c r="AF6" s="189">
        <v>0</v>
      </c>
      <c r="AG6" s="189">
        <v>0</v>
      </c>
      <c r="AH6" s="191">
        <f t="shared" si="5"/>
        <v>0</v>
      </c>
      <c r="AI6" s="190">
        <f t="shared" si="6"/>
        <v>0</v>
      </c>
      <c r="AJ6" s="192">
        <f t="shared" si="7"/>
        <v>0</v>
      </c>
      <c r="AK6" s="189">
        <v>0</v>
      </c>
      <c r="AL6" s="189">
        <v>0</v>
      </c>
      <c r="AM6" s="189">
        <v>0</v>
      </c>
      <c r="AN6" s="189">
        <v>0</v>
      </c>
      <c r="AO6" s="189">
        <v>0</v>
      </c>
      <c r="AP6" s="189">
        <v>0</v>
      </c>
      <c r="AQ6" s="189">
        <v>0</v>
      </c>
      <c r="AR6" s="189">
        <v>0</v>
      </c>
      <c r="AS6" s="189">
        <v>0</v>
      </c>
      <c r="AT6" s="190">
        <f t="shared" si="8"/>
        <v>0</v>
      </c>
      <c r="AU6" s="191">
        <f t="shared" si="9"/>
        <v>0</v>
      </c>
      <c r="AV6" s="192">
        <f t="shared" si="10"/>
        <v>0</v>
      </c>
      <c r="AW6" s="190">
        <f t="shared" si="11"/>
        <v>0</v>
      </c>
      <c r="AX6" s="191">
        <f t="shared" si="12"/>
        <v>0</v>
      </c>
      <c r="AY6" s="193">
        <f t="shared" si="13"/>
        <v>0</v>
      </c>
      <c r="AZ6" s="194">
        <f t="shared" si="14"/>
        <v>0</v>
      </c>
      <c r="BA6" s="106"/>
      <c r="BB6" s="106"/>
      <c r="BC6" s="78"/>
      <c r="BD6" s="78"/>
      <c r="BE6" s="78"/>
    </row>
    <row r="7" spans="1:57" ht="18">
      <c r="A7" s="188">
        <v>5</v>
      </c>
      <c r="B7" s="94" t="s">
        <v>12</v>
      </c>
      <c r="C7" s="95" t="s">
        <v>76</v>
      </c>
      <c r="D7" s="95" t="s">
        <v>26</v>
      </c>
      <c r="E7" s="96">
        <v>0.5</v>
      </c>
      <c r="F7" s="96">
        <f>IFERROR(_xlfn.XLOOKUP(C7,Projection_!A:A,Projection_!O:O),0)</f>
        <v>0</v>
      </c>
      <c r="G7" s="189">
        <v>0</v>
      </c>
      <c r="H7" s="189">
        <v>0</v>
      </c>
      <c r="I7" s="189">
        <v>0</v>
      </c>
      <c r="J7" s="189">
        <v>0</v>
      </c>
      <c r="K7" s="189">
        <v>0</v>
      </c>
      <c r="L7" s="189">
        <v>0</v>
      </c>
      <c r="M7" s="189">
        <v>0</v>
      </c>
      <c r="N7" s="190">
        <f>SUM(G7:L7)</f>
        <v>0</v>
      </c>
      <c r="O7" s="191">
        <f t="shared" si="0"/>
        <v>0</v>
      </c>
      <c r="P7" s="192">
        <f t="shared" si="1"/>
        <v>0</v>
      </c>
      <c r="Q7" s="189">
        <v>0</v>
      </c>
      <c r="R7" s="189">
        <v>0</v>
      </c>
      <c r="S7" s="189">
        <v>0</v>
      </c>
      <c r="T7" s="189">
        <v>0</v>
      </c>
      <c r="U7" s="189">
        <v>0</v>
      </c>
      <c r="V7" s="189">
        <v>0</v>
      </c>
      <c r="W7" s="189">
        <v>0</v>
      </c>
      <c r="X7" s="190">
        <f t="shared" si="2"/>
        <v>0</v>
      </c>
      <c r="Y7" s="191">
        <f t="shared" si="3"/>
        <v>0</v>
      </c>
      <c r="Z7" s="192">
        <f t="shared" si="4"/>
        <v>0</v>
      </c>
      <c r="AA7" s="189">
        <v>0</v>
      </c>
      <c r="AB7" s="189">
        <v>0</v>
      </c>
      <c r="AC7" s="189">
        <v>0</v>
      </c>
      <c r="AD7" s="189">
        <v>0</v>
      </c>
      <c r="AE7" s="189">
        <v>0</v>
      </c>
      <c r="AF7" s="189">
        <v>0</v>
      </c>
      <c r="AG7" s="189">
        <v>0</v>
      </c>
      <c r="AH7" s="191">
        <f t="shared" si="5"/>
        <v>0</v>
      </c>
      <c r="AI7" s="190">
        <f t="shared" si="6"/>
        <v>0</v>
      </c>
      <c r="AJ7" s="192">
        <f t="shared" si="7"/>
        <v>0</v>
      </c>
      <c r="AK7" s="189">
        <v>0</v>
      </c>
      <c r="AL7" s="189">
        <v>0</v>
      </c>
      <c r="AM7" s="189">
        <v>0</v>
      </c>
      <c r="AN7" s="189">
        <v>0</v>
      </c>
      <c r="AO7" s="189">
        <v>0</v>
      </c>
      <c r="AP7" s="189">
        <v>0</v>
      </c>
      <c r="AQ7" s="189">
        <v>0</v>
      </c>
      <c r="AR7" s="189">
        <v>0</v>
      </c>
      <c r="AS7" s="189">
        <v>0</v>
      </c>
      <c r="AT7" s="190">
        <f t="shared" si="8"/>
        <v>0</v>
      </c>
      <c r="AU7" s="191">
        <f t="shared" si="9"/>
        <v>0</v>
      </c>
      <c r="AV7" s="192">
        <f t="shared" si="10"/>
        <v>0</v>
      </c>
      <c r="AW7" s="190">
        <f t="shared" si="11"/>
        <v>0</v>
      </c>
      <c r="AX7" s="191">
        <f t="shared" si="12"/>
        <v>0</v>
      </c>
      <c r="AY7" s="193">
        <f t="shared" si="13"/>
        <v>0</v>
      </c>
      <c r="AZ7" s="194">
        <f t="shared" si="14"/>
        <v>0</v>
      </c>
      <c r="BA7" s="106"/>
      <c r="BB7" s="106"/>
      <c r="BC7" s="78"/>
      <c r="BD7" s="78"/>
      <c r="BE7" s="78"/>
    </row>
    <row r="8" spans="1:57" ht="18">
      <c r="A8" s="93">
        <v>6</v>
      </c>
      <c r="B8" s="94" t="s">
        <v>12</v>
      </c>
      <c r="C8" s="95" t="s">
        <v>73</v>
      </c>
      <c r="D8" s="95" t="s">
        <v>23</v>
      </c>
      <c r="E8" s="96">
        <v>0.5</v>
      </c>
      <c r="F8" s="96">
        <f>IFERROR(_xlfn.XLOOKUP(C8,Projection_!A:A,Projection_!O:O),0)</f>
        <v>0</v>
      </c>
      <c r="G8" s="189">
        <v>0</v>
      </c>
      <c r="H8" s="189">
        <v>0</v>
      </c>
      <c r="I8" s="189">
        <v>0</v>
      </c>
      <c r="J8" s="189">
        <v>0</v>
      </c>
      <c r="K8" s="189">
        <v>0</v>
      </c>
      <c r="L8" s="189">
        <v>0</v>
      </c>
      <c r="M8" s="189">
        <v>0</v>
      </c>
      <c r="N8" s="190">
        <f>SUM(G8:M8)</f>
        <v>0</v>
      </c>
      <c r="O8" s="191">
        <f t="shared" si="0"/>
        <v>0</v>
      </c>
      <c r="P8" s="192">
        <f t="shared" si="1"/>
        <v>0</v>
      </c>
      <c r="Q8" s="189">
        <v>0</v>
      </c>
      <c r="R8" s="189">
        <v>0</v>
      </c>
      <c r="S8" s="189">
        <v>0</v>
      </c>
      <c r="T8" s="189">
        <v>0</v>
      </c>
      <c r="U8" s="189">
        <v>0</v>
      </c>
      <c r="V8" s="189">
        <v>0</v>
      </c>
      <c r="W8" s="189">
        <v>0</v>
      </c>
      <c r="X8" s="190">
        <f t="shared" si="2"/>
        <v>0</v>
      </c>
      <c r="Y8" s="191">
        <f t="shared" si="3"/>
        <v>0</v>
      </c>
      <c r="Z8" s="192">
        <f t="shared" si="4"/>
        <v>0</v>
      </c>
      <c r="AA8" s="189">
        <v>0</v>
      </c>
      <c r="AB8" s="189">
        <v>0</v>
      </c>
      <c r="AC8" s="189">
        <v>0</v>
      </c>
      <c r="AD8" s="189">
        <v>0</v>
      </c>
      <c r="AE8" s="189">
        <v>0</v>
      </c>
      <c r="AF8" s="189">
        <v>0</v>
      </c>
      <c r="AG8" s="189">
        <v>0</v>
      </c>
      <c r="AH8" s="191">
        <f t="shared" si="5"/>
        <v>0</v>
      </c>
      <c r="AI8" s="190">
        <f t="shared" si="6"/>
        <v>0</v>
      </c>
      <c r="AJ8" s="192">
        <f t="shared" si="7"/>
        <v>0</v>
      </c>
      <c r="AK8" s="189">
        <v>0</v>
      </c>
      <c r="AL8" s="189">
        <v>0</v>
      </c>
      <c r="AM8" s="189">
        <v>0</v>
      </c>
      <c r="AN8" s="189">
        <v>0</v>
      </c>
      <c r="AO8" s="189">
        <v>0</v>
      </c>
      <c r="AP8" s="189">
        <v>0</v>
      </c>
      <c r="AQ8" s="189">
        <v>0</v>
      </c>
      <c r="AR8" s="189">
        <v>0</v>
      </c>
      <c r="AS8" s="189">
        <v>0</v>
      </c>
      <c r="AT8" s="190">
        <f t="shared" si="8"/>
        <v>0</v>
      </c>
      <c r="AU8" s="191">
        <f t="shared" si="9"/>
        <v>0</v>
      </c>
      <c r="AV8" s="192">
        <f t="shared" si="10"/>
        <v>0</v>
      </c>
      <c r="AW8" s="190">
        <f t="shared" si="11"/>
        <v>0</v>
      </c>
      <c r="AX8" s="191">
        <f t="shared" si="12"/>
        <v>0</v>
      </c>
      <c r="AY8" s="193">
        <f t="shared" si="13"/>
        <v>0</v>
      </c>
      <c r="AZ8" s="194">
        <f t="shared" si="14"/>
        <v>0</v>
      </c>
      <c r="BA8" s="106"/>
      <c r="BB8" s="106"/>
      <c r="BC8" s="78"/>
      <c r="BD8" s="78"/>
      <c r="BE8" s="78"/>
    </row>
    <row r="9" spans="1:57" ht="18">
      <c r="A9" s="188">
        <v>7</v>
      </c>
      <c r="B9" s="94" t="s">
        <v>12</v>
      </c>
      <c r="C9" s="95" t="s">
        <v>74</v>
      </c>
      <c r="D9" s="95" t="s">
        <v>24</v>
      </c>
      <c r="E9" s="112">
        <v>0.5</v>
      </c>
      <c r="F9" s="96">
        <f>IFERROR(_xlfn.XLOOKUP(C9,Projection_!A:A,Projection_!O:O),0)</f>
        <v>0</v>
      </c>
      <c r="G9" s="189">
        <v>0</v>
      </c>
      <c r="H9" s="189">
        <v>0</v>
      </c>
      <c r="I9" s="189">
        <v>0</v>
      </c>
      <c r="J9" s="189">
        <v>0</v>
      </c>
      <c r="K9" s="189">
        <v>0</v>
      </c>
      <c r="L9" s="189">
        <v>0</v>
      </c>
      <c r="M9" s="189">
        <v>0</v>
      </c>
      <c r="N9" s="190">
        <f>SUM(G9:L9)</f>
        <v>0</v>
      </c>
      <c r="O9" s="191">
        <f t="shared" si="0"/>
        <v>0</v>
      </c>
      <c r="P9" s="192">
        <f t="shared" si="1"/>
        <v>0</v>
      </c>
      <c r="Q9" s="189">
        <v>0</v>
      </c>
      <c r="R9" s="189">
        <v>0</v>
      </c>
      <c r="S9" s="189">
        <v>0</v>
      </c>
      <c r="T9" s="189">
        <v>0</v>
      </c>
      <c r="U9" s="189">
        <v>0</v>
      </c>
      <c r="V9" s="189">
        <v>0</v>
      </c>
      <c r="W9" s="189">
        <v>0</v>
      </c>
      <c r="X9" s="190">
        <f t="shared" si="2"/>
        <v>0</v>
      </c>
      <c r="Y9" s="191">
        <f t="shared" si="3"/>
        <v>0</v>
      </c>
      <c r="Z9" s="192">
        <f t="shared" si="4"/>
        <v>0</v>
      </c>
      <c r="AA9" s="189">
        <v>0</v>
      </c>
      <c r="AB9" s="189">
        <v>0</v>
      </c>
      <c r="AC9" s="189">
        <v>0</v>
      </c>
      <c r="AD9" s="189">
        <v>0</v>
      </c>
      <c r="AE9" s="189">
        <v>0</v>
      </c>
      <c r="AF9" s="189">
        <v>0</v>
      </c>
      <c r="AG9" s="189">
        <v>0</v>
      </c>
      <c r="AH9" s="191">
        <f t="shared" si="5"/>
        <v>0</v>
      </c>
      <c r="AI9" s="190">
        <f t="shared" si="6"/>
        <v>0</v>
      </c>
      <c r="AJ9" s="192">
        <f t="shared" si="7"/>
        <v>0</v>
      </c>
      <c r="AK9" s="189">
        <v>0</v>
      </c>
      <c r="AL9" s="189">
        <v>0</v>
      </c>
      <c r="AM9" s="189">
        <v>0</v>
      </c>
      <c r="AN9" s="189">
        <v>0</v>
      </c>
      <c r="AO9" s="189">
        <v>0</v>
      </c>
      <c r="AP9" s="189">
        <v>0</v>
      </c>
      <c r="AQ9" s="189">
        <v>0</v>
      </c>
      <c r="AR9" s="189">
        <v>0</v>
      </c>
      <c r="AS9" s="189">
        <v>0</v>
      </c>
      <c r="AT9" s="190">
        <f t="shared" si="8"/>
        <v>0</v>
      </c>
      <c r="AU9" s="191">
        <f t="shared" si="9"/>
        <v>0</v>
      </c>
      <c r="AV9" s="192">
        <f t="shared" si="10"/>
        <v>0</v>
      </c>
      <c r="AW9" s="190">
        <f t="shared" si="11"/>
        <v>0</v>
      </c>
      <c r="AX9" s="191">
        <f t="shared" si="12"/>
        <v>0</v>
      </c>
      <c r="AY9" s="193">
        <f t="shared" si="13"/>
        <v>0</v>
      </c>
      <c r="AZ9" s="194">
        <f t="shared" si="14"/>
        <v>0</v>
      </c>
      <c r="BA9" s="106"/>
      <c r="BB9" s="106"/>
      <c r="BC9" s="78"/>
      <c r="BD9" s="78"/>
      <c r="BE9" s="78"/>
    </row>
    <row r="10" spans="1:57" ht="18">
      <c r="A10" s="93">
        <v>8</v>
      </c>
      <c r="B10" s="94" t="s">
        <v>12</v>
      </c>
      <c r="C10" s="95" t="s">
        <v>125</v>
      </c>
      <c r="D10" s="95" t="s">
        <v>46</v>
      </c>
      <c r="E10" s="96">
        <v>0.1</v>
      </c>
      <c r="F10" s="96">
        <f>IFERROR(_xlfn.XLOOKUP(C10,Projection_!A:A,Projection_!O:O),0)</f>
        <v>0</v>
      </c>
      <c r="G10" s="189">
        <v>0</v>
      </c>
      <c r="H10" s="189">
        <v>0</v>
      </c>
      <c r="I10" s="189">
        <v>0</v>
      </c>
      <c r="J10" s="189">
        <v>0</v>
      </c>
      <c r="K10" s="189">
        <v>0</v>
      </c>
      <c r="L10" s="189">
        <v>0</v>
      </c>
      <c r="M10" s="189">
        <v>0</v>
      </c>
      <c r="N10" s="190">
        <f>SUM(G10:L10)</f>
        <v>0</v>
      </c>
      <c r="O10" s="191">
        <f t="shared" si="0"/>
        <v>0</v>
      </c>
      <c r="P10" s="192">
        <f t="shared" si="1"/>
        <v>0</v>
      </c>
      <c r="Q10" s="189">
        <v>0</v>
      </c>
      <c r="R10" s="189">
        <v>0</v>
      </c>
      <c r="S10" s="189">
        <v>0</v>
      </c>
      <c r="T10" s="189">
        <v>0</v>
      </c>
      <c r="U10" s="189">
        <v>0</v>
      </c>
      <c r="V10" s="189">
        <v>0</v>
      </c>
      <c r="W10" s="189">
        <v>0</v>
      </c>
      <c r="X10" s="190">
        <f t="shared" si="2"/>
        <v>0</v>
      </c>
      <c r="Y10" s="191">
        <f t="shared" si="3"/>
        <v>0</v>
      </c>
      <c r="Z10" s="192">
        <f t="shared" si="4"/>
        <v>0</v>
      </c>
      <c r="AA10" s="189">
        <v>0</v>
      </c>
      <c r="AB10" s="189">
        <v>0</v>
      </c>
      <c r="AC10" s="189">
        <v>0</v>
      </c>
      <c r="AD10" s="189">
        <v>0</v>
      </c>
      <c r="AE10" s="189">
        <v>0</v>
      </c>
      <c r="AF10" s="189">
        <v>0</v>
      </c>
      <c r="AG10" s="189">
        <v>0</v>
      </c>
      <c r="AH10" s="191">
        <f t="shared" si="5"/>
        <v>0</v>
      </c>
      <c r="AI10" s="190">
        <f t="shared" si="6"/>
        <v>0</v>
      </c>
      <c r="AJ10" s="192">
        <f t="shared" si="7"/>
        <v>0</v>
      </c>
      <c r="AK10" s="189">
        <v>0</v>
      </c>
      <c r="AL10" s="189">
        <v>0</v>
      </c>
      <c r="AM10" s="189">
        <v>0</v>
      </c>
      <c r="AN10" s="189">
        <v>0</v>
      </c>
      <c r="AO10" s="189">
        <v>0</v>
      </c>
      <c r="AP10" s="189">
        <v>0</v>
      </c>
      <c r="AQ10" s="189">
        <v>0</v>
      </c>
      <c r="AR10" s="189">
        <v>0</v>
      </c>
      <c r="AS10" s="189">
        <v>0</v>
      </c>
      <c r="AT10" s="190">
        <f t="shared" si="8"/>
        <v>0</v>
      </c>
      <c r="AU10" s="191">
        <f t="shared" si="9"/>
        <v>0</v>
      </c>
      <c r="AV10" s="192">
        <f t="shared" si="10"/>
        <v>0</v>
      </c>
      <c r="AW10" s="190">
        <f t="shared" si="11"/>
        <v>0</v>
      </c>
      <c r="AX10" s="191">
        <f t="shared" si="12"/>
        <v>0</v>
      </c>
      <c r="AY10" s="193">
        <f t="shared" si="13"/>
        <v>0</v>
      </c>
      <c r="AZ10" s="194">
        <f t="shared" si="14"/>
        <v>0</v>
      </c>
      <c r="BA10" s="106"/>
      <c r="BB10" s="106"/>
      <c r="BC10" s="78"/>
      <c r="BD10" s="78"/>
      <c r="BE10" s="78"/>
    </row>
    <row r="11" spans="1:57" ht="18">
      <c r="A11" s="188">
        <v>9</v>
      </c>
      <c r="B11" s="94" t="s">
        <v>12</v>
      </c>
      <c r="C11" s="95" t="s">
        <v>81</v>
      </c>
      <c r="D11" s="95" t="s">
        <v>42</v>
      </c>
      <c r="E11" s="96">
        <v>1</v>
      </c>
      <c r="F11" s="96">
        <f>IFERROR(_xlfn.XLOOKUP(C11,Projection_!A:A,Projection_!O:O),0)</f>
        <v>0</v>
      </c>
      <c r="G11" s="189">
        <v>0</v>
      </c>
      <c r="H11" s="189">
        <v>0</v>
      </c>
      <c r="I11" s="189">
        <v>0</v>
      </c>
      <c r="J11" s="189">
        <v>0</v>
      </c>
      <c r="K11" s="189">
        <v>0</v>
      </c>
      <c r="L11" s="189">
        <v>0</v>
      </c>
      <c r="M11" s="189">
        <v>0</v>
      </c>
      <c r="N11" s="190">
        <f>SUM(G11:M11)</f>
        <v>0</v>
      </c>
      <c r="O11" s="191">
        <f t="shared" si="0"/>
        <v>0</v>
      </c>
      <c r="P11" s="192">
        <f t="shared" si="1"/>
        <v>0</v>
      </c>
      <c r="Q11" s="189">
        <v>0</v>
      </c>
      <c r="R11" s="189">
        <v>0</v>
      </c>
      <c r="S11" s="189">
        <v>0</v>
      </c>
      <c r="T11" s="189">
        <v>0</v>
      </c>
      <c r="U11" s="189">
        <v>0</v>
      </c>
      <c r="V11" s="189">
        <v>0</v>
      </c>
      <c r="W11" s="189">
        <v>0</v>
      </c>
      <c r="X11" s="190">
        <f t="shared" si="2"/>
        <v>0</v>
      </c>
      <c r="Y11" s="191">
        <f t="shared" si="3"/>
        <v>0</v>
      </c>
      <c r="Z11" s="192">
        <f t="shared" si="4"/>
        <v>0</v>
      </c>
      <c r="AA11" s="189">
        <v>0</v>
      </c>
      <c r="AB11" s="189">
        <v>0</v>
      </c>
      <c r="AC11" s="189">
        <v>0</v>
      </c>
      <c r="AD11" s="189">
        <v>0</v>
      </c>
      <c r="AE11" s="189">
        <v>0</v>
      </c>
      <c r="AF11" s="189">
        <v>0</v>
      </c>
      <c r="AG11" s="189">
        <v>0</v>
      </c>
      <c r="AH11" s="191">
        <f t="shared" si="5"/>
        <v>0</v>
      </c>
      <c r="AI11" s="190">
        <f t="shared" si="6"/>
        <v>0</v>
      </c>
      <c r="AJ11" s="192">
        <f t="shared" si="7"/>
        <v>0</v>
      </c>
      <c r="AK11" s="189">
        <v>0</v>
      </c>
      <c r="AL11" s="189">
        <v>0</v>
      </c>
      <c r="AM11" s="189">
        <v>0</v>
      </c>
      <c r="AN11" s="189">
        <v>0</v>
      </c>
      <c r="AO11" s="189">
        <v>0</v>
      </c>
      <c r="AP11" s="189">
        <v>0</v>
      </c>
      <c r="AQ11" s="189">
        <v>0</v>
      </c>
      <c r="AR11" s="189">
        <v>0</v>
      </c>
      <c r="AS11" s="189">
        <v>0</v>
      </c>
      <c r="AT11" s="190">
        <f t="shared" si="8"/>
        <v>0</v>
      </c>
      <c r="AU11" s="191">
        <f t="shared" si="9"/>
        <v>0</v>
      </c>
      <c r="AV11" s="192">
        <f t="shared" si="10"/>
        <v>0</v>
      </c>
      <c r="AW11" s="190">
        <f t="shared" si="11"/>
        <v>0</v>
      </c>
      <c r="AX11" s="191">
        <f t="shared" si="12"/>
        <v>0</v>
      </c>
      <c r="AY11" s="193">
        <f t="shared" si="13"/>
        <v>0</v>
      </c>
      <c r="AZ11" s="194">
        <f t="shared" si="14"/>
        <v>0</v>
      </c>
      <c r="BA11" s="106"/>
      <c r="BB11" s="106"/>
      <c r="BC11" s="78"/>
      <c r="BD11" s="78"/>
      <c r="BE11" s="78"/>
    </row>
    <row r="12" spans="1:57" ht="18">
      <c r="A12" s="93">
        <v>10</v>
      </c>
      <c r="B12" s="94" t="s">
        <v>12</v>
      </c>
      <c r="C12" s="95" t="s">
        <v>75</v>
      </c>
      <c r="D12" s="95" t="s">
        <v>25</v>
      </c>
      <c r="E12" s="96">
        <v>0.1</v>
      </c>
      <c r="F12" s="96">
        <f>IFERROR(_xlfn.XLOOKUP(C12,Projection_!A:A,Projection_!O:O),0)</f>
        <v>0</v>
      </c>
      <c r="G12" s="189">
        <v>0</v>
      </c>
      <c r="H12" s="189">
        <v>0</v>
      </c>
      <c r="I12" s="189">
        <v>0</v>
      </c>
      <c r="J12" s="189">
        <v>0</v>
      </c>
      <c r="K12" s="189">
        <v>0</v>
      </c>
      <c r="L12" s="189">
        <v>0</v>
      </c>
      <c r="M12" s="189">
        <v>0</v>
      </c>
      <c r="N12" s="190">
        <f t="shared" ref="N12:N21" si="15">SUM(G12:L12)</f>
        <v>0</v>
      </c>
      <c r="O12" s="191">
        <f t="shared" si="0"/>
        <v>0</v>
      </c>
      <c r="P12" s="192">
        <f t="shared" si="1"/>
        <v>0</v>
      </c>
      <c r="Q12" s="189">
        <v>0</v>
      </c>
      <c r="R12" s="189">
        <v>0</v>
      </c>
      <c r="S12" s="189">
        <v>0</v>
      </c>
      <c r="T12" s="189">
        <v>0</v>
      </c>
      <c r="U12" s="189">
        <v>0</v>
      </c>
      <c r="V12" s="189">
        <v>0</v>
      </c>
      <c r="W12" s="189">
        <v>0</v>
      </c>
      <c r="X12" s="190">
        <f t="shared" si="2"/>
        <v>0</v>
      </c>
      <c r="Y12" s="191">
        <f t="shared" si="3"/>
        <v>0</v>
      </c>
      <c r="Z12" s="192">
        <f t="shared" si="4"/>
        <v>0</v>
      </c>
      <c r="AA12" s="189">
        <v>0</v>
      </c>
      <c r="AB12" s="189">
        <v>0</v>
      </c>
      <c r="AC12" s="189">
        <v>0</v>
      </c>
      <c r="AD12" s="189">
        <v>0</v>
      </c>
      <c r="AE12" s="189">
        <v>0</v>
      </c>
      <c r="AF12" s="189">
        <v>0</v>
      </c>
      <c r="AG12" s="189">
        <v>0</v>
      </c>
      <c r="AH12" s="191">
        <f t="shared" si="5"/>
        <v>0</v>
      </c>
      <c r="AI12" s="190">
        <f t="shared" si="6"/>
        <v>0</v>
      </c>
      <c r="AJ12" s="192">
        <f t="shared" si="7"/>
        <v>0</v>
      </c>
      <c r="AK12" s="189">
        <v>0</v>
      </c>
      <c r="AL12" s="189">
        <v>0</v>
      </c>
      <c r="AM12" s="189">
        <v>0</v>
      </c>
      <c r="AN12" s="189">
        <v>0</v>
      </c>
      <c r="AO12" s="189">
        <v>0</v>
      </c>
      <c r="AP12" s="189">
        <v>0</v>
      </c>
      <c r="AQ12" s="189">
        <v>0</v>
      </c>
      <c r="AR12" s="189">
        <v>0</v>
      </c>
      <c r="AS12" s="189">
        <v>0</v>
      </c>
      <c r="AT12" s="190">
        <f t="shared" si="8"/>
        <v>0</v>
      </c>
      <c r="AU12" s="191">
        <f t="shared" si="9"/>
        <v>0</v>
      </c>
      <c r="AV12" s="192">
        <f t="shared" si="10"/>
        <v>0</v>
      </c>
      <c r="AW12" s="190">
        <f t="shared" si="11"/>
        <v>0</v>
      </c>
      <c r="AX12" s="191">
        <f t="shared" si="12"/>
        <v>0</v>
      </c>
      <c r="AY12" s="193">
        <f t="shared" si="13"/>
        <v>0</v>
      </c>
      <c r="AZ12" s="194">
        <f t="shared" si="14"/>
        <v>0</v>
      </c>
      <c r="BA12" s="106"/>
      <c r="BB12" s="106"/>
      <c r="BC12" s="78"/>
      <c r="BD12" s="78"/>
      <c r="BE12" s="78"/>
    </row>
    <row r="13" spans="1:57" ht="18">
      <c r="A13" s="188">
        <v>11</v>
      </c>
      <c r="B13" s="94" t="s">
        <v>12</v>
      </c>
      <c r="C13" s="95" t="s">
        <v>144</v>
      </c>
      <c r="D13" s="95" t="s">
        <v>145</v>
      </c>
      <c r="E13" s="96">
        <v>1</v>
      </c>
      <c r="F13" s="96">
        <f>IFERROR(_xlfn.XLOOKUP(C13,Projection_!A:A,Projection_!O:O),0)</f>
        <v>0</v>
      </c>
      <c r="G13" s="189">
        <v>0</v>
      </c>
      <c r="H13" s="189">
        <v>0</v>
      </c>
      <c r="I13" s="189">
        <v>0</v>
      </c>
      <c r="J13" s="189">
        <v>0</v>
      </c>
      <c r="K13" s="189">
        <v>0</v>
      </c>
      <c r="L13" s="189">
        <v>0</v>
      </c>
      <c r="M13" s="189">
        <v>0</v>
      </c>
      <c r="N13" s="190">
        <f t="shared" si="15"/>
        <v>0</v>
      </c>
      <c r="O13" s="191">
        <f t="shared" si="0"/>
        <v>0</v>
      </c>
      <c r="P13" s="192">
        <f t="shared" si="1"/>
        <v>0</v>
      </c>
      <c r="Q13" s="189">
        <v>0</v>
      </c>
      <c r="R13" s="189">
        <v>0</v>
      </c>
      <c r="S13" s="189">
        <v>0</v>
      </c>
      <c r="T13" s="189">
        <v>0</v>
      </c>
      <c r="U13" s="189">
        <v>0</v>
      </c>
      <c r="V13" s="189">
        <v>0</v>
      </c>
      <c r="W13" s="189">
        <v>0</v>
      </c>
      <c r="X13" s="190">
        <f t="shared" si="2"/>
        <v>0</v>
      </c>
      <c r="Y13" s="191">
        <f t="shared" si="3"/>
        <v>0</v>
      </c>
      <c r="Z13" s="192">
        <f t="shared" si="4"/>
        <v>0</v>
      </c>
      <c r="AA13" s="189">
        <v>0</v>
      </c>
      <c r="AB13" s="189">
        <v>0</v>
      </c>
      <c r="AC13" s="189">
        <v>0</v>
      </c>
      <c r="AD13" s="189">
        <v>0</v>
      </c>
      <c r="AE13" s="189">
        <v>0</v>
      </c>
      <c r="AF13" s="189">
        <v>0</v>
      </c>
      <c r="AG13" s="189">
        <v>0</v>
      </c>
      <c r="AH13" s="191">
        <f t="shared" si="5"/>
        <v>0</v>
      </c>
      <c r="AI13" s="190">
        <f t="shared" si="6"/>
        <v>0</v>
      </c>
      <c r="AJ13" s="192">
        <f t="shared" si="7"/>
        <v>0</v>
      </c>
      <c r="AK13" s="189">
        <v>0</v>
      </c>
      <c r="AL13" s="189">
        <v>0</v>
      </c>
      <c r="AM13" s="189">
        <v>0</v>
      </c>
      <c r="AN13" s="189">
        <v>0</v>
      </c>
      <c r="AO13" s="189">
        <v>0</v>
      </c>
      <c r="AP13" s="189">
        <v>0</v>
      </c>
      <c r="AQ13" s="189">
        <v>0</v>
      </c>
      <c r="AR13" s="189">
        <v>0</v>
      </c>
      <c r="AS13" s="189">
        <v>0</v>
      </c>
      <c r="AT13" s="190">
        <f t="shared" si="8"/>
        <v>0</v>
      </c>
      <c r="AU13" s="191">
        <f t="shared" si="9"/>
        <v>0</v>
      </c>
      <c r="AV13" s="192">
        <f t="shared" si="10"/>
        <v>0</v>
      </c>
      <c r="AW13" s="190">
        <f t="shared" si="11"/>
        <v>0</v>
      </c>
      <c r="AX13" s="191">
        <f t="shared" si="12"/>
        <v>0</v>
      </c>
      <c r="AY13" s="193">
        <f t="shared" si="13"/>
        <v>0</v>
      </c>
      <c r="AZ13" s="194">
        <f t="shared" si="14"/>
        <v>0</v>
      </c>
      <c r="BA13" s="106"/>
      <c r="BB13" s="106"/>
      <c r="BC13" s="78"/>
      <c r="BD13" s="78"/>
      <c r="BE13" s="78"/>
    </row>
    <row r="14" spans="1:57" ht="18">
      <c r="A14" s="93">
        <v>12</v>
      </c>
      <c r="B14" s="94" t="s">
        <v>12</v>
      </c>
      <c r="C14" s="95" t="s">
        <v>68</v>
      </c>
      <c r="D14" s="95" t="s">
        <v>13</v>
      </c>
      <c r="E14" s="96">
        <v>0.2</v>
      </c>
      <c r="F14" s="96">
        <f>IFERROR(_xlfn.XLOOKUP(C14,Projection_!A:A,Projection_!O:O),0)</f>
        <v>0</v>
      </c>
      <c r="G14" s="189">
        <v>0</v>
      </c>
      <c r="H14" s="189">
        <v>0</v>
      </c>
      <c r="I14" s="189">
        <v>0</v>
      </c>
      <c r="J14" s="189">
        <v>0</v>
      </c>
      <c r="K14" s="189">
        <v>0</v>
      </c>
      <c r="L14" s="189">
        <v>0</v>
      </c>
      <c r="M14" s="189">
        <v>0</v>
      </c>
      <c r="N14" s="190">
        <f t="shared" si="15"/>
        <v>0</v>
      </c>
      <c r="O14" s="191">
        <f t="shared" si="0"/>
        <v>0</v>
      </c>
      <c r="P14" s="192">
        <f t="shared" si="1"/>
        <v>0</v>
      </c>
      <c r="Q14" s="189">
        <v>0</v>
      </c>
      <c r="R14" s="189">
        <v>0</v>
      </c>
      <c r="S14" s="189">
        <v>0</v>
      </c>
      <c r="T14" s="189">
        <v>0</v>
      </c>
      <c r="U14" s="189">
        <v>0</v>
      </c>
      <c r="V14" s="189">
        <v>0</v>
      </c>
      <c r="W14" s="189">
        <v>0</v>
      </c>
      <c r="X14" s="190">
        <f t="shared" si="2"/>
        <v>0</v>
      </c>
      <c r="Y14" s="191">
        <f t="shared" si="3"/>
        <v>0</v>
      </c>
      <c r="Z14" s="192">
        <f t="shared" si="4"/>
        <v>0</v>
      </c>
      <c r="AA14" s="189">
        <v>0</v>
      </c>
      <c r="AB14" s="189">
        <v>0</v>
      </c>
      <c r="AC14" s="189">
        <v>0</v>
      </c>
      <c r="AD14" s="189">
        <v>0</v>
      </c>
      <c r="AE14" s="189">
        <v>0</v>
      </c>
      <c r="AF14" s="189">
        <v>0</v>
      </c>
      <c r="AG14" s="189">
        <v>0</v>
      </c>
      <c r="AH14" s="191">
        <f t="shared" si="5"/>
        <v>0</v>
      </c>
      <c r="AI14" s="190">
        <f t="shared" si="6"/>
        <v>0</v>
      </c>
      <c r="AJ14" s="192">
        <f t="shared" si="7"/>
        <v>0</v>
      </c>
      <c r="AK14" s="189">
        <v>0</v>
      </c>
      <c r="AL14" s="189">
        <v>0</v>
      </c>
      <c r="AM14" s="189">
        <v>0</v>
      </c>
      <c r="AN14" s="189">
        <v>0</v>
      </c>
      <c r="AO14" s="189">
        <v>0</v>
      </c>
      <c r="AP14" s="189">
        <v>0</v>
      </c>
      <c r="AQ14" s="189">
        <v>0</v>
      </c>
      <c r="AR14" s="189">
        <v>0</v>
      </c>
      <c r="AS14" s="189">
        <v>0</v>
      </c>
      <c r="AT14" s="190">
        <f t="shared" si="8"/>
        <v>0</v>
      </c>
      <c r="AU14" s="191">
        <f t="shared" si="9"/>
        <v>0</v>
      </c>
      <c r="AV14" s="192">
        <f t="shared" si="10"/>
        <v>0</v>
      </c>
      <c r="AW14" s="190">
        <f t="shared" si="11"/>
        <v>0</v>
      </c>
      <c r="AX14" s="191">
        <f t="shared" si="12"/>
        <v>0</v>
      </c>
      <c r="AY14" s="193">
        <f t="shared" si="13"/>
        <v>0</v>
      </c>
      <c r="AZ14" s="194">
        <f t="shared" si="14"/>
        <v>0</v>
      </c>
      <c r="BA14" s="106"/>
      <c r="BB14" s="106"/>
      <c r="BC14" s="78"/>
      <c r="BD14" s="78"/>
      <c r="BE14" s="78"/>
    </row>
    <row r="15" spans="1:57" ht="18">
      <c r="A15" s="188">
        <v>13</v>
      </c>
      <c r="B15" s="94" t="s">
        <v>12</v>
      </c>
      <c r="C15" s="95" t="s">
        <v>78</v>
      </c>
      <c r="D15" s="95" t="s">
        <v>35</v>
      </c>
      <c r="E15" s="96">
        <v>0.2</v>
      </c>
      <c r="F15" s="96">
        <f>IFERROR(_xlfn.XLOOKUP(C15,Projection_!A:A,Projection_!O:O),0)</f>
        <v>0</v>
      </c>
      <c r="G15" s="189">
        <v>0</v>
      </c>
      <c r="H15" s="189">
        <v>0</v>
      </c>
      <c r="I15" s="189">
        <v>0</v>
      </c>
      <c r="J15" s="189">
        <v>0</v>
      </c>
      <c r="K15" s="189">
        <v>0</v>
      </c>
      <c r="L15" s="189">
        <v>0</v>
      </c>
      <c r="M15" s="189">
        <v>0</v>
      </c>
      <c r="N15" s="190">
        <f t="shared" si="15"/>
        <v>0</v>
      </c>
      <c r="O15" s="191">
        <f t="shared" si="0"/>
        <v>0</v>
      </c>
      <c r="P15" s="192">
        <f t="shared" si="1"/>
        <v>0</v>
      </c>
      <c r="Q15" s="189">
        <v>0</v>
      </c>
      <c r="R15" s="189">
        <v>0</v>
      </c>
      <c r="S15" s="189">
        <v>0</v>
      </c>
      <c r="T15" s="189">
        <v>0</v>
      </c>
      <c r="U15" s="189">
        <v>0</v>
      </c>
      <c r="V15" s="189">
        <v>0</v>
      </c>
      <c r="W15" s="189">
        <v>0</v>
      </c>
      <c r="X15" s="190">
        <f t="shared" si="2"/>
        <v>0</v>
      </c>
      <c r="Y15" s="191">
        <f t="shared" si="3"/>
        <v>0</v>
      </c>
      <c r="Z15" s="192">
        <f t="shared" si="4"/>
        <v>0</v>
      </c>
      <c r="AA15" s="189">
        <v>0</v>
      </c>
      <c r="AB15" s="189">
        <v>0</v>
      </c>
      <c r="AC15" s="189">
        <v>0</v>
      </c>
      <c r="AD15" s="189">
        <v>0</v>
      </c>
      <c r="AE15" s="189">
        <v>0</v>
      </c>
      <c r="AF15" s="189">
        <v>0</v>
      </c>
      <c r="AG15" s="189">
        <v>0</v>
      </c>
      <c r="AH15" s="191">
        <f t="shared" si="5"/>
        <v>0</v>
      </c>
      <c r="AI15" s="190">
        <f t="shared" si="6"/>
        <v>0</v>
      </c>
      <c r="AJ15" s="192">
        <f t="shared" si="7"/>
        <v>0</v>
      </c>
      <c r="AK15" s="189">
        <v>0</v>
      </c>
      <c r="AL15" s="189">
        <v>0</v>
      </c>
      <c r="AM15" s="189">
        <v>0</v>
      </c>
      <c r="AN15" s="189">
        <v>0</v>
      </c>
      <c r="AO15" s="189">
        <v>0</v>
      </c>
      <c r="AP15" s="189">
        <v>0</v>
      </c>
      <c r="AQ15" s="189">
        <v>0</v>
      </c>
      <c r="AR15" s="189">
        <v>0</v>
      </c>
      <c r="AS15" s="189">
        <v>0</v>
      </c>
      <c r="AT15" s="190">
        <f t="shared" si="8"/>
        <v>0</v>
      </c>
      <c r="AU15" s="191">
        <f t="shared" si="9"/>
        <v>0</v>
      </c>
      <c r="AV15" s="192">
        <f t="shared" si="10"/>
        <v>0</v>
      </c>
      <c r="AW15" s="190">
        <f t="shared" si="11"/>
        <v>0</v>
      </c>
      <c r="AX15" s="191">
        <f t="shared" si="12"/>
        <v>0</v>
      </c>
      <c r="AY15" s="193">
        <f t="shared" si="13"/>
        <v>0</v>
      </c>
      <c r="AZ15" s="194">
        <f t="shared" si="14"/>
        <v>0</v>
      </c>
      <c r="BA15" s="106"/>
      <c r="BB15" s="106"/>
      <c r="BC15" s="78"/>
      <c r="BD15" s="78"/>
      <c r="BE15" s="78"/>
    </row>
    <row r="16" spans="1:57" ht="18">
      <c r="A16" s="93">
        <v>14</v>
      </c>
      <c r="B16" s="94" t="s">
        <v>12</v>
      </c>
      <c r="C16" s="95" t="s">
        <v>71</v>
      </c>
      <c r="D16" s="95" t="s">
        <v>21</v>
      </c>
      <c r="E16" s="96">
        <v>0.2</v>
      </c>
      <c r="F16" s="96">
        <f>IFERROR(_xlfn.XLOOKUP(C16,Projection_!A:A,Projection_!O:O),0)</f>
        <v>0</v>
      </c>
      <c r="G16" s="189">
        <v>0</v>
      </c>
      <c r="H16" s="189">
        <v>0</v>
      </c>
      <c r="I16" s="189">
        <v>0</v>
      </c>
      <c r="J16" s="189">
        <v>0</v>
      </c>
      <c r="K16" s="189">
        <v>0</v>
      </c>
      <c r="L16" s="189">
        <v>0</v>
      </c>
      <c r="M16" s="189">
        <v>0</v>
      </c>
      <c r="N16" s="190">
        <f t="shared" si="15"/>
        <v>0</v>
      </c>
      <c r="O16" s="191">
        <f t="shared" si="0"/>
        <v>0</v>
      </c>
      <c r="P16" s="192">
        <f t="shared" si="1"/>
        <v>0</v>
      </c>
      <c r="Q16" s="189">
        <v>0</v>
      </c>
      <c r="R16" s="189">
        <v>0</v>
      </c>
      <c r="S16" s="189">
        <v>0</v>
      </c>
      <c r="T16" s="189">
        <v>0</v>
      </c>
      <c r="U16" s="189">
        <v>0</v>
      </c>
      <c r="V16" s="189">
        <v>0</v>
      </c>
      <c r="W16" s="189">
        <v>0</v>
      </c>
      <c r="X16" s="190">
        <f t="shared" si="2"/>
        <v>0</v>
      </c>
      <c r="Y16" s="191">
        <f t="shared" si="3"/>
        <v>0</v>
      </c>
      <c r="Z16" s="192">
        <f t="shared" si="4"/>
        <v>0</v>
      </c>
      <c r="AA16" s="189">
        <v>0</v>
      </c>
      <c r="AB16" s="189">
        <v>0</v>
      </c>
      <c r="AC16" s="189">
        <v>0</v>
      </c>
      <c r="AD16" s="189">
        <v>0</v>
      </c>
      <c r="AE16" s="189">
        <v>0</v>
      </c>
      <c r="AF16" s="189">
        <v>0</v>
      </c>
      <c r="AG16" s="189">
        <v>0</v>
      </c>
      <c r="AH16" s="191">
        <f t="shared" si="5"/>
        <v>0</v>
      </c>
      <c r="AI16" s="190">
        <f t="shared" si="6"/>
        <v>0</v>
      </c>
      <c r="AJ16" s="192">
        <f t="shared" si="7"/>
        <v>0</v>
      </c>
      <c r="AK16" s="189">
        <v>0</v>
      </c>
      <c r="AL16" s="189">
        <v>0</v>
      </c>
      <c r="AM16" s="189">
        <v>0</v>
      </c>
      <c r="AN16" s="189">
        <v>0</v>
      </c>
      <c r="AO16" s="189">
        <v>0</v>
      </c>
      <c r="AP16" s="189">
        <v>0</v>
      </c>
      <c r="AQ16" s="189">
        <v>0</v>
      </c>
      <c r="AR16" s="189">
        <v>0</v>
      </c>
      <c r="AS16" s="189">
        <v>0</v>
      </c>
      <c r="AT16" s="190">
        <f t="shared" si="8"/>
        <v>0</v>
      </c>
      <c r="AU16" s="191">
        <f t="shared" si="9"/>
        <v>0</v>
      </c>
      <c r="AV16" s="192">
        <f t="shared" si="10"/>
        <v>0</v>
      </c>
      <c r="AW16" s="190">
        <f t="shared" si="11"/>
        <v>0</v>
      </c>
      <c r="AX16" s="191">
        <f t="shared" si="12"/>
        <v>0</v>
      </c>
      <c r="AY16" s="193">
        <f t="shared" si="13"/>
        <v>0</v>
      </c>
      <c r="AZ16" s="194">
        <f t="shared" si="14"/>
        <v>0</v>
      </c>
      <c r="BA16" s="106"/>
      <c r="BB16" s="106"/>
      <c r="BC16" s="78"/>
      <c r="BD16" s="78"/>
      <c r="BE16" s="78"/>
    </row>
    <row r="17" spans="1:57" ht="18">
      <c r="A17" s="188">
        <v>15</v>
      </c>
      <c r="B17" s="94" t="s">
        <v>12</v>
      </c>
      <c r="C17" s="95" t="s">
        <v>72</v>
      </c>
      <c r="D17" s="95" t="s">
        <v>22</v>
      </c>
      <c r="E17" s="96">
        <v>0.2</v>
      </c>
      <c r="F17" s="96">
        <f>IFERROR(_xlfn.XLOOKUP(C17,Projection_!A:A,Projection_!O:O),0)</f>
        <v>0</v>
      </c>
      <c r="G17" s="189">
        <v>0</v>
      </c>
      <c r="H17" s="189">
        <v>0</v>
      </c>
      <c r="I17" s="189">
        <v>0</v>
      </c>
      <c r="J17" s="189">
        <v>0</v>
      </c>
      <c r="K17" s="189">
        <v>0</v>
      </c>
      <c r="L17" s="189">
        <v>0</v>
      </c>
      <c r="M17" s="189">
        <v>0</v>
      </c>
      <c r="N17" s="190">
        <f t="shared" si="15"/>
        <v>0</v>
      </c>
      <c r="O17" s="191">
        <f t="shared" si="0"/>
        <v>0</v>
      </c>
      <c r="P17" s="192">
        <f t="shared" si="1"/>
        <v>0</v>
      </c>
      <c r="Q17" s="189">
        <v>0</v>
      </c>
      <c r="R17" s="189">
        <v>0</v>
      </c>
      <c r="S17" s="189">
        <v>0</v>
      </c>
      <c r="T17" s="189">
        <v>0</v>
      </c>
      <c r="U17" s="189">
        <v>0</v>
      </c>
      <c r="V17" s="189">
        <v>0</v>
      </c>
      <c r="W17" s="189">
        <v>0</v>
      </c>
      <c r="X17" s="190">
        <f t="shared" si="2"/>
        <v>0</v>
      </c>
      <c r="Y17" s="191">
        <f t="shared" si="3"/>
        <v>0</v>
      </c>
      <c r="Z17" s="192">
        <f t="shared" si="4"/>
        <v>0</v>
      </c>
      <c r="AA17" s="189">
        <v>0</v>
      </c>
      <c r="AB17" s="189">
        <v>0</v>
      </c>
      <c r="AC17" s="189">
        <v>0</v>
      </c>
      <c r="AD17" s="189">
        <v>0</v>
      </c>
      <c r="AE17" s="189">
        <v>0</v>
      </c>
      <c r="AF17" s="189">
        <v>0</v>
      </c>
      <c r="AG17" s="189">
        <v>0</v>
      </c>
      <c r="AH17" s="191">
        <f t="shared" si="5"/>
        <v>0</v>
      </c>
      <c r="AI17" s="190">
        <f t="shared" si="6"/>
        <v>0</v>
      </c>
      <c r="AJ17" s="192">
        <f t="shared" si="7"/>
        <v>0</v>
      </c>
      <c r="AK17" s="189">
        <v>0</v>
      </c>
      <c r="AL17" s="189">
        <v>0</v>
      </c>
      <c r="AM17" s="189">
        <v>0</v>
      </c>
      <c r="AN17" s="189">
        <v>0</v>
      </c>
      <c r="AO17" s="189">
        <v>0</v>
      </c>
      <c r="AP17" s="189">
        <v>0</v>
      </c>
      <c r="AQ17" s="189">
        <v>0</v>
      </c>
      <c r="AR17" s="189">
        <v>0</v>
      </c>
      <c r="AS17" s="189">
        <v>0</v>
      </c>
      <c r="AT17" s="190">
        <f t="shared" si="8"/>
        <v>0</v>
      </c>
      <c r="AU17" s="191">
        <f t="shared" si="9"/>
        <v>0</v>
      </c>
      <c r="AV17" s="192">
        <f t="shared" si="10"/>
        <v>0</v>
      </c>
      <c r="AW17" s="190">
        <f t="shared" si="11"/>
        <v>0</v>
      </c>
      <c r="AX17" s="191">
        <f t="shared" si="12"/>
        <v>0</v>
      </c>
      <c r="AY17" s="193">
        <f t="shared" si="13"/>
        <v>0</v>
      </c>
      <c r="AZ17" s="194">
        <f t="shared" si="14"/>
        <v>0</v>
      </c>
      <c r="BA17" s="106"/>
      <c r="BB17" s="106"/>
      <c r="BC17" s="78"/>
      <c r="BD17" s="78"/>
      <c r="BE17" s="78"/>
    </row>
    <row r="18" spans="1:57" ht="18">
      <c r="A18" s="93">
        <v>16</v>
      </c>
      <c r="B18" s="94" t="s">
        <v>12</v>
      </c>
      <c r="C18" s="95" t="s">
        <v>70</v>
      </c>
      <c r="D18" s="95" t="s">
        <v>14</v>
      </c>
      <c r="E18" s="96">
        <v>0.2</v>
      </c>
      <c r="F18" s="96">
        <f>IFERROR(_xlfn.XLOOKUP(C18,Projection_!A:A,Projection_!O:O),0)</f>
        <v>0</v>
      </c>
      <c r="G18" s="189">
        <v>0</v>
      </c>
      <c r="H18" s="189">
        <v>0</v>
      </c>
      <c r="I18" s="189">
        <v>0</v>
      </c>
      <c r="J18" s="189">
        <v>0</v>
      </c>
      <c r="K18" s="189">
        <v>0</v>
      </c>
      <c r="L18" s="189">
        <v>0</v>
      </c>
      <c r="M18" s="189">
        <v>0</v>
      </c>
      <c r="N18" s="190">
        <f t="shared" si="15"/>
        <v>0</v>
      </c>
      <c r="O18" s="191">
        <f t="shared" si="0"/>
        <v>0</v>
      </c>
      <c r="P18" s="192">
        <f t="shared" si="1"/>
        <v>0</v>
      </c>
      <c r="Q18" s="189">
        <v>0</v>
      </c>
      <c r="R18" s="189">
        <v>0</v>
      </c>
      <c r="S18" s="189">
        <v>0</v>
      </c>
      <c r="T18" s="189">
        <v>0</v>
      </c>
      <c r="U18" s="189">
        <v>0</v>
      </c>
      <c r="V18" s="189">
        <v>0</v>
      </c>
      <c r="W18" s="189">
        <v>0</v>
      </c>
      <c r="X18" s="190">
        <f t="shared" si="2"/>
        <v>0</v>
      </c>
      <c r="Y18" s="191">
        <f t="shared" si="3"/>
        <v>0</v>
      </c>
      <c r="Z18" s="192">
        <f t="shared" si="4"/>
        <v>0</v>
      </c>
      <c r="AA18" s="189">
        <v>0</v>
      </c>
      <c r="AB18" s="189">
        <v>0</v>
      </c>
      <c r="AC18" s="189">
        <v>0</v>
      </c>
      <c r="AD18" s="189">
        <v>0</v>
      </c>
      <c r="AE18" s="189">
        <v>0</v>
      </c>
      <c r="AF18" s="189">
        <v>0</v>
      </c>
      <c r="AG18" s="189">
        <v>0</v>
      </c>
      <c r="AH18" s="191">
        <f t="shared" si="5"/>
        <v>0</v>
      </c>
      <c r="AI18" s="190">
        <f t="shared" si="6"/>
        <v>0</v>
      </c>
      <c r="AJ18" s="192">
        <f t="shared" si="7"/>
        <v>0</v>
      </c>
      <c r="AK18" s="189">
        <v>0</v>
      </c>
      <c r="AL18" s="189">
        <v>0</v>
      </c>
      <c r="AM18" s="189">
        <v>0</v>
      </c>
      <c r="AN18" s="189">
        <v>0</v>
      </c>
      <c r="AO18" s="189">
        <v>0</v>
      </c>
      <c r="AP18" s="189">
        <v>0</v>
      </c>
      <c r="AQ18" s="189">
        <v>0</v>
      </c>
      <c r="AR18" s="189">
        <v>0</v>
      </c>
      <c r="AS18" s="189">
        <v>0</v>
      </c>
      <c r="AT18" s="190">
        <f t="shared" si="8"/>
        <v>0</v>
      </c>
      <c r="AU18" s="191">
        <f t="shared" si="9"/>
        <v>0</v>
      </c>
      <c r="AV18" s="192">
        <f t="shared" si="10"/>
        <v>0</v>
      </c>
      <c r="AW18" s="190">
        <f t="shared" si="11"/>
        <v>0</v>
      </c>
      <c r="AX18" s="191">
        <f t="shared" si="12"/>
        <v>0</v>
      </c>
      <c r="AY18" s="193">
        <f t="shared" si="13"/>
        <v>0</v>
      </c>
      <c r="AZ18" s="194">
        <f t="shared" si="14"/>
        <v>0</v>
      </c>
      <c r="BA18" s="106"/>
      <c r="BB18" s="106"/>
      <c r="BC18" s="78"/>
      <c r="BD18" s="78"/>
      <c r="BE18" s="78"/>
    </row>
    <row r="19" spans="1:57" ht="18">
      <c r="A19" s="188">
        <v>17</v>
      </c>
      <c r="B19" s="94" t="s">
        <v>12</v>
      </c>
      <c r="C19" s="95" t="s">
        <v>67</v>
      </c>
      <c r="D19" s="95" t="s">
        <v>9</v>
      </c>
      <c r="E19" s="96">
        <v>0.2</v>
      </c>
      <c r="F19" s="96">
        <f>IFERROR(_xlfn.XLOOKUP(C19,Projection_!A:A,Projection_!O:O),0)</f>
        <v>0</v>
      </c>
      <c r="G19" s="189">
        <v>0</v>
      </c>
      <c r="H19" s="189">
        <v>0</v>
      </c>
      <c r="I19" s="189">
        <v>0</v>
      </c>
      <c r="J19" s="189">
        <v>0</v>
      </c>
      <c r="K19" s="189">
        <v>0</v>
      </c>
      <c r="L19" s="189">
        <v>0</v>
      </c>
      <c r="M19" s="189">
        <v>0</v>
      </c>
      <c r="N19" s="190">
        <f t="shared" si="15"/>
        <v>0</v>
      </c>
      <c r="O19" s="191">
        <f t="shared" si="0"/>
        <v>0</v>
      </c>
      <c r="P19" s="192">
        <f t="shared" si="1"/>
        <v>0</v>
      </c>
      <c r="Q19" s="189">
        <v>0</v>
      </c>
      <c r="R19" s="189">
        <v>0</v>
      </c>
      <c r="S19" s="189">
        <v>0</v>
      </c>
      <c r="T19" s="189">
        <v>0</v>
      </c>
      <c r="U19" s="189">
        <v>0</v>
      </c>
      <c r="V19" s="189">
        <v>0</v>
      </c>
      <c r="W19" s="189">
        <v>0</v>
      </c>
      <c r="X19" s="190">
        <f t="shared" si="2"/>
        <v>0</v>
      </c>
      <c r="Y19" s="191">
        <f t="shared" si="3"/>
        <v>0</v>
      </c>
      <c r="Z19" s="192">
        <f t="shared" si="4"/>
        <v>0</v>
      </c>
      <c r="AA19" s="189">
        <v>0</v>
      </c>
      <c r="AB19" s="189">
        <v>0</v>
      </c>
      <c r="AC19" s="189">
        <v>0</v>
      </c>
      <c r="AD19" s="189">
        <v>0</v>
      </c>
      <c r="AE19" s="189">
        <v>0</v>
      </c>
      <c r="AF19" s="189">
        <v>0</v>
      </c>
      <c r="AG19" s="189">
        <v>0</v>
      </c>
      <c r="AH19" s="191">
        <f t="shared" si="5"/>
        <v>0</v>
      </c>
      <c r="AI19" s="190">
        <f t="shared" si="6"/>
        <v>0</v>
      </c>
      <c r="AJ19" s="192">
        <f t="shared" si="7"/>
        <v>0</v>
      </c>
      <c r="AK19" s="189">
        <v>0</v>
      </c>
      <c r="AL19" s="189">
        <v>0</v>
      </c>
      <c r="AM19" s="189">
        <v>0</v>
      </c>
      <c r="AN19" s="189">
        <v>0</v>
      </c>
      <c r="AO19" s="189">
        <v>0</v>
      </c>
      <c r="AP19" s="189">
        <v>0</v>
      </c>
      <c r="AQ19" s="189">
        <v>0</v>
      </c>
      <c r="AR19" s="189">
        <v>0</v>
      </c>
      <c r="AS19" s="189">
        <v>0</v>
      </c>
      <c r="AT19" s="190">
        <f t="shared" si="8"/>
        <v>0</v>
      </c>
      <c r="AU19" s="191">
        <f t="shared" si="9"/>
        <v>0</v>
      </c>
      <c r="AV19" s="192">
        <f t="shared" si="10"/>
        <v>0</v>
      </c>
      <c r="AW19" s="190">
        <f t="shared" si="11"/>
        <v>0</v>
      </c>
      <c r="AX19" s="191">
        <f t="shared" si="12"/>
        <v>0</v>
      </c>
      <c r="AY19" s="193">
        <f t="shared" si="13"/>
        <v>0</v>
      </c>
      <c r="AZ19" s="194">
        <f t="shared" si="14"/>
        <v>0</v>
      </c>
      <c r="BA19" s="106"/>
      <c r="BB19" s="114"/>
      <c r="BC19" s="168"/>
      <c r="BD19" s="168"/>
      <c r="BE19" s="168"/>
    </row>
    <row r="20" spans="1:57" ht="18">
      <c r="A20" s="93">
        <v>18</v>
      </c>
      <c r="B20" s="94" t="s">
        <v>12</v>
      </c>
      <c r="C20" s="95" t="s">
        <v>146</v>
      </c>
      <c r="D20" s="95" t="s">
        <v>147</v>
      </c>
      <c r="E20" s="96"/>
      <c r="F20" s="96">
        <f>IFERROR(_xlfn.XLOOKUP(C20,Projection_!A:A,Projection_!O:O),0)</f>
        <v>0</v>
      </c>
      <c r="G20" s="189">
        <v>0</v>
      </c>
      <c r="H20" s="189">
        <v>0</v>
      </c>
      <c r="I20" s="189">
        <v>0</v>
      </c>
      <c r="J20" s="189">
        <v>0</v>
      </c>
      <c r="K20" s="189">
        <v>0</v>
      </c>
      <c r="L20" s="189">
        <v>0</v>
      </c>
      <c r="M20" s="189">
        <v>0</v>
      </c>
      <c r="N20" s="190">
        <f t="shared" si="15"/>
        <v>0</v>
      </c>
      <c r="O20" s="191">
        <f t="shared" si="0"/>
        <v>0</v>
      </c>
      <c r="P20" s="192">
        <f t="shared" si="1"/>
        <v>0</v>
      </c>
      <c r="Q20" s="189">
        <v>0</v>
      </c>
      <c r="R20" s="189">
        <v>0</v>
      </c>
      <c r="S20" s="189">
        <v>0</v>
      </c>
      <c r="T20" s="189">
        <v>0</v>
      </c>
      <c r="U20" s="189">
        <v>0</v>
      </c>
      <c r="V20" s="189">
        <v>0</v>
      </c>
      <c r="W20" s="189">
        <v>0</v>
      </c>
      <c r="X20" s="190">
        <f t="shared" si="2"/>
        <v>0</v>
      </c>
      <c r="Y20" s="191">
        <f t="shared" si="3"/>
        <v>0</v>
      </c>
      <c r="Z20" s="192">
        <f t="shared" si="4"/>
        <v>0</v>
      </c>
      <c r="AA20" s="189">
        <v>0</v>
      </c>
      <c r="AB20" s="189">
        <v>0</v>
      </c>
      <c r="AC20" s="189">
        <v>0</v>
      </c>
      <c r="AD20" s="189">
        <v>0</v>
      </c>
      <c r="AE20" s="189">
        <v>0</v>
      </c>
      <c r="AF20" s="189">
        <v>0</v>
      </c>
      <c r="AG20" s="189">
        <v>0</v>
      </c>
      <c r="AH20" s="191">
        <f t="shared" si="5"/>
        <v>0</v>
      </c>
      <c r="AI20" s="190">
        <f t="shared" si="6"/>
        <v>0</v>
      </c>
      <c r="AJ20" s="192">
        <f t="shared" si="7"/>
        <v>0</v>
      </c>
      <c r="AK20" s="189">
        <v>0</v>
      </c>
      <c r="AL20" s="189">
        <v>0</v>
      </c>
      <c r="AM20" s="189">
        <v>0</v>
      </c>
      <c r="AN20" s="189">
        <v>0</v>
      </c>
      <c r="AO20" s="189">
        <v>0</v>
      </c>
      <c r="AP20" s="189">
        <v>0</v>
      </c>
      <c r="AQ20" s="189">
        <v>0</v>
      </c>
      <c r="AR20" s="189">
        <v>0</v>
      </c>
      <c r="AS20" s="189">
        <v>0</v>
      </c>
      <c r="AT20" s="190">
        <f t="shared" si="8"/>
        <v>0</v>
      </c>
      <c r="AU20" s="191">
        <f t="shared" si="9"/>
        <v>0</v>
      </c>
      <c r="AV20" s="192">
        <f t="shared" si="10"/>
        <v>0</v>
      </c>
      <c r="AW20" s="190">
        <f t="shared" si="11"/>
        <v>0</v>
      </c>
      <c r="AX20" s="191">
        <f t="shared" si="12"/>
        <v>0</v>
      </c>
      <c r="AY20" s="193">
        <f t="shared" si="13"/>
        <v>0</v>
      </c>
      <c r="AZ20" s="194">
        <f t="shared" si="14"/>
        <v>0</v>
      </c>
      <c r="BA20" s="106"/>
      <c r="BB20" s="114"/>
      <c r="BC20" s="168"/>
      <c r="BD20" s="168"/>
      <c r="BE20" s="168"/>
    </row>
    <row r="21" spans="1:57" ht="18">
      <c r="A21" s="188">
        <v>19</v>
      </c>
      <c r="B21" s="195" t="s">
        <v>12</v>
      </c>
      <c r="C21" s="115" t="s">
        <v>77</v>
      </c>
      <c r="D21" s="196" t="s">
        <v>140</v>
      </c>
      <c r="E21" s="116"/>
      <c r="F21" s="96">
        <f>IFERROR(_xlfn.XLOOKUP(C21,Projection_!A:A,Projection_!O:O),0)</f>
        <v>0</v>
      </c>
      <c r="G21" s="189">
        <v>0</v>
      </c>
      <c r="H21" s="189">
        <v>0</v>
      </c>
      <c r="I21" s="189">
        <v>0</v>
      </c>
      <c r="J21" s="189">
        <v>0</v>
      </c>
      <c r="K21" s="189">
        <v>0</v>
      </c>
      <c r="L21" s="189">
        <v>0</v>
      </c>
      <c r="M21" s="189">
        <v>0</v>
      </c>
      <c r="N21" s="190">
        <f t="shared" si="15"/>
        <v>0</v>
      </c>
      <c r="O21" s="191">
        <f t="shared" si="0"/>
        <v>0</v>
      </c>
      <c r="P21" s="192">
        <f t="shared" si="1"/>
        <v>0</v>
      </c>
      <c r="Q21" s="189">
        <v>0</v>
      </c>
      <c r="R21" s="189">
        <v>0</v>
      </c>
      <c r="S21" s="189">
        <v>0</v>
      </c>
      <c r="T21" s="189">
        <v>0</v>
      </c>
      <c r="U21" s="189">
        <v>0</v>
      </c>
      <c r="V21" s="189">
        <v>0</v>
      </c>
      <c r="W21" s="189">
        <v>0</v>
      </c>
      <c r="X21" s="190">
        <f t="shared" si="2"/>
        <v>0</v>
      </c>
      <c r="Y21" s="191">
        <f t="shared" si="3"/>
        <v>0</v>
      </c>
      <c r="Z21" s="192">
        <f t="shared" si="4"/>
        <v>0</v>
      </c>
      <c r="AA21" s="189">
        <v>0</v>
      </c>
      <c r="AB21" s="189">
        <v>0</v>
      </c>
      <c r="AC21" s="189">
        <v>0</v>
      </c>
      <c r="AD21" s="189">
        <v>0</v>
      </c>
      <c r="AE21" s="189">
        <v>0</v>
      </c>
      <c r="AF21" s="189">
        <v>0</v>
      </c>
      <c r="AG21" s="189">
        <v>0</v>
      </c>
      <c r="AH21" s="191">
        <f t="shared" si="5"/>
        <v>0</v>
      </c>
      <c r="AI21" s="190">
        <f t="shared" si="6"/>
        <v>0</v>
      </c>
      <c r="AJ21" s="192">
        <f t="shared" si="7"/>
        <v>0</v>
      </c>
      <c r="AK21" s="189">
        <v>0</v>
      </c>
      <c r="AL21" s="189">
        <v>0</v>
      </c>
      <c r="AM21" s="189">
        <v>0</v>
      </c>
      <c r="AN21" s="189">
        <v>0</v>
      </c>
      <c r="AO21" s="189">
        <v>0</v>
      </c>
      <c r="AP21" s="189">
        <v>0</v>
      </c>
      <c r="AQ21" s="189">
        <v>0</v>
      </c>
      <c r="AR21" s="189">
        <v>0</v>
      </c>
      <c r="AS21" s="189">
        <v>0</v>
      </c>
      <c r="AT21" s="190">
        <f t="shared" si="8"/>
        <v>0</v>
      </c>
      <c r="AU21" s="191">
        <f t="shared" si="9"/>
        <v>0</v>
      </c>
      <c r="AV21" s="192">
        <f t="shared" si="10"/>
        <v>0</v>
      </c>
      <c r="AW21" s="190">
        <f t="shared" si="11"/>
        <v>0</v>
      </c>
      <c r="AX21" s="191">
        <f t="shared" si="12"/>
        <v>0</v>
      </c>
      <c r="AY21" s="193">
        <f t="shared" si="13"/>
        <v>0</v>
      </c>
      <c r="AZ21" s="194">
        <f t="shared" si="14"/>
        <v>0</v>
      </c>
      <c r="BA21" s="106"/>
      <c r="BB21" s="106"/>
      <c r="BC21" s="78"/>
      <c r="BD21" s="78"/>
      <c r="BE21" s="78"/>
    </row>
    <row r="22" spans="1:57" ht="30" customHeight="1">
      <c r="A22" s="201" t="s">
        <v>127</v>
      </c>
      <c r="B22" s="201"/>
      <c r="C22" s="201"/>
      <c r="D22" s="201"/>
      <c r="E22" s="116"/>
      <c r="F22" s="117">
        <f t="shared" ref="F22:AY22" si="16">SUM(F3:F19)</f>
        <v>0</v>
      </c>
      <c r="G22" s="117">
        <f t="shared" si="16"/>
        <v>0</v>
      </c>
      <c r="H22" s="117">
        <f t="shared" si="16"/>
        <v>0</v>
      </c>
      <c r="I22" s="117">
        <f t="shared" si="16"/>
        <v>0</v>
      </c>
      <c r="J22" s="117">
        <f t="shared" si="16"/>
        <v>0</v>
      </c>
      <c r="K22" s="117">
        <f t="shared" si="16"/>
        <v>0</v>
      </c>
      <c r="L22" s="117">
        <f t="shared" si="16"/>
        <v>0</v>
      </c>
      <c r="M22" s="117">
        <f t="shared" si="16"/>
        <v>0</v>
      </c>
      <c r="N22" s="197">
        <f t="shared" si="16"/>
        <v>0</v>
      </c>
      <c r="O22" s="198">
        <f t="shared" si="16"/>
        <v>0</v>
      </c>
      <c r="P22" s="197">
        <f t="shared" si="16"/>
        <v>0</v>
      </c>
      <c r="Q22" s="117">
        <f t="shared" si="16"/>
        <v>0</v>
      </c>
      <c r="R22" s="117">
        <f t="shared" si="16"/>
        <v>0</v>
      </c>
      <c r="S22" s="117">
        <f t="shared" si="16"/>
        <v>0</v>
      </c>
      <c r="T22" s="117">
        <f t="shared" si="16"/>
        <v>0</v>
      </c>
      <c r="U22" s="117">
        <f t="shared" si="16"/>
        <v>0</v>
      </c>
      <c r="V22" s="117">
        <f t="shared" si="16"/>
        <v>0</v>
      </c>
      <c r="W22" s="117">
        <f t="shared" si="16"/>
        <v>0</v>
      </c>
      <c r="X22" s="197">
        <f t="shared" si="16"/>
        <v>0</v>
      </c>
      <c r="Y22" s="198">
        <f t="shared" si="16"/>
        <v>0</v>
      </c>
      <c r="Z22" s="197">
        <f t="shared" si="16"/>
        <v>0</v>
      </c>
      <c r="AA22" s="117">
        <f t="shared" si="16"/>
        <v>0</v>
      </c>
      <c r="AB22" s="117">
        <f t="shared" si="16"/>
        <v>0</v>
      </c>
      <c r="AC22" s="117">
        <f t="shared" si="16"/>
        <v>0</v>
      </c>
      <c r="AD22" s="117">
        <f t="shared" si="16"/>
        <v>0</v>
      </c>
      <c r="AE22" s="117">
        <f t="shared" si="16"/>
        <v>0</v>
      </c>
      <c r="AF22" s="117">
        <f t="shared" si="16"/>
        <v>0</v>
      </c>
      <c r="AG22" s="117">
        <f t="shared" si="16"/>
        <v>0</v>
      </c>
      <c r="AH22" s="198">
        <f t="shared" si="16"/>
        <v>0</v>
      </c>
      <c r="AI22" s="197">
        <f t="shared" si="16"/>
        <v>0</v>
      </c>
      <c r="AJ22" s="197">
        <f t="shared" si="16"/>
        <v>0</v>
      </c>
      <c r="AK22" s="117">
        <f t="shared" si="16"/>
        <v>0</v>
      </c>
      <c r="AL22" s="117">
        <f t="shared" si="16"/>
        <v>0</v>
      </c>
      <c r="AM22" s="117">
        <f t="shared" si="16"/>
        <v>0</v>
      </c>
      <c r="AN22" s="117">
        <f t="shared" si="16"/>
        <v>0</v>
      </c>
      <c r="AO22" s="117">
        <f t="shared" si="16"/>
        <v>0</v>
      </c>
      <c r="AP22" s="117">
        <f t="shared" si="16"/>
        <v>0</v>
      </c>
      <c r="AQ22" s="117">
        <f t="shared" si="16"/>
        <v>0</v>
      </c>
      <c r="AR22" s="117">
        <f t="shared" si="16"/>
        <v>0</v>
      </c>
      <c r="AS22" s="117">
        <f t="shared" si="16"/>
        <v>0</v>
      </c>
      <c r="AT22" s="197">
        <f t="shared" si="16"/>
        <v>0</v>
      </c>
      <c r="AU22" s="198">
        <f t="shared" si="16"/>
        <v>0</v>
      </c>
      <c r="AV22" s="197">
        <f t="shared" si="16"/>
        <v>0</v>
      </c>
      <c r="AW22" s="199">
        <f t="shared" si="16"/>
        <v>0</v>
      </c>
      <c r="AX22" s="200">
        <f t="shared" si="16"/>
        <v>0</v>
      </c>
      <c r="AY22" s="199">
        <f t="shared" si="16"/>
        <v>0</v>
      </c>
      <c r="AZ22" s="194"/>
      <c r="BA22" s="106"/>
      <c r="BB22" s="106"/>
      <c r="BC22" s="78"/>
      <c r="BD22" s="78"/>
      <c r="BE22" s="78"/>
    </row>
    <row r="23" spans="1:57" ht="22.5" customHeight="1">
      <c r="A23" s="78"/>
      <c r="B23" s="79"/>
      <c r="C23" s="79"/>
      <c r="D23" s="79"/>
      <c r="E23" s="79"/>
      <c r="F23" s="79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AH23" s="78"/>
      <c r="AI23" s="78"/>
      <c r="AJ23" s="78"/>
      <c r="AK23" s="78"/>
      <c r="AL23" s="78"/>
      <c r="AM23" s="78"/>
      <c r="AN23" s="78"/>
      <c r="AO23" s="78"/>
      <c r="AP23" s="78"/>
      <c r="AQ23" s="78"/>
      <c r="AR23" s="78"/>
      <c r="AS23" s="78"/>
      <c r="AT23" s="78"/>
      <c r="AU23" s="78"/>
      <c r="AV23" s="78"/>
      <c r="AW23" s="79"/>
      <c r="AX23" s="78"/>
      <c r="AY23" s="79"/>
      <c r="AZ23" s="80"/>
      <c r="BA23" s="78"/>
      <c r="BB23" s="78"/>
      <c r="BC23" s="78"/>
      <c r="BD23" s="78"/>
      <c r="BE23" s="78"/>
    </row>
  </sheetData>
  <mergeCells count="1">
    <mergeCell ref="A22:D22"/>
  </mergeCells>
  <conditionalFormatting sqref="G3:P21 X3:AV3 Q4:AV21 J22:P22 T22:Z22 AD22:AJ22 AN22:AV22">
    <cfRule type="cellIs" dxfId="8" priority="6" stopIfTrue="1" operator="lessThanOrEqual">
      <formula>0</formula>
    </cfRule>
  </conditionalFormatting>
  <printOptions horizontalCentered="1" gridLines="1"/>
  <pageMargins left="0.70000000000000007" right="0.70000000000000007" top="0.75000000000000011" bottom="0.75000000000000011" header="0" footer="0"/>
  <pageSetup paperSize="0" fitToHeight="0" pageOrder="overThenDown" orientation="landscape" cellComments="asDisplayed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7631D-105E-4E3A-97FD-EED684651D16}">
  <dimension ref="A1:AD20"/>
  <sheetViews>
    <sheetView workbookViewId="0"/>
  </sheetViews>
  <sheetFormatPr defaultColWidth="12" defaultRowHeight="15.75" customHeight="1"/>
  <cols>
    <col min="1" max="1" width="11.54296875" customWidth="1"/>
    <col min="2" max="2" width="41.7265625" customWidth="1"/>
    <col min="3" max="3" width="12" customWidth="1"/>
    <col min="4" max="4" width="5.26953125" bestFit="1" customWidth="1"/>
    <col min="5" max="5" width="13.7265625" bestFit="1" customWidth="1"/>
    <col min="6" max="6" width="4.6328125" bestFit="1" customWidth="1"/>
    <col min="7" max="7" width="5.81640625" bestFit="1" customWidth="1"/>
    <col min="8" max="8" width="9.90625" bestFit="1" customWidth="1"/>
    <col min="9" max="9" width="7.1796875" bestFit="1" customWidth="1"/>
    <col min="10" max="10" width="8.7265625" bestFit="1" customWidth="1"/>
    <col min="11" max="11" width="11.54296875" style="113" bestFit="1" customWidth="1"/>
    <col min="12" max="12" width="8.7265625" bestFit="1" customWidth="1"/>
    <col min="13" max="13" width="7.6328125" style="247" bestFit="1" customWidth="1"/>
    <col min="14" max="14" width="5.81640625" bestFit="1" customWidth="1"/>
    <col min="15" max="15" width="3.26953125" bestFit="1" customWidth="1"/>
    <col min="16" max="16" width="6" bestFit="1" customWidth="1"/>
    <col min="17" max="17" width="11" bestFit="1" customWidth="1"/>
    <col min="18" max="18" width="9.90625" bestFit="1" customWidth="1"/>
    <col min="19" max="19" width="7.7265625" bestFit="1" customWidth="1"/>
    <col min="20" max="20" width="8" bestFit="1" customWidth="1"/>
    <col min="21" max="21" width="7.1796875" bestFit="1" customWidth="1"/>
    <col min="22" max="22" width="7.453125" bestFit="1" customWidth="1"/>
    <col min="23" max="23" width="12" customWidth="1"/>
  </cols>
  <sheetData>
    <row r="1" spans="1:30" ht="15.75" customHeight="1">
      <c r="A1" s="115"/>
      <c r="B1" s="115"/>
      <c r="C1" s="115"/>
      <c r="D1" s="212"/>
      <c r="E1" s="213" t="s">
        <v>183</v>
      </c>
      <c r="F1" s="214"/>
      <c r="G1" s="214"/>
      <c r="H1" s="214"/>
      <c r="I1" s="214"/>
      <c r="J1" s="214"/>
      <c r="K1" s="180"/>
      <c r="L1" s="214"/>
      <c r="M1" s="215"/>
      <c r="N1" s="214"/>
      <c r="O1" s="214"/>
      <c r="P1" s="214"/>
      <c r="Q1" s="214"/>
      <c r="R1" s="214"/>
      <c r="S1" s="216"/>
    </row>
    <row r="2" spans="1:30" ht="15.75" customHeight="1">
      <c r="A2" s="217"/>
      <c r="B2" s="217"/>
      <c r="C2" s="217"/>
      <c r="D2" s="218"/>
      <c r="E2" s="218"/>
      <c r="F2" s="218"/>
      <c r="G2" s="218"/>
      <c r="H2" s="218"/>
      <c r="I2" s="218"/>
      <c r="J2" s="219">
        <f t="shared" ref="J2:V2" si="0">SUBTOTAL(9,J4:J20)</f>
        <v>113086.55000000002</v>
      </c>
      <c r="K2" s="220">
        <f t="shared" si="0"/>
        <v>0</v>
      </c>
      <c r="L2" s="219">
        <f t="shared" si="0"/>
        <v>2171</v>
      </c>
      <c r="M2" s="221">
        <f t="shared" si="0"/>
        <v>6819</v>
      </c>
      <c r="N2" s="219">
        <f t="shared" si="0"/>
        <v>0</v>
      </c>
      <c r="O2" s="219">
        <f t="shared" si="0"/>
        <v>0</v>
      </c>
      <c r="P2" s="218">
        <f t="shared" si="0"/>
        <v>6995</v>
      </c>
      <c r="Q2" s="218">
        <f t="shared" si="0"/>
        <v>0</v>
      </c>
      <c r="R2" s="219">
        <f t="shared" si="0"/>
        <v>735</v>
      </c>
      <c r="S2" s="219">
        <f t="shared" si="0"/>
        <v>16720</v>
      </c>
      <c r="T2" s="222">
        <f t="shared" si="0"/>
        <v>129806.55</v>
      </c>
      <c r="U2" s="222">
        <f t="shared" si="0"/>
        <v>66606.12</v>
      </c>
      <c r="V2" s="222">
        <f t="shared" si="0"/>
        <v>55247.02</v>
      </c>
    </row>
    <row r="3" spans="1:30" s="230" customFormat="1" ht="43.5">
      <c r="A3" s="223" t="s">
        <v>184</v>
      </c>
      <c r="B3" s="223" t="s">
        <v>185</v>
      </c>
      <c r="C3" s="223" t="s">
        <v>186</v>
      </c>
      <c r="D3" s="224" t="s">
        <v>109</v>
      </c>
      <c r="E3" s="225" t="s">
        <v>187</v>
      </c>
      <c r="F3" s="225" t="s">
        <v>188</v>
      </c>
      <c r="G3" s="225" t="s">
        <v>189</v>
      </c>
      <c r="H3" s="225" t="s">
        <v>190</v>
      </c>
      <c r="I3" s="225" t="s">
        <v>191</v>
      </c>
      <c r="J3" s="226" t="s">
        <v>192</v>
      </c>
      <c r="K3" s="225" t="s">
        <v>193</v>
      </c>
      <c r="L3" s="225" t="s">
        <v>149</v>
      </c>
      <c r="M3" s="227" t="s">
        <v>43</v>
      </c>
      <c r="N3" s="225" t="s">
        <v>164</v>
      </c>
      <c r="O3" s="225" t="s">
        <v>49</v>
      </c>
      <c r="P3" s="225" t="s">
        <v>51</v>
      </c>
      <c r="Q3" s="225" t="s">
        <v>194</v>
      </c>
      <c r="R3" s="225" t="s">
        <v>195</v>
      </c>
      <c r="S3" s="226" t="s">
        <v>196</v>
      </c>
      <c r="T3" s="228" t="s">
        <v>197</v>
      </c>
      <c r="U3" s="229" t="s">
        <v>180</v>
      </c>
      <c r="V3" s="230" t="s">
        <v>180</v>
      </c>
    </row>
    <row r="4" spans="1:30" ht="15.75" customHeight="1">
      <c r="A4" s="115" t="s">
        <v>79</v>
      </c>
      <c r="B4" s="95" t="s">
        <v>37</v>
      </c>
      <c r="C4" s="231" t="s">
        <v>12</v>
      </c>
      <c r="D4" s="232">
        <v>0.5</v>
      </c>
      <c r="E4" s="233">
        <v>3950</v>
      </c>
      <c r="F4" s="233">
        <v>5363</v>
      </c>
      <c r="G4" s="233">
        <v>26480</v>
      </c>
      <c r="H4" s="233">
        <v>11942</v>
      </c>
      <c r="I4" s="233"/>
      <c r="J4" s="234">
        <f>SUM(E4:I4)*55%</f>
        <v>26254.250000000004</v>
      </c>
      <c r="K4" s="235"/>
      <c r="L4" s="236">
        <v>1426</v>
      </c>
      <c r="M4" s="237">
        <v>4179</v>
      </c>
      <c r="N4" s="238"/>
      <c r="O4" s="238"/>
      <c r="P4" s="238">
        <v>5439</v>
      </c>
      <c r="Q4" s="238"/>
      <c r="R4" s="239"/>
      <c r="S4" s="240">
        <f t="shared" ref="S4:S20" si="1">SUM(K4:R4)</f>
        <v>11044</v>
      </c>
      <c r="T4" s="241">
        <f t="shared" ref="T4:T20" si="2">SUM(J4,S4)</f>
        <v>37298.25</v>
      </c>
      <c r="U4" s="115">
        <f t="shared" ref="U4:U20" si="3">T4*D4</f>
        <v>18649.125</v>
      </c>
      <c r="V4">
        <f t="shared" ref="V4:V20" si="4">J4*D4</f>
        <v>13127.125000000002</v>
      </c>
    </row>
    <row r="5" spans="1:30" ht="15.75" customHeight="1">
      <c r="A5" s="115" t="s">
        <v>82</v>
      </c>
      <c r="B5" s="95" t="s">
        <v>44</v>
      </c>
      <c r="C5" s="231" t="s">
        <v>12</v>
      </c>
      <c r="D5" s="232">
        <v>0.25</v>
      </c>
      <c r="E5" s="233">
        <v>1930</v>
      </c>
      <c r="F5" s="233">
        <v>3751</v>
      </c>
      <c r="G5" s="233">
        <v>28180</v>
      </c>
      <c r="H5" s="233">
        <v>2933</v>
      </c>
      <c r="I5" s="233"/>
      <c r="J5" s="234">
        <f>SUM(E5:I5)*55%</f>
        <v>20236.7</v>
      </c>
      <c r="K5" s="235"/>
      <c r="L5" s="236"/>
      <c r="M5" s="237">
        <v>0</v>
      </c>
      <c r="N5" s="238"/>
      <c r="O5" s="238"/>
      <c r="P5" s="238"/>
      <c r="Q5" s="238"/>
      <c r="R5" s="239"/>
      <c r="S5" s="240">
        <f t="shared" si="1"/>
        <v>0</v>
      </c>
      <c r="T5" s="241">
        <f t="shared" si="2"/>
        <v>20236.7</v>
      </c>
      <c r="U5" s="115">
        <f t="shared" si="3"/>
        <v>5059.1750000000002</v>
      </c>
      <c r="V5">
        <f t="shared" si="4"/>
        <v>5059.1750000000002</v>
      </c>
    </row>
    <row r="6" spans="1:30" ht="15.75" customHeight="1">
      <c r="A6" s="115" t="s">
        <v>125</v>
      </c>
      <c r="B6" s="95" t="s">
        <v>46</v>
      </c>
      <c r="C6" s="231" t="s">
        <v>12</v>
      </c>
      <c r="D6" s="232">
        <v>0.1</v>
      </c>
      <c r="E6" s="233">
        <v>0</v>
      </c>
      <c r="F6" s="233">
        <v>1280</v>
      </c>
      <c r="G6" s="233">
        <v>22564</v>
      </c>
      <c r="H6" s="233">
        <v>1550</v>
      </c>
      <c r="I6" s="233"/>
      <c r="J6" s="234">
        <f>SUM(E6:I6)*55%</f>
        <v>13966.7</v>
      </c>
      <c r="K6" s="235"/>
      <c r="L6" s="236"/>
      <c r="M6" s="237">
        <v>0</v>
      </c>
      <c r="N6" s="242"/>
      <c r="O6" s="238"/>
      <c r="P6" s="238">
        <v>111</v>
      </c>
      <c r="Q6" s="238"/>
      <c r="R6" s="239"/>
      <c r="S6" s="240">
        <f t="shared" si="1"/>
        <v>111</v>
      </c>
      <c r="T6" s="241">
        <f t="shared" si="2"/>
        <v>14077.7</v>
      </c>
      <c r="U6" s="115">
        <f t="shared" si="3"/>
        <v>1407.7700000000002</v>
      </c>
      <c r="V6">
        <f t="shared" si="4"/>
        <v>1396.67</v>
      </c>
      <c r="Y6" s="243" t="s">
        <v>198</v>
      </c>
      <c r="Z6" s="243" t="s">
        <v>199</v>
      </c>
      <c r="AA6" s="243" t="s">
        <v>200</v>
      </c>
      <c r="AB6" s="243" t="s">
        <v>201</v>
      </c>
      <c r="AC6" s="243" t="s">
        <v>197</v>
      </c>
    </row>
    <row r="7" spans="1:30" ht="15.75" customHeight="1">
      <c r="A7" s="115" t="s">
        <v>83</v>
      </c>
      <c r="B7" s="95" t="s">
        <v>48</v>
      </c>
      <c r="C7" s="231" t="s">
        <v>12</v>
      </c>
      <c r="D7" s="232">
        <v>1</v>
      </c>
      <c r="E7" s="233">
        <v>6370</v>
      </c>
      <c r="F7" s="233">
        <v>2540</v>
      </c>
      <c r="G7" s="233">
        <v>1965</v>
      </c>
      <c r="H7" s="233">
        <v>2917</v>
      </c>
      <c r="I7" s="233"/>
      <c r="J7" s="234">
        <f>SUM(E7:I7)*55%</f>
        <v>7585.6</v>
      </c>
      <c r="K7" s="235"/>
      <c r="L7" s="236"/>
      <c r="M7" s="237">
        <v>2640</v>
      </c>
      <c r="N7" s="238"/>
      <c r="O7" s="238"/>
      <c r="P7" s="238">
        <v>815</v>
      </c>
      <c r="Q7" s="238"/>
      <c r="R7" s="239"/>
      <c r="S7" s="240">
        <f t="shared" si="1"/>
        <v>3455</v>
      </c>
      <c r="T7" s="241">
        <f t="shared" si="2"/>
        <v>11040.6</v>
      </c>
      <c r="U7" s="115">
        <f t="shared" si="3"/>
        <v>11040.6</v>
      </c>
      <c r="V7">
        <f t="shared" si="4"/>
        <v>7585.6</v>
      </c>
      <c r="Y7" s="244">
        <v>30</v>
      </c>
      <c r="Z7" s="244">
        <v>8</v>
      </c>
      <c r="AA7" s="244">
        <v>10</v>
      </c>
      <c r="AB7" s="244">
        <v>3.3</v>
      </c>
      <c r="AC7" s="244">
        <f>SUM(Y7:AB7)</f>
        <v>51.3</v>
      </c>
      <c r="AD7">
        <f>AC7/85</f>
        <v>0.60352941176470587</v>
      </c>
    </row>
    <row r="8" spans="1:30" ht="15.75" customHeight="1">
      <c r="A8" s="115" t="s">
        <v>77</v>
      </c>
      <c r="B8" s="95" t="s">
        <v>29</v>
      </c>
      <c r="C8" s="231" t="s">
        <v>159</v>
      </c>
      <c r="D8" s="232">
        <v>1</v>
      </c>
      <c r="E8" s="233">
        <v>56</v>
      </c>
      <c r="F8" s="233">
        <v>0</v>
      </c>
      <c r="G8" s="233">
        <v>4595</v>
      </c>
      <c r="H8" s="233">
        <v>1398</v>
      </c>
      <c r="I8" s="233"/>
      <c r="J8" s="234">
        <f>SUM(E8:I8)</f>
        <v>6049</v>
      </c>
      <c r="K8" s="235"/>
      <c r="L8" s="236"/>
      <c r="M8" s="237">
        <v>0</v>
      </c>
      <c r="N8" s="238"/>
      <c r="O8" s="238"/>
      <c r="P8" s="238"/>
      <c r="Q8" s="238"/>
      <c r="R8" s="239"/>
      <c r="S8" s="240">
        <f t="shared" si="1"/>
        <v>0</v>
      </c>
      <c r="T8" s="241">
        <f t="shared" si="2"/>
        <v>6049</v>
      </c>
      <c r="U8" s="115">
        <f t="shared" si="3"/>
        <v>6049</v>
      </c>
      <c r="V8">
        <f t="shared" si="4"/>
        <v>6049</v>
      </c>
    </row>
    <row r="9" spans="1:30" ht="15.75" customHeight="1">
      <c r="A9" s="115" t="s">
        <v>73</v>
      </c>
      <c r="B9" s="95" t="s">
        <v>23</v>
      </c>
      <c r="C9" s="231" t="s">
        <v>12</v>
      </c>
      <c r="D9" s="232">
        <v>0.5</v>
      </c>
      <c r="E9" s="233">
        <v>1170</v>
      </c>
      <c r="F9" s="233">
        <v>896</v>
      </c>
      <c r="G9" s="233">
        <v>17560</v>
      </c>
      <c r="H9" s="233">
        <v>3100</v>
      </c>
      <c r="I9" s="233"/>
      <c r="J9" s="234">
        <f>SUM(E9:I9)</f>
        <v>22726</v>
      </c>
      <c r="K9" s="235"/>
      <c r="L9" s="236">
        <v>155</v>
      </c>
      <c r="M9" s="237">
        <v>0</v>
      </c>
      <c r="N9" s="238"/>
      <c r="O9" s="238"/>
      <c r="P9" s="238"/>
      <c r="Q9" s="238"/>
      <c r="R9" s="239"/>
      <c r="S9" s="240">
        <f t="shared" si="1"/>
        <v>155</v>
      </c>
      <c r="T9" s="241">
        <f t="shared" si="2"/>
        <v>22881</v>
      </c>
      <c r="U9" s="115">
        <f t="shared" si="3"/>
        <v>11440.5</v>
      </c>
      <c r="V9">
        <f t="shared" si="4"/>
        <v>11363</v>
      </c>
    </row>
    <row r="10" spans="1:30" ht="15.75" customHeight="1">
      <c r="A10" s="115" t="s">
        <v>74</v>
      </c>
      <c r="B10" s="95" t="s">
        <v>24</v>
      </c>
      <c r="C10" s="231" t="s">
        <v>12</v>
      </c>
      <c r="D10" s="232">
        <v>0.5</v>
      </c>
      <c r="E10" s="233">
        <v>0</v>
      </c>
      <c r="F10" s="233">
        <v>1265</v>
      </c>
      <c r="G10" s="233">
        <v>14838</v>
      </c>
      <c r="H10" s="233">
        <v>2931</v>
      </c>
      <c r="I10" s="233"/>
      <c r="J10" s="234">
        <f>SUM(E10:I10)*55%</f>
        <v>10468.700000000001</v>
      </c>
      <c r="K10" s="235"/>
      <c r="L10" s="236"/>
      <c r="M10" s="237">
        <v>0</v>
      </c>
      <c r="N10" s="238"/>
      <c r="O10" s="238"/>
      <c r="P10" s="238"/>
      <c r="Q10" s="238"/>
      <c r="R10" s="239"/>
      <c r="S10" s="240">
        <f t="shared" si="1"/>
        <v>0</v>
      </c>
      <c r="T10" s="241">
        <f t="shared" si="2"/>
        <v>10468.700000000001</v>
      </c>
      <c r="U10" s="115">
        <f t="shared" si="3"/>
        <v>5234.3500000000004</v>
      </c>
      <c r="V10">
        <f t="shared" si="4"/>
        <v>5234.3500000000004</v>
      </c>
    </row>
    <row r="11" spans="1:30" ht="15.75" customHeight="1">
      <c r="A11" s="115" t="s">
        <v>76</v>
      </c>
      <c r="B11" s="95" t="s">
        <v>26</v>
      </c>
      <c r="C11" s="231" t="s">
        <v>12</v>
      </c>
      <c r="D11" s="232">
        <v>0.5</v>
      </c>
      <c r="E11" s="233">
        <v>628</v>
      </c>
      <c r="F11" s="233">
        <v>1076</v>
      </c>
      <c r="G11" s="233">
        <v>1152</v>
      </c>
      <c r="H11" s="233">
        <v>1430</v>
      </c>
      <c r="I11" s="233"/>
      <c r="J11" s="234">
        <f>SUM(E11:I11)*55%</f>
        <v>2357.3000000000002</v>
      </c>
      <c r="K11" s="235"/>
      <c r="L11" s="236">
        <v>186</v>
      </c>
      <c r="M11" s="237">
        <v>0</v>
      </c>
      <c r="N11" s="238"/>
      <c r="O11" s="238"/>
      <c r="P11" s="238">
        <v>495</v>
      </c>
      <c r="Q11" s="238"/>
      <c r="R11" s="239">
        <v>265</v>
      </c>
      <c r="S11" s="240">
        <f t="shared" si="1"/>
        <v>946</v>
      </c>
      <c r="T11" s="241">
        <f t="shared" si="2"/>
        <v>3303.3</v>
      </c>
      <c r="U11" s="115">
        <f t="shared" si="3"/>
        <v>1651.65</v>
      </c>
      <c r="V11">
        <f t="shared" si="4"/>
        <v>1178.6500000000001</v>
      </c>
    </row>
    <row r="12" spans="1:30" ht="15.75" customHeight="1">
      <c r="A12" s="115" t="s">
        <v>80</v>
      </c>
      <c r="B12" s="95" t="s">
        <v>40</v>
      </c>
      <c r="C12" s="231" t="s">
        <v>12</v>
      </c>
      <c r="D12" s="232">
        <v>5</v>
      </c>
      <c r="E12" s="233">
        <v>783</v>
      </c>
      <c r="F12" s="233">
        <v>158</v>
      </c>
      <c r="G12" s="233">
        <v>26</v>
      </c>
      <c r="H12" s="233">
        <v>288</v>
      </c>
      <c r="I12" s="233"/>
      <c r="J12" s="234">
        <f>SUM(E12:I12)*55%</f>
        <v>690.25</v>
      </c>
      <c r="K12" s="235"/>
      <c r="L12" s="236">
        <v>210</v>
      </c>
      <c r="M12" s="237">
        <v>0</v>
      </c>
      <c r="N12" s="238"/>
      <c r="O12" s="238"/>
      <c r="P12" s="238">
        <v>135</v>
      </c>
      <c r="Q12" s="238"/>
      <c r="R12" s="239"/>
      <c r="S12" s="240">
        <f t="shared" si="1"/>
        <v>345</v>
      </c>
      <c r="T12" s="241">
        <f t="shared" si="2"/>
        <v>1035.25</v>
      </c>
      <c r="U12" s="115">
        <f t="shared" si="3"/>
        <v>5176.25</v>
      </c>
      <c r="V12">
        <f t="shared" si="4"/>
        <v>3451.25</v>
      </c>
    </row>
    <row r="13" spans="1:30" ht="15.75" customHeight="1">
      <c r="A13" s="115" t="s">
        <v>75</v>
      </c>
      <c r="B13" s="95" t="s">
        <v>25</v>
      </c>
      <c r="C13" s="231" t="s">
        <v>160</v>
      </c>
      <c r="D13" s="232">
        <v>0.1</v>
      </c>
      <c r="E13" s="233">
        <v>625</v>
      </c>
      <c r="F13" s="233">
        <v>27</v>
      </c>
      <c r="G13" s="233">
        <v>75</v>
      </c>
      <c r="H13" s="233">
        <v>515</v>
      </c>
      <c r="I13" s="233"/>
      <c r="J13" s="234">
        <f>SUM(E13:I13)</f>
        <v>1242</v>
      </c>
      <c r="K13" s="235"/>
      <c r="L13" s="236"/>
      <c r="M13" s="237">
        <v>0</v>
      </c>
      <c r="N13" s="238"/>
      <c r="O13" s="238"/>
      <c r="P13" s="238"/>
      <c r="Q13" s="238"/>
      <c r="R13" s="239">
        <f>315+155</f>
        <v>470</v>
      </c>
      <c r="S13" s="240">
        <f t="shared" si="1"/>
        <v>470</v>
      </c>
      <c r="T13" s="241">
        <f t="shared" si="2"/>
        <v>1712</v>
      </c>
      <c r="U13" s="115">
        <f t="shared" si="3"/>
        <v>171.20000000000002</v>
      </c>
      <c r="V13">
        <f t="shared" si="4"/>
        <v>124.2</v>
      </c>
    </row>
    <row r="14" spans="1:30" ht="15.75" customHeight="1">
      <c r="A14" s="115" t="s">
        <v>81</v>
      </c>
      <c r="B14" s="95" t="s">
        <v>42</v>
      </c>
      <c r="C14" s="231" t="s">
        <v>12</v>
      </c>
      <c r="D14" s="232">
        <v>1</v>
      </c>
      <c r="E14" s="233">
        <v>0</v>
      </c>
      <c r="F14" s="233">
        <v>751</v>
      </c>
      <c r="G14" s="233">
        <v>0</v>
      </c>
      <c r="H14" s="233">
        <v>0</v>
      </c>
      <c r="I14" s="233"/>
      <c r="J14" s="234">
        <f>SUM(E14:I14)*55%</f>
        <v>413.05</v>
      </c>
      <c r="K14" s="235"/>
      <c r="L14" s="236"/>
      <c r="M14" s="237">
        <v>0</v>
      </c>
      <c r="N14" s="245"/>
      <c r="O14" s="238"/>
      <c r="P14" s="238"/>
      <c r="Q14" s="238"/>
      <c r="R14" s="239"/>
      <c r="S14" s="240">
        <f t="shared" si="1"/>
        <v>0</v>
      </c>
      <c r="T14" s="241">
        <f t="shared" si="2"/>
        <v>413.05</v>
      </c>
      <c r="U14" s="115">
        <f t="shared" si="3"/>
        <v>413.05</v>
      </c>
      <c r="V14">
        <f t="shared" si="4"/>
        <v>413.05</v>
      </c>
    </row>
    <row r="15" spans="1:30" ht="15.75" customHeight="1">
      <c r="A15" s="115" t="s">
        <v>78</v>
      </c>
      <c r="B15" s="95" t="s">
        <v>35</v>
      </c>
      <c r="C15" s="231" t="s">
        <v>12</v>
      </c>
      <c r="D15" s="232">
        <v>0.25</v>
      </c>
      <c r="E15" s="233">
        <v>108</v>
      </c>
      <c r="F15" s="233">
        <v>105</v>
      </c>
      <c r="G15" s="233">
        <v>42</v>
      </c>
      <c r="H15" s="233">
        <v>19</v>
      </c>
      <c r="I15" s="233"/>
      <c r="J15" s="234">
        <f t="shared" ref="J15:J20" si="5">SUM(E15:I15)</f>
        <v>274</v>
      </c>
      <c r="K15" s="235"/>
      <c r="L15" s="236">
        <v>35</v>
      </c>
      <c r="M15" s="237">
        <v>0</v>
      </c>
      <c r="N15" s="238"/>
      <c r="O15" s="238"/>
      <c r="P15" s="238"/>
      <c r="Q15" s="238"/>
      <c r="R15" s="239"/>
      <c r="S15" s="240">
        <f t="shared" si="1"/>
        <v>35</v>
      </c>
      <c r="T15" s="241">
        <f t="shared" si="2"/>
        <v>309</v>
      </c>
      <c r="U15" s="115">
        <f t="shared" si="3"/>
        <v>77.25</v>
      </c>
      <c r="V15">
        <f t="shared" si="4"/>
        <v>68.5</v>
      </c>
    </row>
    <row r="16" spans="1:30" ht="15.75" customHeight="1">
      <c r="A16" s="115" t="s">
        <v>67</v>
      </c>
      <c r="B16" s="95" t="s">
        <v>9</v>
      </c>
      <c r="C16" s="231" t="s">
        <v>161</v>
      </c>
      <c r="D16" s="232">
        <v>0.2</v>
      </c>
      <c r="E16" s="233">
        <v>0</v>
      </c>
      <c r="F16" s="233">
        <v>186</v>
      </c>
      <c r="G16" s="233">
        <v>0</v>
      </c>
      <c r="H16" s="233">
        <v>0</v>
      </c>
      <c r="I16" s="233"/>
      <c r="J16" s="234">
        <f t="shared" si="5"/>
        <v>186</v>
      </c>
      <c r="K16" s="235"/>
      <c r="L16" s="236"/>
      <c r="M16" s="237">
        <v>0</v>
      </c>
      <c r="N16" s="238"/>
      <c r="O16" s="238"/>
      <c r="P16" s="238"/>
      <c r="Q16" s="238"/>
      <c r="R16" s="239"/>
      <c r="S16" s="240">
        <f t="shared" si="1"/>
        <v>0</v>
      </c>
      <c r="T16" s="241">
        <f t="shared" si="2"/>
        <v>186</v>
      </c>
      <c r="U16" s="115">
        <f t="shared" si="3"/>
        <v>37.200000000000003</v>
      </c>
      <c r="V16">
        <f t="shared" si="4"/>
        <v>37.200000000000003</v>
      </c>
    </row>
    <row r="17" spans="1:22" ht="15.75" customHeight="1">
      <c r="A17" s="115" t="s">
        <v>71</v>
      </c>
      <c r="B17" s="95" t="s">
        <v>21</v>
      </c>
      <c r="C17" s="231" t="s">
        <v>12</v>
      </c>
      <c r="D17" s="232">
        <v>0.25</v>
      </c>
      <c r="E17" s="233">
        <v>92</v>
      </c>
      <c r="F17" s="233">
        <v>83</v>
      </c>
      <c r="G17" s="233">
        <v>51</v>
      </c>
      <c r="H17" s="233">
        <v>0</v>
      </c>
      <c r="I17" s="233"/>
      <c r="J17" s="234">
        <f t="shared" si="5"/>
        <v>226</v>
      </c>
      <c r="K17" s="235"/>
      <c r="L17" s="236">
        <v>93</v>
      </c>
      <c r="M17" s="237">
        <v>0</v>
      </c>
      <c r="N17" s="238"/>
      <c r="O17" s="238"/>
      <c r="P17" s="238"/>
      <c r="Q17" s="238"/>
      <c r="R17" s="239"/>
      <c r="S17" s="240">
        <f t="shared" si="1"/>
        <v>93</v>
      </c>
      <c r="T17" s="241">
        <f t="shared" si="2"/>
        <v>319</v>
      </c>
      <c r="U17" s="115">
        <f t="shared" si="3"/>
        <v>79.75</v>
      </c>
      <c r="V17">
        <f t="shared" si="4"/>
        <v>56.5</v>
      </c>
    </row>
    <row r="18" spans="1:22" ht="15.75" customHeight="1">
      <c r="A18" s="115" t="s">
        <v>68</v>
      </c>
      <c r="B18" s="95" t="s">
        <v>13</v>
      </c>
      <c r="C18" s="231" t="s">
        <v>12</v>
      </c>
      <c r="D18" s="232">
        <v>0.25</v>
      </c>
      <c r="E18" s="233">
        <v>110</v>
      </c>
      <c r="F18" s="233">
        <v>42</v>
      </c>
      <c r="G18" s="233">
        <v>60</v>
      </c>
      <c r="H18" s="233">
        <v>6</v>
      </c>
      <c r="I18" s="233"/>
      <c r="J18" s="234">
        <f t="shared" si="5"/>
        <v>218</v>
      </c>
      <c r="K18" s="235"/>
      <c r="L18" s="236">
        <v>35</v>
      </c>
      <c r="M18" s="237">
        <v>0</v>
      </c>
      <c r="N18" s="238"/>
      <c r="O18" s="238"/>
      <c r="P18" s="238"/>
      <c r="Q18" s="238"/>
      <c r="R18" s="239"/>
      <c r="S18" s="240">
        <f t="shared" si="1"/>
        <v>35</v>
      </c>
      <c r="T18" s="241">
        <f t="shared" si="2"/>
        <v>253</v>
      </c>
      <c r="U18" s="115">
        <f t="shared" si="3"/>
        <v>63.25</v>
      </c>
      <c r="V18">
        <f t="shared" si="4"/>
        <v>54.5</v>
      </c>
    </row>
    <row r="19" spans="1:22" ht="15.75" customHeight="1">
      <c r="A19" s="115" t="s">
        <v>72</v>
      </c>
      <c r="B19" s="95" t="s">
        <v>22</v>
      </c>
      <c r="C19" s="231" t="s">
        <v>12</v>
      </c>
      <c r="D19" s="232">
        <v>0.25</v>
      </c>
      <c r="E19" s="233">
        <v>54</v>
      </c>
      <c r="F19" s="233">
        <v>35</v>
      </c>
      <c r="G19" s="233">
        <v>29</v>
      </c>
      <c r="H19" s="233">
        <v>0</v>
      </c>
      <c r="I19" s="233"/>
      <c r="J19" s="234">
        <f t="shared" si="5"/>
        <v>118</v>
      </c>
      <c r="K19" s="235"/>
      <c r="L19" s="236">
        <v>31</v>
      </c>
      <c r="M19" s="237">
        <v>0</v>
      </c>
      <c r="N19" s="238"/>
      <c r="O19" s="238"/>
      <c r="P19" s="238"/>
      <c r="Q19" s="238"/>
      <c r="R19" s="239"/>
      <c r="S19" s="240">
        <f t="shared" si="1"/>
        <v>31</v>
      </c>
      <c r="T19" s="241">
        <f t="shared" si="2"/>
        <v>149</v>
      </c>
      <c r="U19" s="115">
        <f t="shared" si="3"/>
        <v>37.25</v>
      </c>
      <c r="V19">
        <f t="shared" si="4"/>
        <v>29.5</v>
      </c>
    </row>
    <row r="20" spans="1:22" ht="15.75" customHeight="1">
      <c r="A20" s="115" t="s">
        <v>70</v>
      </c>
      <c r="B20" s="95" t="s">
        <v>14</v>
      </c>
      <c r="C20" s="231" t="s">
        <v>12</v>
      </c>
      <c r="D20" s="232">
        <v>0.25</v>
      </c>
      <c r="E20" s="233">
        <v>4</v>
      </c>
      <c r="F20" s="233">
        <v>35</v>
      </c>
      <c r="G20" s="233">
        <v>26</v>
      </c>
      <c r="H20" s="233">
        <v>10</v>
      </c>
      <c r="I20" s="233"/>
      <c r="J20" s="234">
        <f t="shared" si="5"/>
        <v>75</v>
      </c>
      <c r="K20" s="235"/>
      <c r="L20" s="236"/>
      <c r="M20" s="246">
        <v>0</v>
      </c>
      <c r="N20" s="238"/>
      <c r="O20" s="238"/>
      <c r="P20" s="238"/>
      <c r="Q20" s="238"/>
      <c r="R20" s="238"/>
      <c r="S20" s="240">
        <f t="shared" si="1"/>
        <v>0</v>
      </c>
      <c r="T20" s="241">
        <f t="shared" si="2"/>
        <v>75</v>
      </c>
      <c r="U20" s="115">
        <f t="shared" si="3"/>
        <v>18.75</v>
      </c>
      <c r="V20">
        <f t="shared" si="4"/>
        <v>18.75</v>
      </c>
    </row>
  </sheetData>
  <autoFilter ref="A3:AC20" xr:uid="{ADF1EF9B-0417-459A-9CD0-44275E16E652}"/>
  <pageMargins left="0.70000000000000007" right="0.70000000000000007" top="0.75" bottom="0.75" header="0.30000000000000004" footer="0.30000000000000004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39A35-D747-45B2-BF03-FD7137BDFFE0}">
  <sheetPr>
    <pageSetUpPr fitToPage="1"/>
  </sheetPr>
  <dimension ref="A1:BT21"/>
  <sheetViews>
    <sheetView workbookViewId="0"/>
  </sheetViews>
  <sheetFormatPr defaultColWidth="12" defaultRowHeight="15.75" customHeight="1"/>
  <cols>
    <col min="1" max="1" width="6.36328125" customWidth="1"/>
    <col min="2" max="2" width="8" customWidth="1"/>
    <col min="3" max="3" width="11.7265625" customWidth="1"/>
    <col min="4" max="4" width="33" customWidth="1"/>
    <col min="5" max="5" width="6.36328125" customWidth="1"/>
    <col min="6" max="6" width="11.7265625" hidden="1" customWidth="1"/>
    <col min="7" max="8" width="10.6328125" hidden="1" customWidth="1"/>
    <col min="9" max="10" width="7.7265625" hidden="1" customWidth="1"/>
    <col min="11" max="11" width="9.90625" hidden="1" customWidth="1"/>
    <col min="12" max="12" width="13.6328125" hidden="1" customWidth="1"/>
    <col min="13" max="13" width="13.6328125" customWidth="1"/>
    <col min="14" max="14" width="8.81640625" customWidth="1"/>
    <col min="15" max="15" width="7.7265625" customWidth="1"/>
    <col min="16" max="16" width="8.26953125" customWidth="1"/>
    <col min="17" max="20" width="7.7265625" customWidth="1"/>
    <col min="21" max="22" width="13.90625" customWidth="1"/>
    <col min="23" max="23" width="14.54296875" customWidth="1"/>
    <col min="24" max="30" width="9.26953125" customWidth="1"/>
    <col min="31" max="31" width="13.90625" customWidth="1"/>
    <col min="32" max="32" width="14.81640625" customWidth="1"/>
    <col min="33" max="33" width="14.7265625" customWidth="1"/>
    <col min="34" max="34" width="8.26953125" customWidth="1"/>
    <col min="35" max="35" width="7.7265625" customWidth="1"/>
    <col min="36" max="40" width="8.26953125" customWidth="1"/>
    <col min="41" max="41" width="14.7265625" customWidth="1"/>
    <col min="42" max="43" width="14.54296875" customWidth="1"/>
    <col min="44" max="49" width="8.26953125" customWidth="1"/>
    <col min="50" max="52" width="9.26953125" customWidth="1"/>
    <col min="53" max="53" width="14.26953125" customWidth="1"/>
    <col min="54" max="55" width="14.54296875" customWidth="1"/>
    <col min="56" max="56" width="13.90625" customWidth="1"/>
    <col min="57" max="57" width="16.453125" customWidth="1"/>
    <col min="58" max="58" width="17.54296875" customWidth="1"/>
    <col min="59" max="59" width="18.36328125" customWidth="1"/>
    <col min="60" max="60" width="36" customWidth="1"/>
    <col min="61" max="61" width="34.08984375" customWidth="1"/>
    <col min="62" max="62" width="18.81640625" customWidth="1"/>
    <col min="63" max="63" width="19.1796875" customWidth="1"/>
    <col min="64" max="64" width="14.81640625" customWidth="1"/>
    <col min="65" max="65" width="12" customWidth="1"/>
  </cols>
  <sheetData>
    <row r="1" spans="1:72" ht="22.5" customHeight="1">
      <c r="A1" s="248"/>
      <c r="B1" s="249"/>
      <c r="C1" s="249"/>
      <c r="D1" s="250"/>
      <c r="E1" s="249"/>
      <c r="F1" s="249">
        <f t="shared" ref="F1:K1" si="0">SUBTOTAL(9,F3:F19)</f>
        <v>0</v>
      </c>
      <c r="G1" s="249">
        <f t="shared" si="0"/>
        <v>0</v>
      </c>
      <c r="H1" s="249">
        <f t="shared" si="0"/>
        <v>0</v>
      </c>
      <c r="I1" s="249">
        <f t="shared" si="0"/>
        <v>0</v>
      </c>
      <c r="J1" s="249">
        <f t="shared" si="0"/>
        <v>0</v>
      </c>
      <c r="K1" s="249">
        <f t="shared" si="0"/>
        <v>0</v>
      </c>
      <c r="L1" s="249"/>
      <c r="M1" s="249">
        <f t="shared" ref="M1:BF1" si="1">SUBTOTAL(9,M3:M19)</f>
        <v>0</v>
      </c>
      <c r="N1" s="249">
        <f t="shared" si="1"/>
        <v>0</v>
      </c>
      <c r="O1" s="249">
        <f t="shared" si="1"/>
        <v>0</v>
      </c>
      <c r="P1" s="249">
        <f t="shared" si="1"/>
        <v>0</v>
      </c>
      <c r="Q1" s="249">
        <f t="shared" si="1"/>
        <v>0</v>
      </c>
      <c r="R1" s="249">
        <f t="shared" si="1"/>
        <v>0</v>
      </c>
      <c r="S1" s="249">
        <f t="shared" si="1"/>
        <v>0</v>
      </c>
      <c r="T1" s="249">
        <f t="shared" si="1"/>
        <v>0</v>
      </c>
      <c r="U1" s="249">
        <f t="shared" si="1"/>
        <v>0</v>
      </c>
      <c r="V1" s="249">
        <f t="shared" si="1"/>
        <v>0</v>
      </c>
      <c r="W1" s="249">
        <f t="shared" si="1"/>
        <v>0</v>
      </c>
      <c r="X1" s="249" t="e">
        <f t="shared" si="1"/>
        <v>#N/A</v>
      </c>
      <c r="Y1" s="249" t="e">
        <f t="shared" si="1"/>
        <v>#N/A</v>
      </c>
      <c r="Z1" s="249" t="e">
        <f t="shared" si="1"/>
        <v>#N/A</v>
      </c>
      <c r="AA1" s="249" t="e">
        <f t="shared" si="1"/>
        <v>#N/A</v>
      </c>
      <c r="AB1" s="249" t="e">
        <f t="shared" si="1"/>
        <v>#N/A</v>
      </c>
      <c r="AC1" s="249" t="e">
        <f t="shared" si="1"/>
        <v>#N/A</v>
      </c>
      <c r="AD1" s="249" t="e">
        <f t="shared" si="1"/>
        <v>#N/A</v>
      </c>
      <c r="AE1" s="249" t="e">
        <f t="shared" si="1"/>
        <v>#N/A</v>
      </c>
      <c r="AF1" s="249" t="e">
        <f t="shared" si="1"/>
        <v>#N/A</v>
      </c>
      <c r="AG1" s="249">
        <f t="shared" si="1"/>
        <v>0</v>
      </c>
      <c r="AH1" s="249" t="e">
        <f t="shared" si="1"/>
        <v>#N/A</v>
      </c>
      <c r="AI1" s="249" t="e">
        <f t="shared" si="1"/>
        <v>#N/A</v>
      </c>
      <c r="AJ1" s="249" t="e">
        <f t="shared" si="1"/>
        <v>#N/A</v>
      </c>
      <c r="AK1" s="249" t="e">
        <f t="shared" si="1"/>
        <v>#N/A</v>
      </c>
      <c r="AL1" s="249" t="e">
        <f t="shared" si="1"/>
        <v>#N/A</v>
      </c>
      <c r="AM1" s="249" t="e">
        <f t="shared" si="1"/>
        <v>#N/A</v>
      </c>
      <c r="AN1" s="249" t="e">
        <f t="shared" si="1"/>
        <v>#N/A</v>
      </c>
      <c r="AO1" s="249" t="e">
        <f t="shared" si="1"/>
        <v>#N/A</v>
      </c>
      <c r="AP1" s="249" t="e">
        <f t="shared" si="1"/>
        <v>#N/A</v>
      </c>
      <c r="AQ1" s="249">
        <f t="shared" si="1"/>
        <v>0</v>
      </c>
      <c r="AR1" s="249" t="e">
        <f t="shared" si="1"/>
        <v>#N/A</v>
      </c>
      <c r="AS1" s="249" t="e">
        <f t="shared" si="1"/>
        <v>#N/A</v>
      </c>
      <c r="AT1" s="249" t="e">
        <f t="shared" si="1"/>
        <v>#N/A</v>
      </c>
      <c r="AU1" s="249" t="e">
        <f t="shared" si="1"/>
        <v>#N/A</v>
      </c>
      <c r="AV1" s="249" t="e">
        <f t="shared" si="1"/>
        <v>#N/A</v>
      </c>
      <c r="AW1" s="249" t="e">
        <f t="shared" si="1"/>
        <v>#N/A</v>
      </c>
      <c r="AX1" s="249" t="e">
        <f t="shared" si="1"/>
        <v>#REF!</v>
      </c>
      <c r="AY1" s="249" t="e">
        <f t="shared" si="1"/>
        <v>#REF!</v>
      </c>
      <c r="AZ1" s="249" t="e">
        <f t="shared" si="1"/>
        <v>#REF!</v>
      </c>
      <c r="BA1" s="249" t="e">
        <f t="shared" si="1"/>
        <v>#REF!</v>
      </c>
      <c r="BB1" s="249" t="e">
        <f t="shared" si="1"/>
        <v>#REF!</v>
      </c>
      <c r="BC1" s="249">
        <f t="shared" si="1"/>
        <v>0</v>
      </c>
      <c r="BD1" s="249" t="e">
        <f t="shared" si="1"/>
        <v>#REF!</v>
      </c>
      <c r="BE1" s="249" t="e">
        <f t="shared" si="1"/>
        <v>#REF!</v>
      </c>
      <c r="BF1" s="249" t="e">
        <f t="shared" si="1"/>
        <v>#REF!</v>
      </c>
      <c r="BG1" s="251" t="e">
        <f>BD1/M1</f>
        <v>#REF!</v>
      </c>
      <c r="BH1" s="248"/>
      <c r="BI1" s="248"/>
      <c r="BJ1" s="248"/>
      <c r="BK1" s="248"/>
      <c r="BL1" s="248"/>
      <c r="BM1" s="81"/>
      <c r="BN1" s="81"/>
      <c r="BO1" s="81"/>
      <c r="BP1" s="81"/>
      <c r="BQ1" s="81"/>
      <c r="BR1" s="81"/>
      <c r="BS1" s="81"/>
      <c r="BT1" s="81"/>
    </row>
    <row r="2" spans="1:72" ht="56">
      <c r="A2" s="252" t="s">
        <v>106</v>
      </c>
      <c r="B2" s="252" t="s">
        <v>6</v>
      </c>
      <c r="C2" s="253" t="s">
        <v>59</v>
      </c>
      <c r="D2" s="253" t="s">
        <v>108</v>
      </c>
      <c r="E2" s="254" t="s">
        <v>109</v>
      </c>
      <c r="F2" s="253" t="s">
        <v>36</v>
      </c>
      <c r="G2" s="255" t="s">
        <v>202</v>
      </c>
      <c r="H2" s="255" t="s">
        <v>203</v>
      </c>
      <c r="I2" s="256" t="s">
        <v>204</v>
      </c>
      <c r="J2" s="256" t="s">
        <v>49</v>
      </c>
      <c r="K2" s="256" t="s">
        <v>51</v>
      </c>
      <c r="L2" s="256" t="s">
        <v>205</v>
      </c>
      <c r="M2" s="257" t="s">
        <v>206</v>
      </c>
      <c r="N2" s="183" t="s">
        <v>165</v>
      </c>
      <c r="O2" s="183">
        <v>26</v>
      </c>
      <c r="P2" s="183">
        <v>27</v>
      </c>
      <c r="Q2" s="183">
        <v>28</v>
      </c>
      <c r="R2" s="183">
        <v>29</v>
      </c>
      <c r="S2" s="183">
        <v>30</v>
      </c>
      <c r="T2" s="183">
        <v>31</v>
      </c>
      <c r="U2" s="183" t="s">
        <v>166</v>
      </c>
      <c r="V2" s="183" t="s">
        <v>167</v>
      </c>
      <c r="W2" s="183" t="s">
        <v>168</v>
      </c>
      <c r="X2" s="183">
        <v>1</v>
      </c>
      <c r="Y2" s="183">
        <v>2</v>
      </c>
      <c r="Z2" s="183">
        <v>3</v>
      </c>
      <c r="AA2" s="183">
        <v>4</v>
      </c>
      <c r="AB2" s="183">
        <v>5</v>
      </c>
      <c r="AC2" s="183">
        <v>6</v>
      </c>
      <c r="AD2" s="183">
        <v>7</v>
      </c>
      <c r="AE2" s="183" t="s">
        <v>169</v>
      </c>
      <c r="AF2" s="183" t="s">
        <v>170</v>
      </c>
      <c r="AG2" s="183" t="s">
        <v>171</v>
      </c>
      <c r="AH2" s="183">
        <v>8</v>
      </c>
      <c r="AI2" s="183">
        <v>9</v>
      </c>
      <c r="AJ2" s="183">
        <v>10</v>
      </c>
      <c r="AK2" s="183">
        <v>11</v>
      </c>
      <c r="AL2" s="183">
        <v>12</v>
      </c>
      <c r="AM2" s="183">
        <v>13</v>
      </c>
      <c r="AN2" s="183">
        <v>14</v>
      </c>
      <c r="AO2" s="183" t="s">
        <v>172</v>
      </c>
      <c r="AP2" s="183" t="s">
        <v>173</v>
      </c>
      <c r="AQ2" s="183" t="s">
        <v>174</v>
      </c>
      <c r="AR2" s="183">
        <v>15</v>
      </c>
      <c r="AS2" s="183">
        <v>16</v>
      </c>
      <c r="AT2" s="183">
        <v>17</v>
      </c>
      <c r="AU2" s="183">
        <v>18</v>
      </c>
      <c r="AV2" s="183">
        <v>19</v>
      </c>
      <c r="AW2" s="183">
        <v>20</v>
      </c>
      <c r="AX2" s="183">
        <v>21</v>
      </c>
      <c r="AY2" s="183">
        <v>22</v>
      </c>
      <c r="AZ2" s="183">
        <v>23</v>
      </c>
      <c r="BA2" s="90" t="s">
        <v>175</v>
      </c>
      <c r="BB2" s="90" t="s">
        <v>176</v>
      </c>
      <c r="BC2" s="90" t="s">
        <v>177</v>
      </c>
      <c r="BD2" s="157" t="s">
        <v>150</v>
      </c>
      <c r="BE2" s="158" t="s">
        <v>112</v>
      </c>
      <c r="BF2" s="159" t="s">
        <v>151</v>
      </c>
      <c r="BG2" s="160" t="s">
        <v>115</v>
      </c>
      <c r="BH2" s="90" t="s">
        <v>63</v>
      </c>
      <c r="BI2" s="90" t="s">
        <v>130</v>
      </c>
      <c r="BJ2" s="91" t="s">
        <v>131</v>
      </c>
      <c r="BK2" s="91" t="s">
        <v>132</v>
      </c>
      <c r="BL2" s="91" t="s">
        <v>133</v>
      </c>
      <c r="BM2" s="258"/>
      <c r="BN2" s="258"/>
      <c r="BO2" s="258"/>
      <c r="BP2" s="258"/>
      <c r="BQ2" s="258"/>
      <c r="BR2" s="258"/>
      <c r="BS2" s="258"/>
      <c r="BT2" s="258"/>
    </row>
    <row r="3" spans="1:72" ht="18">
      <c r="A3" s="188">
        <v>1</v>
      </c>
      <c r="B3" s="94" t="s">
        <v>12</v>
      </c>
      <c r="C3" s="95" t="s">
        <v>79</v>
      </c>
      <c r="D3" s="95" t="s">
        <v>37</v>
      </c>
      <c r="E3" s="96">
        <v>0.5</v>
      </c>
      <c r="F3" s="259"/>
      <c r="G3" s="259"/>
      <c r="H3" s="259"/>
      <c r="I3" s="260"/>
      <c r="J3" s="260"/>
      <c r="K3" s="260"/>
      <c r="L3" s="260"/>
      <c r="M3" s="261">
        <f t="shared" ref="M3:M20" si="2">IFERROR(SUM(F3:L3),)</f>
        <v>0</v>
      </c>
      <c r="N3" s="262">
        <v>0</v>
      </c>
      <c r="O3" s="262">
        <v>0</v>
      </c>
      <c r="P3" s="262">
        <v>0</v>
      </c>
      <c r="Q3" s="262">
        <v>0</v>
      </c>
      <c r="R3" s="262">
        <v>0</v>
      </c>
      <c r="S3" s="262">
        <v>0</v>
      </c>
      <c r="T3" s="262">
        <v>0</v>
      </c>
      <c r="U3" s="263">
        <f t="shared" ref="U3:U20" si="3">SUM(N3:T3)</f>
        <v>0</v>
      </c>
      <c r="V3" s="264">
        <f t="shared" ref="V3:V20" si="4">U3*E3</f>
        <v>0</v>
      </c>
      <c r="W3" s="192">
        <f t="shared" ref="W3:W21" si="5">M3*40%</f>
        <v>0</v>
      </c>
      <c r="X3" s="262">
        <f>SUM(_xlfn.XLOOKUP($C3, 'INT-_Manjiri'!$C:$C, 'INT-_Manjiri'!O:O), _xlfn.XLOOKUP($C3, 'USA-_Sea_shipment'!$C:$C, 'USA-_Sea_shipment'!S:S), _xlfn.XLOOKUP($C3, UK!$C:$C, UK!Q:Q), _xlfn.XLOOKUP($C3, Domestic!$C:$C, Domestic!Q:Q), _xlfn.XLOOKUP($C3, MENA!$C:$C, MENA!O:O), _xlfn.XLOOKUP($C3, Amazon_USA_Air_Shipment!$C:$C, Amazon_USA_Air_Shipment!O:O), _xlfn.XLOOKUP($C3, BMM_Order!$C:$C, BMM_Order!$G:$G))</f>
        <v>538</v>
      </c>
      <c r="Y3" s="262">
        <f>SUM(_xlfn.XLOOKUP($C3, 'INT-_Manjiri'!$C:$C, 'INT-_Manjiri'!P:P), _xlfn.XLOOKUP($C3, 'USA-_Sea_shipment'!$C:$C, 'USA-_Sea_shipment'!T:T), _xlfn.XLOOKUP($C3, UK!$C:$C, UK!R:R), _xlfn.XLOOKUP($C3, Domestic!$C:$C, Domestic!R:R), _xlfn.XLOOKUP($C3, MENA!$C:$C, MENA!P:P), _xlfn.XLOOKUP($C3, Amazon_USA_Air_Shipment!$C:$C, Amazon_USA_Air_Shipment!P:P), _xlfn.XLOOKUP($C3, BMM_Order!$C:$C, BMM_Order!$G:$G))</f>
        <v>840</v>
      </c>
      <c r="Z3" s="262">
        <f>SUM(_xlfn.XLOOKUP($C3, 'INT-_Manjiri'!$C:$C, 'INT-_Manjiri'!Q:Q), _xlfn.XLOOKUP($C3, 'USA-_Sea_shipment'!$C:$C, 'USA-_Sea_shipment'!U:U), _xlfn.XLOOKUP($C3, UK!$C:$C, UK!S:S), _xlfn.XLOOKUP($C3, Domestic!$C:$C, Domestic!S:S), _xlfn.XLOOKUP($C3, MENA!$C:$C, MENA!Q:Q), _xlfn.XLOOKUP($C3, Amazon_USA_Air_Shipment!$C:$C, Amazon_USA_Air_Shipment!Q:Q), _xlfn.XLOOKUP($C3, BMM_Order!$C:$C, BMM_Order!$G:$G))</f>
        <v>1253</v>
      </c>
      <c r="AA3" s="262">
        <f>SUM(_xlfn.XLOOKUP($C3, 'INT-_Manjiri'!$C:$C, 'INT-_Manjiri'!R:R), _xlfn.XLOOKUP($C3, 'USA-_Sea_shipment'!$C:$C, 'USA-_Sea_shipment'!V:V), _xlfn.XLOOKUP($C3, UK!$C:$C, UK!T:T), _xlfn.XLOOKUP($C3, Domestic!$C:$C, Domestic!T:T), _xlfn.XLOOKUP($C3, MENA!$C:$C, MENA!R:R), _xlfn.XLOOKUP($C3, Amazon_USA_Air_Shipment!$C:$C, Amazon_USA_Air_Shipment!R:R), _xlfn.XLOOKUP($C3, BMM_Order!$C:$C, BMM_Order!$G:$G))</f>
        <v>2120</v>
      </c>
      <c r="AB3" s="262">
        <f>SUM(_xlfn.XLOOKUP($C3, 'INT-_Manjiri'!$C:$C, 'INT-_Manjiri'!S:S), _xlfn.XLOOKUP($C3, 'USA-_Sea_shipment'!$C:$C, 'USA-_Sea_shipment'!W:W), _xlfn.XLOOKUP($C3, UK!$C:$C, UK!U:U), _xlfn.XLOOKUP($C3, Domestic!$C:$C, Domestic!U:U), _xlfn.XLOOKUP($C3, MENA!$C:$C, MENA!S:S), _xlfn.XLOOKUP($C3, Amazon_USA_Air_Shipment!$C:$C, Amazon_USA_Air_Shipment!S:S), _xlfn.XLOOKUP($C3, BMM_Order!$C:$C, BMM_Order!$G:$G))</f>
        <v>0</v>
      </c>
      <c r="AC3" s="262">
        <f>SUM(_xlfn.XLOOKUP($C3, 'INT-_Manjiri'!$C:$C, 'INT-_Manjiri'!T:T), _xlfn.XLOOKUP($C3, 'USA-_Sea_shipment'!$C:$C, 'USA-_Sea_shipment'!X:X), _xlfn.XLOOKUP($C3, UK!$C:$C, UK!V:V), _xlfn.XLOOKUP($C3, Domestic!$C:$C, Domestic!V:V), _xlfn.XLOOKUP($C3, MENA!$C:$C, MENA!T:T), _xlfn.XLOOKUP($C3, Amazon_USA_Air_Shipment!$C:$C, Amazon_USA_Air_Shipment!T:T), _xlfn.XLOOKUP($C3, BMM_Order!$C:$C, BMM_Order!$G:$G))</f>
        <v>0</v>
      </c>
      <c r="AD3" s="262">
        <f>SUM(_xlfn.XLOOKUP($C3, 'INT-_Manjiri'!$C:$C, 'INT-_Manjiri'!U:U), _xlfn.XLOOKUP($C3, 'USA-_Sea_shipment'!$C:$C, 'USA-_Sea_shipment'!Y:Y), _xlfn.XLOOKUP($C3, UK!$C:$C, UK!W:W), _xlfn.XLOOKUP($C3, Domestic!$C:$C, Domestic!W:W), _xlfn.XLOOKUP($C3, MENA!$C:$C, MENA!U:U), _xlfn.XLOOKUP($C3, Amazon_USA_Air_Shipment!$C:$C, Amazon_USA_Air_Shipment!U:U), _xlfn.XLOOKUP($C3, BMM_Order!$C:$C, BMM_Order!$G:$G))</f>
        <v>1511</v>
      </c>
      <c r="AE3" s="263">
        <f t="shared" ref="AE3:AE20" si="6">SUM(X3:AD3)</f>
        <v>6262</v>
      </c>
      <c r="AF3" s="264">
        <f t="shared" ref="AF3:AF20" si="7">AE3*E3</f>
        <v>3131</v>
      </c>
      <c r="AG3" s="265">
        <f t="shared" ref="AG3:AG20" si="8">M3*30%</f>
        <v>0</v>
      </c>
      <c r="AH3" s="262">
        <f>SUM(_xlfn.XLOOKUP($C3, 'INT-_Manjiri'!$C:$C, 'INT-_Manjiri'!V:V), _xlfn.XLOOKUP($C3, 'USA-_Sea_shipment'!$C:$C, 'USA-_Sea_shipment'!AC:AC), _xlfn.XLOOKUP($C3, UK!$C:$C, UK!AA:AA), _xlfn.XLOOKUP($C3, Domestic!$C:$C, Domestic!X:X), _xlfn.XLOOKUP($C3, MENA!$C:$C, MENA!V:V), _xlfn.XLOOKUP($C3, Amazon_USA_Air_Shipment!$C:$C, Amazon_USA_Air_Shipment!V:V))</f>
        <v>0</v>
      </c>
      <c r="AI3" s="262">
        <f>SUM(_xlfn.XLOOKUP($C3, 'INT-_Manjiri'!$C:$C, 'INT-_Manjiri'!W:W), _xlfn.XLOOKUP($C3, 'USA-_Sea_shipment'!$C:$C, 'USA-_Sea_shipment'!AD:AD), _xlfn.XLOOKUP($C3, UK!$C:$C, UK!AB:AB), _xlfn.XLOOKUP($C3, Domestic!$C:$C, Domestic!Y:Y), _xlfn.XLOOKUP($C3, MENA!$C:$C, MENA!W:W), _xlfn.XLOOKUP($C3, Amazon_USA_Air_Shipment!$C:$C, Amazon_USA_Air_Shipment!W:W))</f>
        <v>0</v>
      </c>
      <c r="AJ3" s="262">
        <f>SUM(_xlfn.XLOOKUP($C3, 'INT-_Manjiri'!$C:$C, 'INT-_Manjiri'!X:X), _xlfn.XLOOKUP($C3, 'USA-_Sea_shipment'!$C:$C, 'USA-_Sea_shipment'!AE:AE), _xlfn.XLOOKUP($C3, UK!$C:$C, UK!AC:AC), _xlfn.XLOOKUP($C3, Domestic!$C:$C, Domestic!Z:Z), _xlfn.XLOOKUP($C3, MENA!$C:$C, MENA!X:X), _xlfn.XLOOKUP($C3, Amazon_USA_Air_Shipment!$C:$C, Amazon_USA_Air_Shipment!X:X))</f>
        <v>280</v>
      </c>
      <c r="AK3" s="262">
        <f>SUM(_xlfn.XLOOKUP($C3, 'INT-_Manjiri'!$C:$C, 'INT-_Manjiri'!Y:Y), _xlfn.XLOOKUP($C3, 'USA-_Sea_shipment'!$C:$C, 'USA-_Sea_shipment'!AF:AF), _xlfn.XLOOKUP($C3, UK!$C:$C, UK!AD:AD), _xlfn.XLOOKUP($C3, Domestic!$C:$C, Domestic!AA:AA), _xlfn.XLOOKUP($C3, MENA!$C:$C, MENA!Y:Y), _xlfn.XLOOKUP($C3, Amazon_USA_Air_Shipment!$C:$C, Amazon_USA_Air_Shipment!Y:Y))</f>
        <v>0</v>
      </c>
      <c r="AL3" s="262">
        <f>SUM(_xlfn.XLOOKUP($C3, 'INT-_Manjiri'!$C:$C, 'INT-_Manjiri'!Z:Z), _xlfn.XLOOKUP($C3, 'USA-_Sea_shipment'!$C:$C, 'USA-_Sea_shipment'!AG:AG), _xlfn.XLOOKUP($C3, UK!$C:$C, UK!AE:AE), _xlfn.XLOOKUP($C3, Domestic!$C:$C, Domestic!AB:AB), _xlfn.XLOOKUP($C3, MENA!$C:$C, MENA!Z:Z), _xlfn.XLOOKUP($C3, Amazon_USA_Air_Shipment!$C:$C, Amazon_USA_Air_Shipment!Z:Z))</f>
        <v>0</v>
      </c>
      <c r="AM3" s="262">
        <f>SUM(_xlfn.XLOOKUP($C3, 'INT-_Manjiri'!$C:$C, 'INT-_Manjiri'!AA:AA), _xlfn.XLOOKUP($C3, 'USA-_Sea_shipment'!$C:$C, 'USA-_Sea_shipment'!AH:AH), _xlfn.XLOOKUP($C3, UK!$C:$C, UK!AF:AF), _xlfn.XLOOKUP($C3, Domestic!$C:$C, Domestic!AC:AC), _xlfn.XLOOKUP($C3, MENA!$C:$C, MENA!AA:AA), _xlfn.XLOOKUP($C3, Amazon_USA_Air_Shipment!$C:$C, Amazon_USA_Air_Shipment!AA:AA))</f>
        <v>0</v>
      </c>
      <c r="AN3" s="262">
        <f>SUM(_xlfn.XLOOKUP($C3, 'INT-_Manjiri'!$C:$C, 'INT-_Manjiri'!AB:AB), _xlfn.XLOOKUP($C3, 'USA-_Sea_shipment'!$C:$C, 'USA-_Sea_shipment'!AI:AI), _xlfn.XLOOKUP($C3, UK!$C:$C, UK!AG:AG), _xlfn.XLOOKUP($C3, Domestic!$C:$C, Domestic!AD:AD), _xlfn.XLOOKUP($C3, MENA!$C:$C, MENA!AB:AB), _xlfn.XLOOKUP($C3, Amazon_USA_Air_Shipment!$C:$C, Amazon_USA_Air_Shipment!AB:AB))</f>
        <v>0</v>
      </c>
      <c r="AO3" s="264">
        <f t="shared" ref="AO3:AO20" si="9">AP3*E3</f>
        <v>140</v>
      </c>
      <c r="AP3" s="263">
        <f t="shared" ref="AP3:AP20" si="10">SUM(AH3:AN3)</f>
        <v>280</v>
      </c>
      <c r="AQ3" s="265">
        <f t="shared" ref="AQ3:AQ20" si="11">M3*20%</f>
        <v>0</v>
      </c>
      <c r="AR3" s="262">
        <f>SUM(_xlfn.XLOOKUP($C3, 'INT-_Manjiri'!$C:$C, 'INT-_Manjiri'!AC:AC), _xlfn.XLOOKUP($C3, 'USA-_Sea_shipment'!$C:$C, 'USA-_Sea_shipment'!AT:AT), _xlfn.XLOOKUP($C3, UK!$C:$C, UK!AK:AK), _xlfn.XLOOKUP($C3, Domestic!$C:$C, Domestic!AE:AE), _xlfn.XLOOKUP($C3, MENA!$C:$C, MENA!AC:AC), _xlfn.XLOOKUP($C3, Amazon_USA_Air_Shipment!$C:$C, Amazon_USA_Air_Shipment!AC:AC))</f>
        <v>1460</v>
      </c>
      <c r="AS3" s="262">
        <f>SUM(_xlfn.XLOOKUP($C3, 'INT-_Manjiri'!$C:$C, 'INT-_Manjiri'!AD:AD), _xlfn.XLOOKUP($C3, 'USA-_Sea_shipment'!$C:$C, 'USA-_Sea_shipment'!AU:AU), _xlfn.XLOOKUP($C3, UK!$C:$C, UK!AL:AL), _xlfn.XLOOKUP($C3, Domestic!$C:$C, Domestic!AF:AF), _xlfn.XLOOKUP($C3, MENA!$C:$C, MENA!AD:AD), _xlfn.XLOOKUP($C3, Amazon_USA_Air_Shipment!$C:$C, Amazon_USA_Air_Shipment!AD:AD))</f>
        <v>730</v>
      </c>
      <c r="AT3" s="262">
        <f>SUM(_xlfn.XLOOKUP($C3, 'INT-_Manjiri'!$C:$C, 'INT-_Manjiri'!AE:AE), _xlfn.XLOOKUP($C3, 'USA-_Sea_shipment'!$C:$C, 'USA-_Sea_shipment'!AV:AV), _xlfn.XLOOKUP($C3, UK!$C:$C, UK!AM:AM), _xlfn.XLOOKUP($C3, Domestic!$C:$C, Domestic!AG:AG), _xlfn.XLOOKUP($C3, MENA!$C:$C, MENA!AE:AE), _xlfn.XLOOKUP($C3, Amazon_USA_Air_Shipment!$C:$C, Amazon_USA_Air_Shipment!AE:AE))</f>
        <v>407</v>
      </c>
      <c r="AU3" s="262">
        <f>SUM(_xlfn.XLOOKUP($C3, 'INT-_Manjiri'!$C:$C, 'INT-_Manjiri'!AF:AF), _xlfn.XLOOKUP($C3, 'USA-_Sea_shipment'!$C:$C, 'USA-_Sea_shipment'!AW:AW), _xlfn.XLOOKUP($C3, UK!$C:$C, UK!AN:AN), _xlfn.XLOOKUP($C3, Domestic!$C:$C, Domestic!AH:AH), _xlfn.XLOOKUP($C3, MENA!$C:$C, MENA!AF:AF), _xlfn.XLOOKUP($C3, Amazon_USA_Air_Shipment!$C:$C, Amazon_USA_Air_Shipment!AF:AF))</f>
        <v>1383</v>
      </c>
      <c r="AV3" s="262">
        <f>SUM(_xlfn.XLOOKUP($C3, 'INT-_Manjiri'!$C:$C, 'INT-_Manjiri'!AG:AG), _xlfn.XLOOKUP($C3, 'USA-_Sea_shipment'!$C:$C, 'USA-_Sea_shipment'!AX:AX), _xlfn.XLOOKUP($C3, UK!$C:$C, UK!AO:AO), _xlfn.XLOOKUP($C3, Domestic!$C:$C, Domestic!AI:AI), _xlfn.XLOOKUP($C3, MENA!$C:$C, MENA!AG:AG), _xlfn.XLOOKUP($C3, Amazon_USA_Air_Shipment!$C:$C, Amazon_USA_Air_Shipment!AG:AG))</f>
        <v>913.02384291725105</v>
      </c>
      <c r="AW3" s="262">
        <f>SUM(_xlfn.XLOOKUP($C3, 'INT-_Manjiri'!$C:$C, 'INT-_Manjiri'!AH:AH), _xlfn.XLOOKUP($C3, 'USA-_Sea_shipment'!$C:$C, 'USA-_Sea_shipment'!AY:AY), _xlfn.XLOOKUP($C3, UK!$C:$C, UK!AP:AP), _xlfn.XLOOKUP($C3, Domestic!$C:$C, Domestic!AJ:AJ), _xlfn.XLOOKUP($C3, MENA!$C:$C, MENA!AH:AH), _xlfn.XLOOKUP($C3, Amazon_USA_Air_Shipment!$C:$C, Amazon_USA_Air_Shipment!AH:AH))</f>
        <v>0</v>
      </c>
      <c r="AX3" s="262" t="e">
        <f>SUM(_xlfn.XLOOKUP($C3, 'INT-_Manjiri'!$C:$C, 'INT-_Manjiri'!AI:AI), _xlfn.XLOOKUP($C3, 'USA-_Sea_shipment'!$C:$C, 'USA-_Sea_shipment'!#REF!), _xlfn.XLOOKUP($C3, UK!$C:$C, UK!AQ:AQ), _xlfn.XLOOKUP($C3, Domestic!$C:$C, Domestic!AK:AK), _xlfn.XLOOKUP($C3, MENA!$C:$C, MENA!AI:AI), _xlfn.XLOOKUP($C3, Amazon_USA_Air_Shipment!$C:$C, Amazon_USA_Air_Shipment!AI:AI))</f>
        <v>#REF!</v>
      </c>
      <c r="AY3" s="262" t="e">
        <f>SUM(_xlfn.XLOOKUP($C3, 'INT-_Manjiri'!$C:$C, 'INT-_Manjiri'!AJ:AJ), _xlfn.XLOOKUP($C3, 'USA-_Sea_shipment'!$C:$C, 'USA-_Sea_shipment'!#REF!), _xlfn.XLOOKUP($C3, UK!$C:$C, UK!AR:AR), _xlfn.XLOOKUP($C3, Domestic!$C:$C, Domestic!AL:AL), _xlfn.XLOOKUP($C3, MENA!$C:$C, MENA!AJ:AJ), _xlfn.XLOOKUP($C3, Amazon_USA_Air_Shipment!$C:$C, Amazon_USA_Air_Shipment!AJ:AJ))</f>
        <v>#REF!</v>
      </c>
      <c r="AZ3" s="262" t="e">
        <f>SUM(_xlfn.XLOOKUP($C3, 'INT-_Manjiri'!$C:$C, 'INT-_Manjiri'!AK:AK), _xlfn.XLOOKUP($C3, 'USA-_Sea_shipment'!$C:$C, 'USA-_Sea_shipment'!#REF!), _xlfn.XLOOKUP($C3, UK!$C:$C, UK!AS:AS), _xlfn.XLOOKUP($C3, Domestic!$C:$C, Domestic!AM:AM), _xlfn.XLOOKUP($C3, MENA!$C:$C, MENA!AK:AK), _xlfn.XLOOKUP($C3, Amazon_USA_Air_Shipment!$C:$C, Amazon_USA_Air_Shipment!AK:AK))</f>
        <v>#REF!</v>
      </c>
      <c r="BA3" s="263" t="e">
        <f t="shared" ref="BA3:BA20" si="12">SUM(AR3:AZ3)</f>
        <v>#REF!</v>
      </c>
      <c r="BB3" s="264" t="e">
        <f t="shared" ref="BB3:BB20" si="13">BA3*M3</f>
        <v>#REF!</v>
      </c>
      <c r="BC3" s="265">
        <f t="shared" ref="BC3:BC20" si="14">M3*10%</f>
        <v>0</v>
      </c>
      <c r="BD3" s="263" t="e">
        <f t="shared" ref="BD3:BD20" si="15">U3+AE3+AP3+BA3</f>
        <v>#REF!</v>
      </c>
      <c r="BE3" s="264" t="e">
        <f t="shared" ref="BE3:BE20" si="16">BD3*E3</f>
        <v>#REF!</v>
      </c>
      <c r="BF3" s="264" t="e">
        <f t="shared" ref="BF3:BF20" si="17">BD3-M3</f>
        <v>#REF!</v>
      </c>
      <c r="BG3" s="266">
        <f t="shared" ref="BG3:BG20" si="18">IFERROR(BD3/M3,)</f>
        <v>0</v>
      </c>
      <c r="BH3" s="267"/>
      <c r="BI3" s="267"/>
      <c r="BJ3" s="268"/>
      <c r="BK3" s="269"/>
      <c r="BL3" s="270" t="e">
        <f t="shared" ref="BL3:BL14" si="19">M3/BK3</f>
        <v>#DIV/0!</v>
      </c>
      <c r="BM3" s="110"/>
      <c r="BN3" s="110"/>
      <c r="BO3" s="110"/>
      <c r="BP3" s="110"/>
      <c r="BQ3" s="110"/>
      <c r="BR3" s="110"/>
      <c r="BS3" s="110"/>
      <c r="BT3" s="110"/>
    </row>
    <row r="4" spans="1:72" ht="18">
      <c r="A4" s="93">
        <v>2</v>
      </c>
      <c r="B4" s="94" t="s">
        <v>12</v>
      </c>
      <c r="C4" s="95" t="s">
        <v>83</v>
      </c>
      <c r="D4" s="95" t="s">
        <v>48</v>
      </c>
      <c r="E4" s="96">
        <v>1</v>
      </c>
      <c r="F4" s="259"/>
      <c r="G4" s="259"/>
      <c r="H4" s="259"/>
      <c r="I4" s="260"/>
      <c r="J4" s="260"/>
      <c r="K4" s="260"/>
      <c r="L4" s="260"/>
      <c r="M4" s="261">
        <f t="shared" si="2"/>
        <v>0</v>
      </c>
      <c r="N4" s="262">
        <v>0</v>
      </c>
      <c r="O4" s="262">
        <v>0</v>
      </c>
      <c r="P4" s="262">
        <v>0</v>
      </c>
      <c r="Q4" s="262">
        <v>0</v>
      </c>
      <c r="R4" s="262">
        <v>0</v>
      </c>
      <c r="S4" s="262">
        <v>0</v>
      </c>
      <c r="T4" s="262">
        <v>0</v>
      </c>
      <c r="U4" s="263">
        <f t="shared" si="3"/>
        <v>0</v>
      </c>
      <c r="V4" s="264">
        <f t="shared" si="4"/>
        <v>0</v>
      </c>
      <c r="W4" s="192">
        <f t="shared" si="5"/>
        <v>0</v>
      </c>
      <c r="X4" s="262">
        <f>SUM(_xlfn.XLOOKUP($C4, 'INT-_Manjiri'!$C:$C, 'INT-_Manjiri'!O:O), _xlfn.XLOOKUP($C4, 'USA-_Sea_shipment'!$C:$C, 'USA-_Sea_shipment'!S:S), _xlfn.XLOOKUP($C4, UK!$C:$C, UK!Q:Q), _xlfn.XLOOKUP($C4, Domestic!$C:$C, Domestic!Q:Q), _xlfn.XLOOKUP($C4, MENA!$C:$C, MENA!O:O), _xlfn.XLOOKUP($C4, Amazon_USA_Air_Shipment!$C:$C, Amazon_USA_Air_Shipment!O:O))</f>
        <v>0</v>
      </c>
      <c r="Y4" s="262">
        <f>SUM(_xlfn.XLOOKUP($C4, 'INT-_Manjiri'!$C:$C, 'INT-_Manjiri'!P:P), _xlfn.XLOOKUP($C4, 'USA-_Sea_shipment'!$C:$C, 'USA-_Sea_shipment'!T:T), _xlfn.XLOOKUP($C4, UK!$C:$C, UK!R:R), _xlfn.XLOOKUP($C4, Domestic!$C:$C, Domestic!R:R), _xlfn.XLOOKUP($C4, MENA!$C:$C, MENA!P:P), _xlfn.XLOOKUP($C4, Amazon_USA_Air_Shipment!$C:$C, Amazon_USA_Air_Shipment!P:P))</f>
        <v>0</v>
      </c>
      <c r="Z4" s="262">
        <f>SUM(_xlfn.XLOOKUP($C4, 'INT-_Manjiri'!$C:$C, 'INT-_Manjiri'!Q:Q), _xlfn.XLOOKUP($C4, 'USA-_Sea_shipment'!$C:$C, 'USA-_Sea_shipment'!U:U), _xlfn.XLOOKUP($C4, UK!$C:$C, UK!S:S), _xlfn.XLOOKUP($C4, Domestic!$C:$C, Domestic!S:S), _xlfn.XLOOKUP($C4, MENA!$C:$C, MENA!Q:Q), _xlfn.XLOOKUP($C4, Amazon_USA_Air_Shipment!$C:$C, Amazon_USA_Air_Shipment!Q:Q))</f>
        <v>0</v>
      </c>
      <c r="AA4" s="262">
        <f>SUM(_xlfn.XLOOKUP($C4, 'INT-_Manjiri'!$C:$C, 'INT-_Manjiri'!R:R), _xlfn.XLOOKUP($C4, 'USA-_Sea_shipment'!$C:$C, 'USA-_Sea_shipment'!V:V), _xlfn.XLOOKUP($C4, UK!$C:$C, UK!T:T), _xlfn.XLOOKUP($C4, Domestic!$C:$C, Domestic!T:T), _xlfn.XLOOKUP($C4, MENA!$C:$C, MENA!R:R), _xlfn.XLOOKUP($C4, Amazon_USA_Air_Shipment!$C:$C, Amazon_USA_Air_Shipment!R:R))</f>
        <v>0</v>
      </c>
      <c r="AB4" s="262">
        <f>SUM(_xlfn.XLOOKUP($C4, 'INT-_Manjiri'!$C:$C, 'INT-_Manjiri'!S:S), _xlfn.XLOOKUP($C4, 'USA-_Sea_shipment'!$C:$C, 'USA-_Sea_shipment'!W:W), _xlfn.XLOOKUP($C4, UK!$C:$C, UK!U:U), _xlfn.XLOOKUP($C4, Domestic!$C:$C, Domestic!U:U), _xlfn.XLOOKUP($C4, MENA!$C:$C, MENA!S:S), _xlfn.XLOOKUP($C4, Amazon_USA_Air_Shipment!$C:$C, Amazon_USA_Air_Shipment!S:S))</f>
        <v>227</v>
      </c>
      <c r="AC4" s="262">
        <f>SUM(_xlfn.XLOOKUP($C4, 'INT-_Manjiri'!$C:$C, 'INT-_Manjiri'!T:T), _xlfn.XLOOKUP($C4, 'USA-_Sea_shipment'!$C:$C, 'USA-_Sea_shipment'!X:X), _xlfn.XLOOKUP($C4, UK!$C:$C, UK!V:V), _xlfn.XLOOKUP($C4, Domestic!$C:$C, Domestic!V:V), _xlfn.XLOOKUP($C4, MENA!$C:$C, MENA!T:T), _xlfn.XLOOKUP($C4, Amazon_USA_Air_Shipment!$C:$C, Amazon_USA_Air_Shipment!T:T))</f>
        <v>0</v>
      </c>
      <c r="AD4" s="262">
        <f>SUM(_xlfn.XLOOKUP($C4, 'INT-_Manjiri'!$C:$C, 'INT-_Manjiri'!U:U), _xlfn.XLOOKUP($C4, 'USA-_Sea_shipment'!$C:$C, 'USA-_Sea_shipment'!Y:Y), _xlfn.XLOOKUP($C4, UK!$C:$C, UK!W:W), _xlfn.XLOOKUP($C4, Domestic!$C:$C, Domestic!W:W), _xlfn.XLOOKUP($C4, MENA!$C:$C, MENA!U:U), _xlfn.XLOOKUP($C4, Amazon_USA_Air_Shipment!$C:$C, Amazon_USA_Air_Shipment!U:U))</f>
        <v>0</v>
      </c>
      <c r="AE4" s="263">
        <f t="shared" si="6"/>
        <v>227</v>
      </c>
      <c r="AF4" s="264">
        <f t="shared" si="7"/>
        <v>227</v>
      </c>
      <c r="AG4" s="265">
        <f t="shared" si="8"/>
        <v>0</v>
      </c>
      <c r="AH4" s="262">
        <f>SUM(_xlfn.XLOOKUP($C4, 'INT-_Manjiri'!$C:$C, 'INT-_Manjiri'!V:V), _xlfn.XLOOKUP($C4, 'USA-_Sea_shipment'!$C:$C, 'USA-_Sea_shipment'!AC:AC), _xlfn.XLOOKUP($C4, UK!$C:$C, UK!AA:AA), _xlfn.XLOOKUP($C4, Domestic!$C:$C, Domestic!X:X), _xlfn.XLOOKUP($C4, MENA!$C:$C, MENA!V:V), _xlfn.XLOOKUP($C4, Amazon_USA_Air_Shipment!$C:$C, Amazon_USA_Air_Shipment!V:V))</f>
        <v>0</v>
      </c>
      <c r="AI4" s="262">
        <f>SUM(_xlfn.XLOOKUP($C4, 'INT-_Manjiri'!$C:$C, 'INT-_Manjiri'!W:W), _xlfn.XLOOKUP($C4, 'USA-_Sea_shipment'!$C:$C, 'USA-_Sea_shipment'!AD:AD), _xlfn.XLOOKUP($C4, UK!$C:$C, UK!AB:AB), _xlfn.XLOOKUP($C4, Domestic!$C:$C, Domestic!Y:Y), _xlfn.XLOOKUP($C4, MENA!$C:$C, MENA!W:W), _xlfn.XLOOKUP($C4, Amazon_USA_Air_Shipment!$C:$C, Amazon_USA_Air_Shipment!W:W))</f>
        <v>773</v>
      </c>
      <c r="AJ4" s="262">
        <f>SUM(_xlfn.XLOOKUP($C4, 'INT-_Manjiri'!$C:$C, 'INT-_Manjiri'!X:X), _xlfn.XLOOKUP($C4, 'USA-_Sea_shipment'!$C:$C, 'USA-_Sea_shipment'!AE:AE), _xlfn.XLOOKUP($C4, UK!$C:$C, UK!AC:AC), _xlfn.XLOOKUP($C4, Domestic!$C:$C, Domestic!Z:Z), _xlfn.XLOOKUP($C4, MENA!$C:$C, MENA!X:X), _xlfn.XLOOKUP($C4, Amazon_USA_Air_Shipment!$C:$C, Amazon_USA_Air_Shipment!X:X))</f>
        <v>318</v>
      </c>
      <c r="AK4" s="262">
        <f>SUM(_xlfn.XLOOKUP($C4, 'INT-_Manjiri'!$C:$C, 'INT-_Manjiri'!Y:Y), _xlfn.XLOOKUP($C4, 'USA-_Sea_shipment'!$C:$C, 'USA-_Sea_shipment'!AF:AF), _xlfn.XLOOKUP($C4, UK!$C:$C, UK!AD:AD), _xlfn.XLOOKUP($C4, Domestic!$C:$C, Domestic!AA:AA), _xlfn.XLOOKUP($C4, MENA!$C:$C, MENA!Y:Y), _xlfn.XLOOKUP($C4, Amazon_USA_Air_Shipment!$C:$C, Amazon_USA_Air_Shipment!Y:Y))</f>
        <v>535</v>
      </c>
      <c r="AL4" s="262">
        <f>SUM(_xlfn.XLOOKUP($C4, 'INT-_Manjiri'!$C:$C, 'INT-_Manjiri'!Z:Z), _xlfn.XLOOKUP($C4, 'USA-_Sea_shipment'!$C:$C, 'USA-_Sea_shipment'!AG:AG), _xlfn.XLOOKUP($C4, UK!$C:$C, UK!AE:AE), _xlfn.XLOOKUP($C4, Domestic!$C:$C, Domestic!AB:AB), _xlfn.XLOOKUP($C4, MENA!$C:$C, MENA!Z:Z), _xlfn.XLOOKUP($C4, Amazon_USA_Air_Shipment!$C:$C, Amazon_USA_Air_Shipment!Z:Z))</f>
        <v>0</v>
      </c>
      <c r="AM4" s="262">
        <f>SUM(_xlfn.XLOOKUP($C4, 'INT-_Manjiri'!$C:$C, 'INT-_Manjiri'!AA:AA), _xlfn.XLOOKUP($C4, 'USA-_Sea_shipment'!$C:$C, 'USA-_Sea_shipment'!AH:AH), _xlfn.XLOOKUP($C4, UK!$C:$C, UK!AF:AF), _xlfn.XLOOKUP($C4, Domestic!$C:$C, Domestic!AC:AC), _xlfn.XLOOKUP($C4, MENA!$C:$C, MENA!AA:AA), _xlfn.XLOOKUP($C4, Amazon_USA_Air_Shipment!$C:$C, Amazon_USA_Air_Shipment!AA:AA))</f>
        <v>491</v>
      </c>
      <c r="AN4" s="262">
        <f>SUM(_xlfn.XLOOKUP($C4, 'INT-_Manjiri'!$C:$C, 'INT-_Manjiri'!AB:AB), _xlfn.XLOOKUP($C4, 'USA-_Sea_shipment'!$C:$C, 'USA-_Sea_shipment'!AI:AI), _xlfn.XLOOKUP($C4, UK!$C:$C, UK!AG:AG), _xlfn.XLOOKUP($C4, Domestic!$C:$C, Domestic!AD:AD), _xlfn.XLOOKUP($C4, MENA!$C:$C, MENA!AB:AB), _xlfn.XLOOKUP($C4, Amazon_USA_Air_Shipment!$C:$C, Amazon_USA_Air_Shipment!AB:AB))</f>
        <v>0</v>
      </c>
      <c r="AO4" s="264">
        <f t="shared" si="9"/>
        <v>2117</v>
      </c>
      <c r="AP4" s="263">
        <f t="shared" si="10"/>
        <v>2117</v>
      </c>
      <c r="AQ4" s="265">
        <f t="shared" si="11"/>
        <v>0</v>
      </c>
      <c r="AR4" s="262">
        <f>SUM(_xlfn.XLOOKUP($C4, 'INT-_Manjiri'!$C:$C, 'INT-_Manjiri'!AC:AC), _xlfn.XLOOKUP($C4, 'USA-_Sea_shipment'!$C:$C, 'USA-_Sea_shipment'!AT:AT), _xlfn.XLOOKUP($C4, UK!$C:$C, UK!AK:AK), _xlfn.XLOOKUP($C4, Domestic!$C:$C, Domestic!AE:AE), _xlfn.XLOOKUP($C4, MENA!$C:$C, MENA!AC:AC), _xlfn.XLOOKUP($C4, Amazon_USA_Air_Shipment!$C:$C, Amazon_USA_Air_Shipment!AC:AC))</f>
        <v>0</v>
      </c>
      <c r="AS4" s="262">
        <f>SUM(_xlfn.XLOOKUP($C4, 'INT-_Manjiri'!$C:$C, 'INT-_Manjiri'!AD:AD), _xlfn.XLOOKUP($C4, 'USA-_Sea_shipment'!$C:$C, 'USA-_Sea_shipment'!AU:AU), _xlfn.XLOOKUP($C4, UK!$C:$C, UK!AL:AL), _xlfn.XLOOKUP($C4, Domestic!$C:$C, Domestic!AF:AF), _xlfn.XLOOKUP($C4, MENA!$C:$C, MENA!AD:AD), _xlfn.XLOOKUP($C4, Amazon_USA_Air_Shipment!$C:$C, Amazon_USA_Air_Shipment!AD:AD))</f>
        <v>0</v>
      </c>
      <c r="AT4" s="262">
        <f>SUM(_xlfn.XLOOKUP($C4, 'INT-_Manjiri'!$C:$C, 'INT-_Manjiri'!AE:AE), _xlfn.XLOOKUP($C4, 'USA-_Sea_shipment'!$C:$C, 'USA-_Sea_shipment'!AV:AV), _xlfn.XLOOKUP($C4, UK!$C:$C, UK!AM:AM), _xlfn.XLOOKUP($C4, Domestic!$C:$C, Domestic!AG:AG), _xlfn.XLOOKUP($C4, MENA!$C:$C, MENA!AE:AE), _xlfn.XLOOKUP($C4, Amazon_USA_Air_Shipment!$C:$C, Amazon_USA_Air_Shipment!AE:AE))</f>
        <v>0</v>
      </c>
      <c r="AU4" s="262">
        <f>SUM(_xlfn.XLOOKUP($C4, 'INT-_Manjiri'!$C:$C, 'INT-_Manjiri'!AF:AF), _xlfn.XLOOKUP($C4, 'USA-_Sea_shipment'!$C:$C, 'USA-_Sea_shipment'!AW:AW), _xlfn.XLOOKUP($C4, UK!$C:$C, UK!AN:AN), _xlfn.XLOOKUP($C4, Domestic!$C:$C, Domestic!AH:AH), _xlfn.XLOOKUP($C4, MENA!$C:$C, MENA!AF:AF), _xlfn.XLOOKUP($C4, Amazon_USA_Air_Shipment!$C:$C, Amazon_USA_Air_Shipment!AF:AF))</f>
        <v>314</v>
      </c>
      <c r="AV4" s="262">
        <f>SUM(_xlfn.XLOOKUP($C4, 'INT-_Manjiri'!$C:$C, 'INT-_Manjiri'!AG:AG), _xlfn.XLOOKUP($C4, 'USA-_Sea_shipment'!$C:$C, 'USA-_Sea_shipment'!AX:AX), _xlfn.XLOOKUP($C4, UK!$C:$C, UK!AO:AO), _xlfn.XLOOKUP($C4, Domestic!$C:$C, Domestic!AI:AI), _xlfn.XLOOKUP($C4, MENA!$C:$C, MENA!AG:AG), _xlfn.XLOOKUP($C4, Amazon_USA_Air_Shipment!$C:$C, Amazon_USA_Air_Shipment!AG:AG))</f>
        <v>0</v>
      </c>
      <c r="AW4" s="262">
        <f>SUM(_xlfn.XLOOKUP($C4, 'INT-_Manjiri'!$C:$C, 'INT-_Manjiri'!AH:AH), _xlfn.XLOOKUP($C4, 'USA-_Sea_shipment'!$C:$C, 'USA-_Sea_shipment'!AY:AY), _xlfn.XLOOKUP($C4, UK!$C:$C, UK!AP:AP), _xlfn.XLOOKUP($C4, Domestic!$C:$C, Domestic!AJ:AJ), _xlfn.XLOOKUP($C4, MENA!$C:$C, MENA!AH:AH), _xlfn.XLOOKUP($C4, Amazon_USA_Air_Shipment!$C:$C, Amazon_USA_Air_Shipment!AH:AH))</f>
        <v>0</v>
      </c>
      <c r="AX4" s="262" t="e">
        <f>SUM(_xlfn.XLOOKUP($C4, 'INT-_Manjiri'!$C:$C, 'INT-_Manjiri'!AI:AI), _xlfn.XLOOKUP($C4, 'USA-_Sea_shipment'!$C:$C, 'USA-_Sea_shipment'!#REF!), _xlfn.XLOOKUP($C4, UK!$C:$C, UK!AQ:AQ), _xlfn.XLOOKUP($C4, Domestic!$C:$C, Domestic!AK:AK), _xlfn.XLOOKUP($C4, MENA!$C:$C, MENA!AI:AI), _xlfn.XLOOKUP($C4, Amazon_USA_Air_Shipment!$C:$C, Amazon_USA_Air_Shipment!AI:AI))</f>
        <v>#REF!</v>
      </c>
      <c r="AY4" s="262" t="e">
        <f>SUM(_xlfn.XLOOKUP($C4, 'INT-_Manjiri'!$C:$C, 'INT-_Manjiri'!AJ:AJ), _xlfn.XLOOKUP($C4, 'USA-_Sea_shipment'!$C:$C, 'USA-_Sea_shipment'!#REF!), _xlfn.XLOOKUP($C4, UK!$C:$C, UK!AR:AR), _xlfn.XLOOKUP($C4, Domestic!$C:$C, Domestic!AL:AL), _xlfn.XLOOKUP($C4, MENA!$C:$C, MENA!AJ:AJ), _xlfn.XLOOKUP($C4, Amazon_USA_Air_Shipment!$C:$C, Amazon_USA_Air_Shipment!AJ:AJ))</f>
        <v>#REF!</v>
      </c>
      <c r="AZ4" s="262" t="e">
        <f>SUM(_xlfn.XLOOKUP($C4, 'INT-_Manjiri'!$C:$C, 'INT-_Manjiri'!AK:AK), _xlfn.XLOOKUP($C4, 'USA-_Sea_shipment'!$C:$C, 'USA-_Sea_shipment'!#REF!), _xlfn.XLOOKUP($C4, UK!$C:$C, UK!AS:AS), _xlfn.XLOOKUP($C4, Domestic!$C:$C, Domestic!AM:AM), _xlfn.XLOOKUP($C4, MENA!$C:$C, MENA!AK:AK), _xlfn.XLOOKUP($C4, Amazon_USA_Air_Shipment!$C:$C, Amazon_USA_Air_Shipment!AK:AK))</f>
        <v>#REF!</v>
      </c>
      <c r="BA4" s="263" t="e">
        <f t="shared" si="12"/>
        <v>#REF!</v>
      </c>
      <c r="BB4" s="264" t="e">
        <f t="shared" si="13"/>
        <v>#REF!</v>
      </c>
      <c r="BC4" s="265">
        <f t="shared" si="14"/>
        <v>0</v>
      </c>
      <c r="BD4" s="263" t="e">
        <f t="shared" si="15"/>
        <v>#REF!</v>
      </c>
      <c r="BE4" s="264" t="e">
        <f t="shared" si="16"/>
        <v>#REF!</v>
      </c>
      <c r="BF4" s="264" t="e">
        <f t="shared" si="17"/>
        <v>#REF!</v>
      </c>
      <c r="BG4" s="266">
        <f t="shared" si="18"/>
        <v>0</v>
      </c>
      <c r="BH4" s="267" t="s">
        <v>207</v>
      </c>
      <c r="BI4" s="267"/>
      <c r="BJ4" s="268"/>
      <c r="BK4" s="269"/>
      <c r="BL4" s="270" t="e">
        <f t="shared" si="19"/>
        <v>#DIV/0!</v>
      </c>
      <c r="BM4" s="110"/>
      <c r="BN4" s="110"/>
      <c r="BO4" s="110"/>
      <c r="BP4" s="110"/>
      <c r="BQ4" s="110"/>
      <c r="BR4" s="110"/>
      <c r="BS4" s="110"/>
      <c r="BT4" s="110"/>
    </row>
    <row r="5" spans="1:72" ht="18">
      <c r="A5" s="188">
        <v>3</v>
      </c>
      <c r="B5" s="94" t="s">
        <v>12</v>
      </c>
      <c r="C5" s="95" t="s">
        <v>80</v>
      </c>
      <c r="D5" s="95" t="s">
        <v>136</v>
      </c>
      <c r="E5" s="96">
        <v>5</v>
      </c>
      <c r="F5" s="259"/>
      <c r="G5" s="259"/>
      <c r="H5" s="259"/>
      <c r="I5" s="260"/>
      <c r="J5" s="260"/>
      <c r="K5" s="260"/>
      <c r="L5" s="260"/>
      <c r="M5" s="261">
        <f t="shared" si="2"/>
        <v>0</v>
      </c>
      <c r="N5" s="262">
        <v>0</v>
      </c>
      <c r="O5" s="262">
        <v>0</v>
      </c>
      <c r="P5" s="262">
        <v>0</v>
      </c>
      <c r="Q5" s="262">
        <v>0</v>
      </c>
      <c r="R5" s="262">
        <v>0</v>
      </c>
      <c r="S5" s="262">
        <v>0</v>
      </c>
      <c r="T5" s="262">
        <v>0</v>
      </c>
      <c r="U5" s="263">
        <f t="shared" si="3"/>
        <v>0</v>
      </c>
      <c r="V5" s="264">
        <f t="shared" si="4"/>
        <v>0</v>
      </c>
      <c r="W5" s="192">
        <f t="shared" si="5"/>
        <v>0</v>
      </c>
      <c r="X5" s="262">
        <f>SUM(_xlfn.XLOOKUP($C5, 'INT-_Manjiri'!$C:$C, 'INT-_Manjiri'!O:O), _xlfn.XLOOKUP($C5, 'USA-_Sea_shipment'!$C:$C, 'USA-_Sea_shipment'!S:S), _xlfn.XLOOKUP($C5, UK!$C:$C, UK!Q:Q), _xlfn.XLOOKUP($C5, Domestic!$C:$C, Domestic!Q:Q), _xlfn.XLOOKUP($C5, MENA!$C:$C, MENA!O:O), _xlfn.XLOOKUP($C5, Amazon_USA_Air_Shipment!$C:$C, Amazon_USA_Air_Shipment!O:O))</f>
        <v>156</v>
      </c>
      <c r="Y5" s="262">
        <f>SUM(_xlfn.XLOOKUP($C5, 'INT-_Manjiri'!$C:$C, 'INT-_Manjiri'!P:P), _xlfn.XLOOKUP($C5, 'USA-_Sea_shipment'!$C:$C, 'USA-_Sea_shipment'!T:T), _xlfn.XLOOKUP($C5, UK!$C:$C, UK!R:R), _xlfn.XLOOKUP($C5, Domestic!$C:$C, Domestic!R:R), _xlfn.XLOOKUP($C5, MENA!$C:$C, MENA!P:P), _xlfn.XLOOKUP($C5, Amazon_USA_Air_Shipment!$C:$C, Amazon_USA_Air_Shipment!P:P))</f>
        <v>37</v>
      </c>
      <c r="Z5" s="262">
        <f>SUM(_xlfn.XLOOKUP($C5, 'INT-_Manjiri'!$C:$C, 'INT-_Manjiri'!Q:Q), _xlfn.XLOOKUP($C5, 'USA-_Sea_shipment'!$C:$C, 'USA-_Sea_shipment'!U:U), _xlfn.XLOOKUP($C5, UK!$C:$C, UK!S:S), _xlfn.XLOOKUP($C5, Domestic!$C:$C, Domestic!S:S), _xlfn.XLOOKUP($C5, MENA!$C:$C, MENA!Q:Q), _xlfn.XLOOKUP($C5, Amazon_USA_Air_Shipment!$C:$C, Amazon_USA_Air_Shipment!Q:Q))</f>
        <v>0</v>
      </c>
      <c r="AA5" s="262">
        <f>SUM(_xlfn.XLOOKUP($C5, 'INT-_Manjiri'!$C:$C, 'INT-_Manjiri'!R:R), _xlfn.XLOOKUP($C5, 'USA-_Sea_shipment'!$C:$C, 'USA-_Sea_shipment'!V:V), _xlfn.XLOOKUP($C5, UK!$C:$C, UK!T:T), _xlfn.XLOOKUP($C5, Domestic!$C:$C, Domestic!T:T), _xlfn.XLOOKUP($C5, MENA!$C:$C, MENA!R:R), _xlfn.XLOOKUP($C5, Amazon_USA_Air_Shipment!$C:$C, Amazon_USA_Air_Shipment!R:R))</f>
        <v>0</v>
      </c>
      <c r="AB5" s="262">
        <f>SUM(_xlfn.XLOOKUP($C5, 'INT-_Manjiri'!$C:$C, 'INT-_Manjiri'!S:S), _xlfn.XLOOKUP($C5, 'USA-_Sea_shipment'!$C:$C, 'USA-_Sea_shipment'!W:W), _xlfn.XLOOKUP($C5, UK!$C:$C, UK!U:U), _xlfn.XLOOKUP($C5, Domestic!$C:$C, Domestic!U:U), _xlfn.XLOOKUP($C5, MENA!$C:$C, MENA!S:S), _xlfn.XLOOKUP($C5, Amazon_USA_Air_Shipment!$C:$C, Amazon_USA_Air_Shipment!S:S))</f>
        <v>0</v>
      </c>
      <c r="AC5" s="262">
        <f>SUM(_xlfn.XLOOKUP($C5, 'INT-_Manjiri'!$C:$C, 'INT-_Manjiri'!T:T), _xlfn.XLOOKUP($C5, 'USA-_Sea_shipment'!$C:$C, 'USA-_Sea_shipment'!X:X), _xlfn.XLOOKUP($C5, UK!$C:$C, UK!V:V), _xlfn.XLOOKUP($C5, Domestic!$C:$C, Domestic!V:V), _xlfn.XLOOKUP($C5, MENA!$C:$C, MENA!T:T), _xlfn.XLOOKUP($C5, Amazon_USA_Air_Shipment!$C:$C, Amazon_USA_Air_Shipment!T:T))</f>
        <v>0</v>
      </c>
      <c r="AD5" s="262">
        <f>SUM(_xlfn.XLOOKUP($C5, 'INT-_Manjiri'!$C:$C, 'INT-_Manjiri'!U:U), _xlfn.XLOOKUP($C5, 'USA-_Sea_shipment'!$C:$C, 'USA-_Sea_shipment'!Y:Y), _xlfn.XLOOKUP($C5, UK!$C:$C, UK!W:W), _xlfn.XLOOKUP($C5, Domestic!$C:$C, Domestic!W:W), _xlfn.XLOOKUP($C5, MENA!$C:$C, MENA!U:U), _xlfn.XLOOKUP($C5, Amazon_USA_Air_Shipment!$C:$C, Amazon_USA_Air_Shipment!U:U))</f>
        <v>0</v>
      </c>
      <c r="AE5" s="263">
        <f t="shared" si="6"/>
        <v>193</v>
      </c>
      <c r="AF5" s="264">
        <f t="shared" si="7"/>
        <v>965</v>
      </c>
      <c r="AG5" s="265">
        <f t="shared" si="8"/>
        <v>0</v>
      </c>
      <c r="AH5" s="262">
        <f>SUM(_xlfn.XLOOKUP($C5, 'INT-_Manjiri'!$C:$C, 'INT-_Manjiri'!V:V), _xlfn.XLOOKUP($C5, 'USA-_Sea_shipment'!$C:$C, 'USA-_Sea_shipment'!AC:AC), _xlfn.XLOOKUP($C5, UK!$C:$C, UK!AA:AA), _xlfn.XLOOKUP($C5, Domestic!$C:$C, Domestic!X:X), _xlfn.XLOOKUP($C5, MENA!$C:$C, MENA!V:V), _xlfn.XLOOKUP($C5, Amazon_USA_Air_Shipment!$C:$C, Amazon_USA_Air_Shipment!V:V))</f>
        <v>0</v>
      </c>
      <c r="AI5" s="262">
        <f>SUM(_xlfn.XLOOKUP($C5, 'INT-_Manjiri'!$C:$C, 'INT-_Manjiri'!W:W), _xlfn.XLOOKUP($C5, 'USA-_Sea_shipment'!$C:$C, 'USA-_Sea_shipment'!AD:AD), _xlfn.XLOOKUP($C5, UK!$C:$C, UK!AB:AB), _xlfn.XLOOKUP($C5, Domestic!$C:$C, Domestic!Y:Y), _xlfn.XLOOKUP($C5, MENA!$C:$C, MENA!W:W), _xlfn.XLOOKUP($C5, Amazon_USA_Air_Shipment!$C:$C, Amazon_USA_Air_Shipment!W:W))</f>
        <v>48</v>
      </c>
      <c r="AJ5" s="262">
        <f>SUM(_xlfn.XLOOKUP($C5, 'INT-_Manjiri'!$C:$C, 'INT-_Manjiri'!X:X), _xlfn.XLOOKUP($C5, 'USA-_Sea_shipment'!$C:$C, 'USA-_Sea_shipment'!AE:AE), _xlfn.XLOOKUP($C5, UK!$C:$C, UK!AC:AC), _xlfn.XLOOKUP($C5, Domestic!$C:$C, Domestic!Z:Z), _xlfn.XLOOKUP($C5, MENA!$C:$C, MENA!X:X), _xlfn.XLOOKUP($C5, Amazon_USA_Air_Shipment!$C:$C, Amazon_USA_Air_Shipment!X:X))</f>
        <v>29</v>
      </c>
      <c r="AK5" s="262">
        <f>SUM(_xlfn.XLOOKUP($C5, 'INT-_Manjiri'!$C:$C, 'INT-_Manjiri'!Y:Y), _xlfn.XLOOKUP($C5, 'USA-_Sea_shipment'!$C:$C, 'USA-_Sea_shipment'!AF:AF), _xlfn.XLOOKUP($C5, UK!$C:$C, UK!AD:AD), _xlfn.XLOOKUP($C5, Domestic!$C:$C, Domestic!AA:AA), _xlfn.XLOOKUP($C5, MENA!$C:$C, MENA!Y:Y), _xlfn.XLOOKUP($C5, Amazon_USA_Air_Shipment!$C:$C, Amazon_USA_Air_Shipment!Y:Y))</f>
        <v>93</v>
      </c>
      <c r="AL5" s="262">
        <f>SUM(_xlfn.XLOOKUP($C5, 'INT-_Manjiri'!$C:$C, 'INT-_Manjiri'!Z:Z), _xlfn.XLOOKUP($C5, 'USA-_Sea_shipment'!$C:$C, 'USA-_Sea_shipment'!AG:AG), _xlfn.XLOOKUP($C5, UK!$C:$C, UK!AE:AE), _xlfn.XLOOKUP($C5, Domestic!$C:$C, Domestic!AB:AB), _xlfn.XLOOKUP($C5, MENA!$C:$C, MENA!Z:Z), _xlfn.XLOOKUP($C5, Amazon_USA_Air_Shipment!$C:$C, Amazon_USA_Air_Shipment!Z:Z))</f>
        <v>0</v>
      </c>
      <c r="AM5" s="262">
        <f>SUM(_xlfn.XLOOKUP($C5, 'INT-_Manjiri'!$C:$C, 'INT-_Manjiri'!AA:AA), _xlfn.XLOOKUP($C5, 'USA-_Sea_shipment'!$C:$C, 'USA-_Sea_shipment'!AH:AH), _xlfn.XLOOKUP($C5, UK!$C:$C, UK!AF:AF), _xlfn.XLOOKUP($C5, Domestic!$C:$C, Domestic!AC:AC), _xlfn.XLOOKUP($C5, MENA!$C:$C, MENA!AA:AA), _xlfn.XLOOKUP($C5, Amazon_USA_Air_Shipment!$C:$C, Amazon_USA_Air_Shipment!AA:AA))</f>
        <v>0</v>
      </c>
      <c r="AN5" s="262">
        <f>SUM(_xlfn.XLOOKUP($C5, 'INT-_Manjiri'!$C:$C, 'INT-_Manjiri'!AB:AB), _xlfn.XLOOKUP($C5, 'USA-_Sea_shipment'!$C:$C, 'USA-_Sea_shipment'!AI:AI), _xlfn.XLOOKUP($C5, UK!$C:$C, UK!AG:AG), _xlfn.XLOOKUP($C5, Domestic!$C:$C, Domestic!AD:AD), _xlfn.XLOOKUP($C5, MENA!$C:$C, MENA!AB:AB), _xlfn.XLOOKUP($C5, Amazon_USA_Air_Shipment!$C:$C, Amazon_USA_Air_Shipment!AB:AB))</f>
        <v>0</v>
      </c>
      <c r="AO5" s="264">
        <f t="shared" si="9"/>
        <v>850</v>
      </c>
      <c r="AP5" s="263">
        <f t="shared" si="10"/>
        <v>170</v>
      </c>
      <c r="AQ5" s="265">
        <f t="shared" si="11"/>
        <v>0</v>
      </c>
      <c r="AR5" s="262">
        <f>SUM(_xlfn.XLOOKUP($C5, 'INT-_Manjiri'!$C:$C, 'INT-_Manjiri'!AC:AC), _xlfn.XLOOKUP($C5, 'USA-_Sea_shipment'!$C:$C, 'USA-_Sea_shipment'!AT:AT), _xlfn.XLOOKUP($C5, UK!$C:$C, UK!AK:AK), _xlfn.XLOOKUP($C5, Domestic!$C:$C, Domestic!AE:AE), _xlfn.XLOOKUP($C5, MENA!$C:$C, MENA!AC:AC), _xlfn.XLOOKUP($C5, Amazon_USA_Air_Shipment!$C:$C, Amazon_USA_Air_Shipment!AC:AC))</f>
        <v>174</v>
      </c>
      <c r="AS5" s="262">
        <f>SUM(_xlfn.XLOOKUP($C5, 'INT-_Manjiri'!$C:$C, 'INT-_Manjiri'!AD:AD), _xlfn.XLOOKUP($C5, 'USA-_Sea_shipment'!$C:$C, 'USA-_Sea_shipment'!AU:AU), _xlfn.XLOOKUP($C5, UK!$C:$C, UK!AL:AL), _xlfn.XLOOKUP($C5, Domestic!$C:$C, Domestic!AF:AF), _xlfn.XLOOKUP($C5, MENA!$C:$C, MENA!AD:AD), _xlfn.XLOOKUP($C5, Amazon_USA_Air_Shipment!$C:$C, Amazon_USA_Air_Shipment!AD:AD))</f>
        <v>525</v>
      </c>
      <c r="AT5" s="262">
        <f>SUM(_xlfn.XLOOKUP($C5, 'INT-_Manjiri'!$C:$C, 'INT-_Manjiri'!AE:AE), _xlfn.XLOOKUP($C5, 'USA-_Sea_shipment'!$C:$C, 'USA-_Sea_shipment'!AV:AV), _xlfn.XLOOKUP($C5, UK!$C:$C, UK!AM:AM), _xlfn.XLOOKUP($C5, Domestic!$C:$C, Domestic!AG:AG), _xlfn.XLOOKUP($C5, MENA!$C:$C, MENA!AE:AE), _xlfn.XLOOKUP($C5, Amazon_USA_Air_Shipment!$C:$C, Amazon_USA_Air_Shipment!AE:AE))</f>
        <v>105</v>
      </c>
      <c r="AU5" s="262">
        <f>SUM(_xlfn.XLOOKUP($C5, 'INT-_Manjiri'!$C:$C, 'INT-_Manjiri'!AF:AF), _xlfn.XLOOKUP($C5, 'USA-_Sea_shipment'!$C:$C, 'USA-_Sea_shipment'!AW:AW), _xlfn.XLOOKUP($C5, UK!$C:$C, UK!AN:AN), _xlfn.XLOOKUP($C5, Domestic!$C:$C, Domestic!AH:AH), _xlfn.XLOOKUP($C5, MENA!$C:$C, MENA!AF:AF), _xlfn.XLOOKUP($C5, Amazon_USA_Air_Shipment!$C:$C, Amazon_USA_Air_Shipment!AF:AF))</f>
        <v>525</v>
      </c>
      <c r="AV5" s="262">
        <f>SUM(_xlfn.XLOOKUP($C5, 'INT-_Manjiri'!$C:$C, 'INT-_Manjiri'!AG:AG), _xlfn.XLOOKUP($C5, 'USA-_Sea_shipment'!$C:$C, 'USA-_Sea_shipment'!AX:AX), _xlfn.XLOOKUP($C5, UK!$C:$C, UK!AO:AO), _xlfn.XLOOKUP($C5, Domestic!$C:$C, Domestic!AI:AI), _xlfn.XLOOKUP($C5, MENA!$C:$C, MENA!AG:AG), _xlfn.XLOOKUP($C5, Amazon_USA_Air_Shipment!$C:$C, Amazon_USA_Air_Shipment!AG:AG))</f>
        <v>0.5</v>
      </c>
      <c r="AW5" s="262">
        <f>SUM(_xlfn.XLOOKUP($C5, 'INT-_Manjiri'!$C:$C, 'INT-_Manjiri'!AH:AH), _xlfn.XLOOKUP($C5, 'USA-_Sea_shipment'!$C:$C, 'USA-_Sea_shipment'!AY:AY), _xlfn.XLOOKUP($C5, UK!$C:$C, UK!AP:AP), _xlfn.XLOOKUP($C5, Domestic!$C:$C, Domestic!AJ:AJ), _xlfn.XLOOKUP($C5, MENA!$C:$C, MENA!AH:AH), _xlfn.XLOOKUP($C5, Amazon_USA_Air_Shipment!$C:$C, Amazon_USA_Air_Shipment!AH:AH))</f>
        <v>0</v>
      </c>
      <c r="AX5" s="262" t="e">
        <f>SUM(_xlfn.XLOOKUP($C5, 'INT-_Manjiri'!$C:$C, 'INT-_Manjiri'!AI:AI), _xlfn.XLOOKUP($C5, 'USA-_Sea_shipment'!$C:$C, 'USA-_Sea_shipment'!#REF!), _xlfn.XLOOKUP($C5, UK!$C:$C, UK!AQ:AQ), _xlfn.XLOOKUP($C5, Domestic!$C:$C, Domestic!AK:AK), _xlfn.XLOOKUP($C5, MENA!$C:$C, MENA!AI:AI), _xlfn.XLOOKUP($C5, Amazon_USA_Air_Shipment!$C:$C, Amazon_USA_Air_Shipment!AI:AI))</f>
        <v>#REF!</v>
      </c>
      <c r="AY5" s="262" t="e">
        <f>SUM(_xlfn.XLOOKUP($C5, 'INT-_Manjiri'!$C:$C, 'INT-_Manjiri'!AJ:AJ), _xlfn.XLOOKUP($C5, 'USA-_Sea_shipment'!$C:$C, 'USA-_Sea_shipment'!#REF!), _xlfn.XLOOKUP($C5, UK!$C:$C, UK!AR:AR), _xlfn.XLOOKUP($C5, Domestic!$C:$C, Domestic!AL:AL), _xlfn.XLOOKUP($C5, MENA!$C:$C, MENA!AJ:AJ), _xlfn.XLOOKUP($C5, Amazon_USA_Air_Shipment!$C:$C, Amazon_USA_Air_Shipment!AJ:AJ))</f>
        <v>#REF!</v>
      </c>
      <c r="AZ5" s="262" t="e">
        <f>SUM(_xlfn.XLOOKUP($C5, 'INT-_Manjiri'!$C:$C, 'INT-_Manjiri'!AK:AK), _xlfn.XLOOKUP($C5, 'USA-_Sea_shipment'!$C:$C, 'USA-_Sea_shipment'!#REF!), _xlfn.XLOOKUP($C5, UK!$C:$C, UK!AS:AS), _xlfn.XLOOKUP($C5, Domestic!$C:$C, Domestic!AM:AM), _xlfn.XLOOKUP($C5, MENA!$C:$C, MENA!AK:AK), _xlfn.XLOOKUP($C5, Amazon_USA_Air_Shipment!$C:$C, Amazon_USA_Air_Shipment!AK:AK))</f>
        <v>#REF!</v>
      </c>
      <c r="BA5" s="263" t="e">
        <f t="shared" si="12"/>
        <v>#REF!</v>
      </c>
      <c r="BB5" s="264" t="e">
        <f t="shared" si="13"/>
        <v>#REF!</v>
      </c>
      <c r="BC5" s="265">
        <f t="shared" si="14"/>
        <v>0</v>
      </c>
      <c r="BD5" s="263" t="e">
        <f t="shared" si="15"/>
        <v>#REF!</v>
      </c>
      <c r="BE5" s="264" t="e">
        <f t="shared" si="16"/>
        <v>#REF!</v>
      </c>
      <c r="BF5" s="264" t="e">
        <f t="shared" si="17"/>
        <v>#REF!</v>
      </c>
      <c r="BG5" s="266">
        <f t="shared" si="18"/>
        <v>0</v>
      </c>
      <c r="BH5" s="267"/>
      <c r="BI5" s="267"/>
      <c r="BJ5" s="268"/>
      <c r="BK5" s="269"/>
      <c r="BL5" s="270" t="e">
        <f t="shared" si="19"/>
        <v>#DIV/0!</v>
      </c>
      <c r="BM5" s="110"/>
      <c r="BN5" s="110"/>
      <c r="BO5" s="110"/>
      <c r="BP5" s="110"/>
      <c r="BQ5" s="110"/>
      <c r="BR5" s="110"/>
      <c r="BS5" s="110"/>
      <c r="BT5" s="110"/>
    </row>
    <row r="6" spans="1:72" ht="18">
      <c r="A6" s="93">
        <v>4</v>
      </c>
      <c r="B6" s="94" t="s">
        <v>12</v>
      </c>
      <c r="C6" s="95" t="s">
        <v>82</v>
      </c>
      <c r="D6" s="95" t="s">
        <v>44</v>
      </c>
      <c r="E6" s="96">
        <v>0.25</v>
      </c>
      <c r="F6" s="259"/>
      <c r="G6" s="259"/>
      <c r="H6" s="259"/>
      <c r="I6" s="260"/>
      <c r="J6" s="260"/>
      <c r="K6" s="260"/>
      <c r="L6" s="260"/>
      <c r="M6" s="261">
        <f t="shared" si="2"/>
        <v>0</v>
      </c>
      <c r="N6" s="262">
        <v>0</v>
      </c>
      <c r="O6" s="262">
        <v>0</v>
      </c>
      <c r="P6" s="262">
        <v>0</v>
      </c>
      <c r="Q6" s="262">
        <v>0</v>
      </c>
      <c r="R6" s="262">
        <v>0</v>
      </c>
      <c r="S6" s="262">
        <v>0</v>
      </c>
      <c r="T6" s="262">
        <v>0</v>
      </c>
      <c r="U6" s="263">
        <f t="shared" si="3"/>
        <v>0</v>
      </c>
      <c r="V6" s="264">
        <f t="shared" si="4"/>
        <v>0</v>
      </c>
      <c r="W6" s="192">
        <f t="shared" si="5"/>
        <v>0</v>
      </c>
      <c r="X6" s="262">
        <f>SUM(_xlfn.XLOOKUP($C6, 'INT-_Manjiri'!$C:$C, 'INT-_Manjiri'!O:O), _xlfn.XLOOKUP($C6, 'USA-_Sea_shipment'!$C:$C, 'USA-_Sea_shipment'!S:S), _xlfn.XLOOKUP($C6, UK!$C:$C, UK!Q:Q), _xlfn.XLOOKUP($C6, Domestic!$C:$C, Domestic!Q:Q), _xlfn.XLOOKUP($C6, MENA!$C:$C, MENA!O:O), _xlfn.XLOOKUP($C6, Amazon_USA_Air_Shipment!$C:$C, Amazon_USA_Air_Shipment!O:O))</f>
        <v>581</v>
      </c>
      <c r="Y6" s="262">
        <f>SUM(_xlfn.XLOOKUP($C6, 'INT-_Manjiri'!$C:$C, 'INT-_Manjiri'!P:P), _xlfn.XLOOKUP($C6, 'USA-_Sea_shipment'!$C:$C, 'USA-_Sea_shipment'!T:T), _xlfn.XLOOKUP($C6, UK!$C:$C, UK!R:R), _xlfn.XLOOKUP($C6, Domestic!$C:$C, Domestic!R:R), _xlfn.XLOOKUP($C6, MENA!$C:$C, MENA!P:P), _xlfn.XLOOKUP($C6, Amazon_USA_Air_Shipment!$C:$C, Amazon_USA_Air_Shipment!P:P))</f>
        <v>0</v>
      </c>
      <c r="Z6" s="262">
        <f>SUM(_xlfn.XLOOKUP($C6, 'INT-_Manjiri'!$C:$C, 'INT-_Manjiri'!Q:Q), _xlfn.XLOOKUP($C6, 'USA-_Sea_shipment'!$C:$C, 'USA-_Sea_shipment'!U:U), _xlfn.XLOOKUP($C6, UK!$C:$C, UK!S:S), _xlfn.XLOOKUP($C6, Domestic!$C:$C, Domestic!S:S), _xlfn.XLOOKUP($C6, MENA!$C:$C, MENA!Q:Q), _xlfn.XLOOKUP($C6, Amazon_USA_Air_Shipment!$C:$C, Amazon_USA_Air_Shipment!Q:Q))</f>
        <v>578</v>
      </c>
      <c r="AA6" s="262">
        <f>SUM(_xlfn.XLOOKUP($C6, 'INT-_Manjiri'!$C:$C, 'INT-_Manjiri'!R:R), _xlfn.XLOOKUP($C6, 'USA-_Sea_shipment'!$C:$C, 'USA-_Sea_shipment'!V:V), _xlfn.XLOOKUP($C6, UK!$C:$C, UK!T:T), _xlfn.XLOOKUP($C6, Domestic!$C:$C, Domestic!T:T), _xlfn.XLOOKUP($C6, MENA!$C:$C, MENA!R:R), _xlfn.XLOOKUP($C6, Amazon_USA_Air_Shipment!$C:$C, Amazon_USA_Air_Shipment!R:R))</f>
        <v>0</v>
      </c>
      <c r="AB6" s="262">
        <f>SUM(_xlfn.XLOOKUP($C6, 'INT-_Manjiri'!$C:$C, 'INT-_Manjiri'!S:S), _xlfn.XLOOKUP($C6, 'USA-_Sea_shipment'!$C:$C, 'USA-_Sea_shipment'!W:W), _xlfn.XLOOKUP($C6, UK!$C:$C, UK!U:U), _xlfn.XLOOKUP($C6, Domestic!$C:$C, Domestic!U:U), _xlfn.XLOOKUP($C6, MENA!$C:$C, MENA!S:S), _xlfn.XLOOKUP($C6, Amazon_USA_Air_Shipment!$C:$C, Amazon_USA_Air_Shipment!S:S))</f>
        <v>0</v>
      </c>
      <c r="AC6" s="262">
        <f>SUM(_xlfn.XLOOKUP($C6, 'INT-_Manjiri'!$C:$C, 'INT-_Manjiri'!T:T), _xlfn.XLOOKUP($C6, 'USA-_Sea_shipment'!$C:$C, 'USA-_Sea_shipment'!X:X), _xlfn.XLOOKUP($C6, UK!$C:$C, UK!V:V), _xlfn.XLOOKUP($C6, Domestic!$C:$C, Domestic!V:V), _xlfn.XLOOKUP($C6, MENA!$C:$C, MENA!T:T), _xlfn.XLOOKUP($C6, Amazon_USA_Air_Shipment!$C:$C, Amazon_USA_Air_Shipment!T:T))</f>
        <v>0</v>
      </c>
      <c r="AD6" s="262">
        <f>SUM(_xlfn.XLOOKUP($C6, 'INT-_Manjiri'!$C:$C, 'INT-_Manjiri'!U:U), _xlfn.XLOOKUP($C6, 'USA-_Sea_shipment'!$C:$C, 'USA-_Sea_shipment'!Y:Y), _xlfn.XLOOKUP($C6, UK!$C:$C, UK!W:W), _xlfn.XLOOKUP($C6, Domestic!$C:$C, Domestic!W:W), _xlfn.XLOOKUP($C6, MENA!$C:$C, MENA!U:U), _xlfn.XLOOKUP($C6, Amazon_USA_Air_Shipment!$C:$C, Amazon_USA_Air_Shipment!U:U))</f>
        <v>0</v>
      </c>
      <c r="AE6" s="263">
        <f t="shared" si="6"/>
        <v>1159</v>
      </c>
      <c r="AF6" s="264">
        <f t="shared" si="7"/>
        <v>289.75</v>
      </c>
      <c r="AG6" s="265">
        <f t="shared" si="8"/>
        <v>0</v>
      </c>
      <c r="AH6" s="262">
        <f>SUM(_xlfn.XLOOKUP($C6, 'INT-_Manjiri'!$C:$C, 'INT-_Manjiri'!V:V), _xlfn.XLOOKUP($C6, 'USA-_Sea_shipment'!$C:$C, 'USA-_Sea_shipment'!AC:AC), _xlfn.XLOOKUP($C6, UK!$C:$C, UK!AA:AA), _xlfn.XLOOKUP($C6, Domestic!$C:$C, Domestic!X:X), _xlfn.XLOOKUP($C6, MENA!$C:$C, MENA!V:V), _xlfn.XLOOKUP($C6, Amazon_USA_Air_Shipment!$C:$C, Amazon_USA_Air_Shipment!V:V))</f>
        <v>0</v>
      </c>
      <c r="AI6" s="262">
        <f>SUM(_xlfn.XLOOKUP($C6, 'INT-_Manjiri'!$C:$C, 'INT-_Manjiri'!W:W), _xlfn.XLOOKUP($C6, 'USA-_Sea_shipment'!$C:$C, 'USA-_Sea_shipment'!AD:AD), _xlfn.XLOOKUP($C6, UK!$C:$C, UK!AB:AB), _xlfn.XLOOKUP($C6, Domestic!$C:$C, Domestic!Y:Y), _xlfn.XLOOKUP($C6, MENA!$C:$C, MENA!W:W), _xlfn.XLOOKUP($C6, Amazon_USA_Air_Shipment!$C:$C, Amazon_USA_Air_Shipment!W:W))</f>
        <v>0</v>
      </c>
      <c r="AJ6" s="262">
        <f>SUM(_xlfn.XLOOKUP($C6, 'INT-_Manjiri'!$C:$C, 'INT-_Manjiri'!X:X), _xlfn.XLOOKUP($C6, 'USA-_Sea_shipment'!$C:$C, 'USA-_Sea_shipment'!AE:AE), _xlfn.XLOOKUP($C6, UK!$C:$C, UK!AC:AC), _xlfn.XLOOKUP($C6, Domestic!$C:$C, Domestic!Z:Z), _xlfn.XLOOKUP($C6, MENA!$C:$C, MENA!X:X), _xlfn.XLOOKUP($C6, Amazon_USA_Air_Shipment!$C:$C, Amazon_USA_Air_Shipment!X:X))</f>
        <v>662</v>
      </c>
      <c r="AK6" s="262">
        <f>SUM(_xlfn.XLOOKUP($C6, 'INT-_Manjiri'!$C:$C, 'INT-_Manjiri'!Y:Y), _xlfn.XLOOKUP($C6, 'USA-_Sea_shipment'!$C:$C, 'USA-_Sea_shipment'!AF:AF), _xlfn.XLOOKUP($C6, UK!$C:$C, UK!AD:AD), _xlfn.XLOOKUP($C6, Domestic!$C:$C, Domestic!AA:AA), _xlfn.XLOOKUP($C6, MENA!$C:$C, MENA!Y:Y), _xlfn.XLOOKUP($C6, Amazon_USA_Air_Shipment!$C:$C, Amazon_USA_Air_Shipment!Y:Y))</f>
        <v>0</v>
      </c>
      <c r="AL6" s="262">
        <f>SUM(_xlfn.XLOOKUP($C6, 'INT-_Manjiri'!$C:$C, 'INT-_Manjiri'!Z:Z), _xlfn.XLOOKUP($C6, 'USA-_Sea_shipment'!$C:$C, 'USA-_Sea_shipment'!AG:AG), _xlfn.XLOOKUP($C6, UK!$C:$C, UK!AE:AE), _xlfn.XLOOKUP($C6, Domestic!$C:$C, Domestic!AB:AB), _xlfn.XLOOKUP($C6, MENA!$C:$C, MENA!Z:Z), _xlfn.XLOOKUP($C6, Amazon_USA_Air_Shipment!$C:$C, Amazon_USA_Air_Shipment!Z:Z))</f>
        <v>1476</v>
      </c>
      <c r="AM6" s="262">
        <f>SUM(_xlfn.XLOOKUP($C6, 'INT-_Manjiri'!$C:$C, 'INT-_Manjiri'!AA:AA), _xlfn.XLOOKUP($C6, 'USA-_Sea_shipment'!$C:$C, 'USA-_Sea_shipment'!AH:AH), _xlfn.XLOOKUP($C6, UK!$C:$C, UK!AF:AF), _xlfn.XLOOKUP($C6, Domestic!$C:$C, Domestic!AC:AC), _xlfn.XLOOKUP($C6, MENA!$C:$C, MENA!AA:AA), _xlfn.XLOOKUP($C6, Amazon_USA_Air_Shipment!$C:$C, Amazon_USA_Air_Shipment!AA:AA))</f>
        <v>1672</v>
      </c>
      <c r="AN6" s="262">
        <f>SUM(_xlfn.XLOOKUP($C6, 'INT-_Manjiri'!$C:$C, 'INT-_Manjiri'!AB:AB), _xlfn.XLOOKUP($C6, 'USA-_Sea_shipment'!$C:$C, 'USA-_Sea_shipment'!AI:AI), _xlfn.XLOOKUP($C6, UK!$C:$C, UK!AG:AG), _xlfn.XLOOKUP($C6, Domestic!$C:$C, Domestic!AD:AD), _xlfn.XLOOKUP($C6, MENA!$C:$C, MENA!AB:AB), _xlfn.XLOOKUP($C6, Amazon_USA_Air_Shipment!$C:$C, Amazon_USA_Air_Shipment!AB:AB))</f>
        <v>0</v>
      </c>
      <c r="AO6" s="264">
        <f t="shared" si="9"/>
        <v>952.5</v>
      </c>
      <c r="AP6" s="263">
        <f t="shared" si="10"/>
        <v>3810</v>
      </c>
      <c r="AQ6" s="265">
        <f t="shared" si="11"/>
        <v>0</v>
      </c>
      <c r="AR6" s="262">
        <f>SUM(_xlfn.XLOOKUP($C6, 'INT-_Manjiri'!$C:$C, 'INT-_Manjiri'!AC:AC), _xlfn.XLOOKUP($C6, 'USA-_Sea_shipment'!$C:$C, 'USA-_Sea_shipment'!AT:AT), _xlfn.XLOOKUP($C6, UK!$C:$C, UK!AK:AK), _xlfn.XLOOKUP($C6, Domestic!$C:$C, Domestic!AE:AE), _xlfn.XLOOKUP($C6, MENA!$C:$C, MENA!AC:AC), _xlfn.XLOOKUP($C6, Amazon_USA_Air_Shipment!$C:$C, Amazon_USA_Air_Shipment!AC:AC))</f>
        <v>0</v>
      </c>
      <c r="AS6" s="262">
        <f>SUM(_xlfn.XLOOKUP($C6, 'INT-_Manjiri'!$C:$C, 'INT-_Manjiri'!AD:AD), _xlfn.XLOOKUP($C6, 'USA-_Sea_shipment'!$C:$C, 'USA-_Sea_shipment'!AU:AU), _xlfn.XLOOKUP($C6, UK!$C:$C, UK!AL:AL), _xlfn.XLOOKUP($C6, Domestic!$C:$C, Domestic!AF:AF), _xlfn.XLOOKUP($C6, MENA!$C:$C, MENA!AD:AD), _xlfn.XLOOKUP($C6, Amazon_USA_Air_Shipment!$C:$C, Amazon_USA_Air_Shipment!AD:AD))</f>
        <v>480</v>
      </c>
      <c r="AT6" s="262">
        <f>SUM(_xlfn.XLOOKUP($C6, 'INT-_Manjiri'!$C:$C, 'INT-_Manjiri'!AE:AE), _xlfn.XLOOKUP($C6, 'USA-_Sea_shipment'!$C:$C, 'USA-_Sea_shipment'!AV:AV), _xlfn.XLOOKUP($C6, UK!$C:$C, UK!AM:AM), _xlfn.XLOOKUP($C6, Domestic!$C:$C, Domestic!AG:AG), _xlfn.XLOOKUP($C6, MENA!$C:$C, MENA!AE:AE), _xlfn.XLOOKUP($C6, Amazon_USA_Air_Shipment!$C:$C, Amazon_USA_Air_Shipment!AE:AE))</f>
        <v>912</v>
      </c>
      <c r="AU6" s="262">
        <f>SUM(_xlfn.XLOOKUP($C6, 'INT-_Manjiri'!$C:$C, 'INT-_Manjiri'!AF:AF), _xlfn.XLOOKUP($C6, 'USA-_Sea_shipment'!$C:$C, 'USA-_Sea_shipment'!AW:AW), _xlfn.XLOOKUP($C6, UK!$C:$C, UK!AN:AN), _xlfn.XLOOKUP($C6, Domestic!$C:$C, Domestic!AH:AH), _xlfn.XLOOKUP($C6, MENA!$C:$C, MENA!AF:AF), _xlfn.XLOOKUP($C6, Amazon_USA_Air_Shipment!$C:$C, Amazon_USA_Air_Shipment!AF:AF))</f>
        <v>131</v>
      </c>
      <c r="AV6" s="262">
        <f>SUM(_xlfn.XLOOKUP($C6, 'INT-_Manjiri'!$C:$C, 'INT-_Manjiri'!AG:AG), _xlfn.XLOOKUP($C6, 'USA-_Sea_shipment'!$C:$C, 'USA-_Sea_shipment'!AX:AX), _xlfn.XLOOKUP($C6, UK!$C:$C, UK!AO:AO), _xlfn.XLOOKUP($C6, Domestic!$C:$C, Domestic!AI:AI), _xlfn.XLOOKUP($C6, MENA!$C:$C, MENA!AG:AG), _xlfn.XLOOKUP($C6, Amazon_USA_Air_Shipment!$C:$C, Amazon_USA_Air_Shipment!AG:AG))</f>
        <v>0</v>
      </c>
      <c r="AW6" s="262">
        <f>SUM(_xlfn.XLOOKUP($C6, 'INT-_Manjiri'!$C:$C, 'INT-_Manjiri'!AH:AH), _xlfn.XLOOKUP($C6, 'USA-_Sea_shipment'!$C:$C, 'USA-_Sea_shipment'!AY:AY), _xlfn.XLOOKUP($C6, UK!$C:$C, UK!AP:AP), _xlfn.XLOOKUP($C6, Domestic!$C:$C, Domestic!AJ:AJ), _xlfn.XLOOKUP($C6, MENA!$C:$C, MENA!AH:AH), _xlfn.XLOOKUP($C6, Amazon_USA_Air_Shipment!$C:$C, Amazon_USA_Air_Shipment!AH:AH))</f>
        <v>0</v>
      </c>
      <c r="AX6" s="262" t="e">
        <f>SUM(_xlfn.XLOOKUP($C6, 'INT-_Manjiri'!$C:$C, 'INT-_Manjiri'!AI:AI), _xlfn.XLOOKUP($C6, 'USA-_Sea_shipment'!$C:$C, 'USA-_Sea_shipment'!#REF!), _xlfn.XLOOKUP($C6, UK!$C:$C, UK!AQ:AQ), _xlfn.XLOOKUP($C6, Domestic!$C:$C, Domestic!AK:AK), _xlfn.XLOOKUP($C6, MENA!$C:$C, MENA!AI:AI), _xlfn.XLOOKUP($C6, Amazon_USA_Air_Shipment!$C:$C, Amazon_USA_Air_Shipment!AI:AI))</f>
        <v>#REF!</v>
      </c>
      <c r="AY6" s="262" t="e">
        <f>SUM(_xlfn.XLOOKUP($C6, 'INT-_Manjiri'!$C:$C, 'INT-_Manjiri'!AJ:AJ), _xlfn.XLOOKUP($C6, 'USA-_Sea_shipment'!$C:$C, 'USA-_Sea_shipment'!#REF!), _xlfn.XLOOKUP($C6, UK!$C:$C, UK!AR:AR), _xlfn.XLOOKUP($C6, Domestic!$C:$C, Domestic!AL:AL), _xlfn.XLOOKUP($C6, MENA!$C:$C, MENA!AJ:AJ), _xlfn.XLOOKUP($C6, Amazon_USA_Air_Shipment!$C:$C, Amazon_USA_Air_Shipment!AJ:AJ))</f>
        <v>#REF!</v>
      </c>
      <c r="AZ6" s="262" t="e">
        <f>SUM(_xlfn.XLOOKUP($C6, 'INT-_Manjiri'!$C:$C, 'INT-_Manjiri'!AK:AK), _xlfn.XLOOKUP($C6, 'USA-_Sea_shipment'!$C:$C, 'USA-_Sea_shipment'!#REF!), _xlfn.XLOOKUP($C6, UK!$C:$C, UK!AS:AS), _xlfn.XLOOKUP($C6, Domestic!$C:$C, Domestic!AM:AM), _xlfn.XLOOKUP($C6, MENA!$C:$C, MENA!AK:AK), _xlfn.XLOOKUP($C6, Amazon_USA_Air_Shipment!$C:$C, Amazon_USA_Air_Shipment!AK:AK))</f>
        <v>#REF!</v>
      </c>
      <c r="BA6" s="263" t="e">
        <f t="shared" si="12"/>
        <v>#REF!</v>
      </c>
      <c r="BB6" s="264" t="e">
        <f t="shared" si="13"/>
        <v>#REF!</v>
      </c>
      <c r="BC6" s="265">
        <f t="shared" si="14"/>
        <v>0</v>
      </c>
      <c r="BD6" s="263" t="e">
        <f t="shared" si="15"/>
        <v>#REF!</v>
      </c>
      <c r="BE6" s="264" t="e">
        <f t="shared" si="16"/>
        <v>#REF!</v>
      </c>
      <c r="BF6" s="264" t="e">
        <f t="shared" si="17"/>
        <v>#REF!</v>
      </c>
      <c r="BG6" s="266">
        <f t="shared" si="18"/>
        <v>0</v>
      </c>
      <c r="BH6" s="267"/>
      <c r="BI6" s="267"/>
      <c r="BJ6" s="268"/>
      <c r="BK6" s="269"/>
      <c r="BL6" s="270" t="e">
        <f t="shared" si="19"/>
        <v>#DIV/0!</v>
      </c>
      <c r="BM6" s="110"/>
      <c r="BN6" s="110"/>
      <c r="BO6" s="110"/>
      <c r="BP6" s="110"/>
      <c r="BQ6" s="110"/>
      <c r="BR6" s="110"/>
      <c r="BS6" s="110"/>
      <c r="BT6" s="110"/>
    </row>
    <row r="7" spans="1:72" ht="18">
      <c r="A7" s="188">
        <v>5</v>
      </c>
      <c r="B7" s="94" t="s">
        <v>12</v>
      </c>
      <c r="C7" s="95" t="s">
        <v>76</v>
      </c>
      <c r="D7" s="95" t="s">
        <v>26</v>
      </c>
      <c r="E7" s="96">
        <v>0.5</v>
      </c>
      <c r="F7" s="259"/>
      <c r="G7" s="259"/>
      <c r="H7" s="259"/>
      <c r="I7" s="260"/>
      <c r="J7" s="260"/>
      <c r="K7" s="260"/>
      <c r="L7" s="260"/>
      <c r="M7" s="261">
        <f t="shared" si="2"/>
        <v>0</v>
      </c>
      <c r="N7" s="262">
        <v>0</v>
      </c>
      <c r="O7" s="262">
        <v>0</v>
      </c>
      <c r="P7" s="262">
        <v>0</v>
      </c>
      <c r="Q7" s="262">
        <v>0</v>
      </c>
      <c r="R7" s="262">
        <v>0</v>
      </c>
      <c r="S7" s="262">
        <v>0</v>
      </c>
      <c r="T7" s="262">
        <v>0</v>
      </c>
      <c r="U7" s="263">
        <f t="shared" si="3"/>
        <v>0</v>
      </c>
      <c r="V7" s="264">
        <f t="shared" si="4"/>
        <v>0</v>
      </c>
      <c r="W7" s="192">
        <f t="shared" si="5"/>
        <v>0</v>
      </c>
      <c r="X7" s="262">
        <f>SUM(_xlfn.XLOOKUP($C7, 'INT-_Manjiri'!$C:$C, 'INT-_Manjiri'!O:O), _xlfn.XLOOKUP($C7, 'USA-_Sea_shipment'!$C:$C, 'USA-_Sea_shipment'!S:S), _xlfn.XLOOKUP($C7, UK!$C:$C, UK!Q:Q), _xlfn.XLOOKUP($C7, Domestic!$C:$C, Domestic!Q:Q), _xlfn.XLOOKUP($C7, MENA!$C:$C, MENA!O:O), _xlfn.XLOOKUP($C7, Amazon_USA_Air_Shipment!$C:$C, Amazon_USA_Air_Shipment!O:O))</f>
        <v>0</v>
      </c>
      <c r="Y7" s="262">
        <f>SUM(_xlfn.XLOOKUP($C7, 'INT-_Manjiri'!$C:$C, 'INT-_Manjiri'!P:P), _xlfn.XLOOKUP($C7, 'USA-_Sea_shipment'!$C:$C, 'USA-_Sea_shipment'!T:T), _xlfn.XLOOKUP($C7, UK!$C:$C, UK!R:R), _xlfn.XLOOKUP($C7, Domestic!$C:$C, Domestic!R:R), _xlfn.XLOOKUP($C7, MENA!$C:$C, MENA!P:P), _xlfn.XLOOKUP($C7, Amazon_USA_Air_Shipment!$C:$C, Amazon_USA_Air_Shipment!P:P))</f>
        <v>0</v>
      </c>
      <c r="Z7" s="262">
        <f>SUM(_xlfn.XLOOKUP($C7, 'INT-_Manjiri'!$C:$C, 'INT-_Manjiri'!Q:Q), _xlfn.XLOOKUP($C7, 'USA-_Sea_shipment'!$C:$C, 'USA-_Sea_shipment'!U:U), _xlfn.XLOOKUP($C7, UK!$C:$C, UK!S:S), _xlfn.XLOOKUP($C7, Domestic!$C:$C, Domestic!S:S), _xlfn.XLOOKUP($C7, MENA!$C:$C, MENA!Q:Q), _xlfn.XLOOKUP($C7, Amazon_USA_Air_Shipment!$C:$C, Amazon_USA_Air_Shipment!Q:Q))</f>
        <v>0</v>
      </c>
      <c r="AA7" s="262">
        <f>SUM(_xlfn.XLOOKUP($C7, 'INT-_Manjiri'!$C:$C, 'INT-_Manjiri'!R:R), _xlfn.XLOOKUP($C7, 'USA-_Sea_shipment'!$C:$C, 'USA-_Sea_shipment'!V:V), _xlfn.XLOOKUP($C7, UK!$C:$C, UK!T:T), _xlfn.XLOOKUP($C7, Domestic!$C:$C, Domestic!T:T), _xlfn.XLOOKUP($C7, MENA!$C:$C, MENA!R:R), _xlfn.XLOOKUP($C7, Amazon_USA_Air_Shipment!$C:$C, Amazon_USA_Air_Shipment!R:R))</f>
        <v>0</v>
      </c>
      <c r="AB7" s="262">
        <f>SUM(_xlfn.XLOOKUP($C7, 'INT-_Manjiri'!$C:$C, 'INT-_Manjiri'!S:S), _xlfn.XLOOKUP($C7, 'USA-_Sea_shipment'!$C:$C, 'USA-_Sea_shipment'!W:W), _xlfn.XLOOKUP($C7, UK!$C:$C, UK!U:U), _xlfn.XLOOKUP($C7, Domestic!$C:$C, Domestic!U:U), _xlfn.XLOOKUP($C7, MENA!$C:$C, MENA!S:S), _xlfn.XLOOKUP($C7, Amazon_USA_Air_Shipment!$C:$C, Amazon_USA_Air_Shipment!S:S))</f>
        <v>80</v>
      </c>
      <c r="AC7" s="262">
        <f>SUM(_xlfn.XLOOKUP($C7, 'INT-_Manjiri'!$C:$C, 'INT-_Manjiri'!T:T), _xlfn.XLOOKUP($C7, 'USA-_Sea_shipment'!$C:$C, 'USA-_Sea_shipment'!X:X), _xlfn.XLOOKUP($C7, UK!$C:$C, UK!V:V), _xlfn.XLOOKUP($C7, Domestic!$C:$C, Domestic!V:V), _xlfn.XLOOKUP($C7, MENA!$C:$C, MENA!T:T), _xlfn.XLOOKUP($C7, Amazon_USA_Air_Shipment!$C:$C, Amazon_USA_Air_Shipment!T:T))</f>
        <v>0</v>
      </c>
      <c r="AD7" s="262">
        <f>SUM(_xlfn.XLOOKUP($C7, 'INT-_Manjiri'!$C:$C, 'INT-_Manjiri'!U:U), _xlfn.XLOOKUP($C7, 'USA-_Sea_shipment'!$C:$C, 'USA-_Sea_shipment'!Y:Y), _xlfn.XLOOKUP($C7, UK!$C:$C, UK!W:W), _xlfn.XLOOKUP($C7, Domestic!$C:$C, Domestic!W:W), _xlfn.XLOOKUP($C7, MENA!$C:$C, MENA!U:U), _xlfn.XLOOKUP($C7, Amazon_USA_Air_Shipment!$C:$C, Amazon_USA_Air_Shipment!U:U))</f>
        <v>0</v>
      </c>
      <c r="AE7" s="263">
        <f t="shared" si="6"/>
        <v>80</v>
      </c>
      <c r="AF7" s="264">
        <f t="shared" si="7"/>
        <v>40</v>
      </c>
      <c r="AG7" s="265">
        <f t="shared" si="8"/>
        <v>0</v>
      </c>
      <c r="AH7" s="262">
        <f>SUM(_xlfn.XLOOKUP($C7, 'INT-_Manjiri'!$C:$C, 'INT-_Manjiri'!V:V), _xlfn.XLOOKUP($C7, 'USA-_Sea_shipment'!$C:$C, 'USA-_Sea_shipment'!AC:AC), _xlfn.XLOOKUP($C7, UK!$C:$C, UK!AA:AA), _xlfn.XLOOKUP($C7, Domestic!$C:$C, Domestic!X:X), _xlfn.XLOOKUP($C7, MENA!$C:$C, MENA!V:V), _xlfn.XLOOKUP($C7, Amazon_USA_Air_Shipment!$C:$C, Amazon_USA_Air_Shipment!V:V))</f>
        <v>0</v>
      </c>
      <c r="AI7" s="262">
        <f>SUM(_xlfn.XLOOKUP($C7, 'INT-_Manjiri'!$C:$C, 'INT-_Manjiri'!W:W), _xlfn.XLOOKUP($C7, 'USA-_Sea_shipment'!$C:$C, 'USA-_Sea_shipment'!AD:AD), _xlfn.XLOOKUP($C7, UK!$C:$C, UK!AB:AB), _xlfn.XLOOKUP($C7, Domestic!$C:$C, Domestic!Y:Y), _xlfn.XLOOKUP($C7, MENA!$C:$C, MENA!W:W), _xlfn.XLOOKUP($C7, Amazon_USA_Air_Shipment!$C:$C, Amazon_USA_Air_Shipment!W:W))</f>
        <v>20</v>
      </c>
      <c r="AJ7" s="262">
        <f>SUM(_xlfn.XLOOKUP($C7, 'INT-_Manjiri'!$C:$C, 'INT-_Manjiri'!X:X), _xlfn.XLOOKUP($C7, 'USA-_Sea_shipment'!$C:$C, 'USA-_Sea_shipment'!AE:AE), _xlfn.XLOOKUP($C7, UK!$C:$C, UK!AC:AC), _xlfn.XLOOKUP($C7, Domestic!$C:$C, Domestic!Z:Z), _xlfn.XLOOKUP($C7, MENA!$C:$C, MENA!X:X), _xlfn.XLOOKUP($C7, Amazon_USA_Air_Shipment!$C:$C, Amazon_USA_Air_Shipment!X:X))</f>
        <v>0</v>
      </c>
      <c r="AK7" s="262">
        <f>SUM(_xlfn.XLOOKUP($C7, 'INT-_Manjiri'!$C:$C, 'INT-_Manjiri'!Y:Y), _xlfn.XLOOKUP($C7, 'USA-_Sea_shipment'!$C:$C, 'USA-_Sea_shipment'!AF:AF), _xlfn.XLOOKUP($C7, UK!$C:$C, UK!AD:AD), _xlfn.XLOOKUP($C7, Domestic!$C:$C, Domestic!AA:AA), _xlfn.XLOOKUP($C7, MENA!$C:$C, MENA!Y:Y), _xlfn.XLOOKUP($C7, Amazon_USA_Air_Shipment!$C:$C, Amazon_USA_Air_Shipment!Y:Y))</f>
        <v>0</v>
      </c>
      <c r="AL7" s="262">
        <f>SUM(_xlfn.XLOOKUP($C7, 'INT-_Manjiri'!$C:$C, 'INT-_Manjiri'!Z:Z), _xlfn.XLOOKUP($C7, 'USA-_Sea_shipment'!$C:$C, 'USA-_Sea_shipment'!AG:AG), _xlfn.XLOOKUP($C7, UK!$C:$C, UK!AE:AE), _xlfn.XLOOKUP($C7, Domestic!$C:$C, Domestic!AB:AB), _xlfn.XLOOKUP($C7, MENA!$C:$C, MENA!Z:Z), _xlfn.XLOOKUP($C7, Amazon_USA_Air_Shipment!$C:$C, Amazon_USA_Air_Shipment!Z:Z))</f>
        <v>0</v>
      </c>
      <c r="AM7" s="262">
        <f>SUM(_xlfn.XLOOKUP($C7, 'INT-_Manjiri'!$C:$C, 'INT-_Manjiri'!AA:AA), _xlfn.XLOOKUP($C7, 'USA-_Sea_shipment'!$C:$C, 'USA-_Sea_shipment'!AH:AH), _xlfn.XLOOKUP($C7, UK!$C:$C, UK!AF:AF), _xlfn.XLOOKUP($C7, Domestic!$C:$C, Domestic!AC:AC), _xlfn.XLOOKUP($C7, MENA!$C:$C, MENA!AA:AA), _xlfn.XLOOKUP($C7, Amazon_USA_Air_Shipment!$C:$C, Amazon_USA_Air_Shipment!AA:AA))</f>
        <v>0</v>
      </c>
      <c r="AN7" s="262">
        <f>SUM(_xlfn.XLOOKUP($C7, 'INT-_Manjiri'!$C:$C, 'INT-_Manjiri'!AB:AB), _xlfn.XLOOKUP($C7, 'USA-_Sea_shipment'!$C:$C, 'USA-_Sea_shipment'!AI:AI), _xlfn.XLOOKUP($C7, UK!$C:$C, UK!AG:AG), _xlfn.XLOOKUP($C7, Domestic!$C:$C, Domestic!AD:AD), _xlfn.XLOOKUP($C7, MENA!$C:$C, MENA!AB:AB), _xlfn.XLOOKUP($C7, Amazon_USA_Air_Shipment!$C:$C, Amazon_USA_Air_Shipment!AB:AB))</f>
        <v>0</v>
      </c>
      <c r="AO7" s="264">
        <f t="shared" si="9"/>
        <v>10</v>
      </c>
      <c r="AP7" s="263">
        <f t="shared" si="10"/>
        <v>20</v>
      </c>
      <c r="AQ7" s="265">
        <f t="shared" si="11"/>
        <v>0</v>
      </c>
      <c r="AR7" s="262">
        <f>SUM(_xlfn.XLOOKUP($C7, 'INT-_Manjiri'!$C:$C, 'INT-_Manjiri'!AC:AC), _xlfn.XLOOKUP($C7, 'USA-_Sea_shipment'!$C:$C, 'USA-_Sea_shipment'!AT:AT), _xlfn.XLOOKUP($C7, UK!$C:$C, UK!AK:AK), _xlfn.XLOOKUP($C7, Domestic!$C:$C, Domestic!AE:AE), _xlfn.XLOOKUP($C7, MENA!$C:$C, MENA!AC:AC), _xlfn.XLOOKUP($C7, Amazon_USA_Air_Shipment!$C:$C, Amazon_USA_Air_Shipment!AC:AC))</f>
        <v>210</v>
      </c>
      <c r="AS7" s="262">
        <f>SUM(_xlfn.XLOOKUP($C7, 'INT-_Manjiri'!$C:$C, 'INT-_Manjiri'!AD:AD), _xlfn.XLOOKUP($C7, 'USA-_Sea_shipment'!$C:$C, 'USA-_Sea_shipment'!AU:AU), _xlfn.XLOOKUP($C7, UK!$C:$C, UK!AL:AL), _xlfn.XLOOKUP($C7, Domestic!$C:$C, Domestic!AF:AF), _xlfn.XLOOKUP($C7, MENA!$C:$C, MENA!AD:AD), _xlfn.XLOOKUP($C7, Amazon_USA_Air_Shipment!$C:$C, Amazon_USA_Air_Shipment!AD:AD))</f>
        <v>105</v>
      </c>
      <c r="AT7" s="262">
        <f>SUM(_xlfn.XLOOKUP($C7, 'INT-_Manjiri'!$C:$C, 'INT-_Manjiri'!AE:AE), _xlfn.XLOOKUP($C7, 'USA-_Sea_shipment'!$C:$C, 'USA-_Sea_shipment'!AV:AV), _xlfn.XLOOKUP($C7, UK!$C:$C, UK!AM:AM), _xlfn.XLOOKUP($C7, Domestic!$C:$C, Domestic!AG:AG), _xlfn.XLOOKUP($C7, MENA!$C:$C, MENA!AE:AE), _xlfn.XLOOKUP($C7, Amazon_USA_Air_Shipment!$C:$C, Amazon_USA_Air_Shipment!AE:AE))</f>
        <v>705</v>
      </c>
      <c r="AU7" s="262">
        <f>SUM(_xlfn.XLOOKUP($C7, 'INT-_Manjiri'!$C:$C, 'INT-_Manjiri'!AF:AF), _xlfn.XLOOKUP($C7, 'USA-_Sea_shipment'!$C:$C, 'USA-_Sea_shipment'!AW:AW), _xlfn.XLOOKUP($C7, UK!$C:$C, UK!AN:AN), _xlfn.XLOOKUP($C7, Domestic!$C:$C, Domestic!AH:AH), _xlfn.XLOOKUP($C7, MENA!$C:$C, MENA!AF:AF), _xlfn.XLOOKUP($C7, Amazon_USA_Air_Shipment!$C:$C, Amazon_USA_Air_Shipment!AF:AF))</f>
        <v>120</v>
      </c>
      <c r="AV7" s="262">
        <f>SUM(_xlfn.XLOOKUP($C7, 'INT-_Manjiri'!$C:$C, 'INT-_Manjiri'!AG:AG), _xlfn.XLOOKUP($C7, 'USA-_Sea_shipment'!$C:$C, 'USA-_Sea_shipment'!AX:AX), _xlfn.XLOOKUP($C7, UK!$C:$C, UK!AO:AO), _xlfn.XLOOKUP($C7, Domestic!$C:$C, Domestic!AI:AI), _xlfn.XLOOKUP($C7, MENA!$C:$C, MENA!AG:AG), _xlfn.XLOOKUP($C7, Amazon_USA_Air_Shipment!$C:$C, Amazon_USA_Air_Shipment!AG:AG))</f>
        <v>1.1290322580645162</v>
      </c>
      <c r="AW7" s="262">
        <f>SUM(_xlfn.XLOOKUP($C7, 'INT-_Manjiri'!$C:$C, 'INT-_Manjiri'!AH:AH), _xlfn.XLOOKUP($C7, 'USA-_Sea_shipment'!$C:$C, 'USA-_Sea_shipment'!AY:AY), _xlfn.XLOOKUP($C7, UK!$C:$C, UK!AP:AP), _xlfn.XLOOKUP($C7, Domestic!$C:$C, Domestic!AJ:AJ), _xlfn.XLOOKUP($C7, MENA!$C:$C, MENA!AH:AH), _xlfn.XLOOKUP($C7, Amazon_USA_Air_Shipment!$C:$C, Amazon_USA_Air_Shipment!AH:AH))</f>
        <v>0</v>
      </c>
      <c r="AX7" s="262" t="e">
        <f>SUM(_xlfn.XLOOKUP($C7, 'INT-_Manjiri'!$C:$C, 'INT-_Manjiri'!AI:AI), _xlfn.XLOOKUP($C7, 'USA-_Sea_shipment'!$C:$C, 'USA-_Sea_shipment'!#REF!), _xlfn.XLOOKUP($C7, UK!$C:$C, UK!AQ:AQ), _xlfn.XLOOKUP($C7, Domestic!$C:$C, Domestic!AK:AK), _xlfn.XLOOKUP($C7, MENA!$C:$C, MENA!AI:AI), _xlfn.XLOOKUP($C7, Amazon_USA_Air_Shipment!$C:$C, Amazon_USA_Air_Shipment!AI:AI))</f>
        <v>#REF!</v>
      </c>
      <c r="AY7" s="262" t="e">
        <f>SUM(_xlfn.XLOOKUP($C7, 'INT-_Manjiri'!$C:$C, 'INT-_Manjiri'!AJ:AJ), _xlfn.XLOOKUP($C7, 'USA-_Sea_shipment'!$C:$C, 'USA-_Sea_shipment'!#REF!), _xlfn.XLOOKUP($C7, UK!$C:$C, UK!AR:AR), _xlfn.XLOOKUP($C7, Domestic!$C:$C, Domestic!AL:AL), _xlfn.XLOOKUP($C7, MENA!$C:$C, MENA!AJ:AJ), _xlfn.XLOOKUP($C7, Amazon_USA_Air_Shipment!$C:$C, Amazon_USA_Air_Shipment!AJ:AJ))</f>
        <v>#REF!</v>
      </c>
      <c r="AZ7" s="262" t="e">
        <f>SUM(_xlfn.XLOOKUP($C7, 'INT-_Manjiri'!$C:$C, 'INT-_Manjiri'!AK:AK), _xlfn.XLOOKUP($C7, 'USA-_Sea_shipment'!$C:$C, 'USA-_Sea_shipment'!#REF!), _xlfn.XLOOKUP($C7, UK!$C:$C, UK!AS:AS), _xlfn.XLOOKUP($C7, Domestic!$C:$C, Domestic!AM:AM), _xlfn.XLOOKUP($C7, MENA!$C:$C, MENA!AK:AK), _xlfn.XLOOKUP($C7, Amazon_USA_Air_Shipment!$C:$C, Amazon_USA_Air_Shipment!AK:AK))</f>
        <v>#REF!</v>
      </c>
      <c r="BA7" s="263" t="e">
        <f t="shared" si="12"/>
        <v>#REF!</v>
      </c>
      <c r="BB7" s="264" t="e">
        <f t="shared" si="13"/>
        <v>#REF!</v>
      </c>
      <c r="BC7" s="265">
        <f t="shared" si="14"/>
        <v>0</v>
      </c>
      <c r="BD7" s="263" t="e">
        <f t="shared" si="15"/>
        <v>#REF!</v>
      </c>
      <c r="BE7" s="264" t="e">
        <f t="shared" si="16"/>
        <v>#REF!</v>
      </c>
      <c r="BF7" s="264" t="e">
        <f t="shared" si="17"/>
        <v>#REF!</v>
      </c>
      <c r="BG7" s="266">
        <f t="shared" si="18"/>
        <v>0</v>
      </c>
      <c r="BH7" s="267"/>
      <c r="BI7" s="267"/>
      <c r="BJ7" s="268"/>
      <c r="BK7" s="269"/>
      <c r="BL7" s="270" t="e">
        <f t="shared" si="19"/>
        <v>#DIV/0!</v>
      </c>
      <c r="BM7" s="110"/>
      <c r="BN7" s="110"/>
      <c r="BO7" s="110"/>
      <c r="BP7" s="110"/>
      <c r="BQ7" s="110"/>
      <c r="BR7" s="110"/>
      <c r="BS7" s="110"/>
      <c r="BT7" s="110"/>
    </row>
    <row r="8" spans="1:72" ht="18">
      <c r="A8" s="93">
        <v>6</v>
      </c>
      <c r="B8" s="94" t="s">
        <v>12</v>
      </c>
      <c r="C8" s="95" t="s">
        <v>73</v>
      </c>
      <c r="D8" s="95" t="s">
        <v>23</v>
      </c>
      <c r="E8" s="96">
        <v>0.5</v>
      </c>
      <c r="F8" s="259"/>
      <c r="G8" s="259"/>
      <c r="H8" s="259"/>
      <c r="I8" s="260"/>
      <c r="J8" s="260"/>
      <c r="K8" s="260"/>
      <c r="L8" s="260"/>
      <c r="M8" s="261">
        <f t="shared" si="2"/>
        <v>0</v>
      </c>
      <c r="N8" s="262">
        <v>0</v>
      </c>
      <c r="O8" s="262">
        <v>0</v>
      </c>
      <c r="P8" s="262">
        <v>0</v>
      </c>
      <c r="Q8" s="262">
        <v>0</v>
      </c>
      <c r="R8" s="262">
        <v>0</v>
      </c>
      <c r="S8" s="262">
        <v>0</v>
      </c>
      <c r="T8" s="262">
        <v>0</v>
      </c>
      <c r="U8" s="263">
        <f t="shared" si="3"/>
        <v>0</v>
      </c>
      <c r="V8" s="264">
        <f t="shared" si="4"/>
        <v>0</v>
      </c>
      <c r="W8" s="192">
        <f t="shared" si="5"/>
        <v>0</v>
      </c>
      <c r="X8" s="262">
        <f>SUM(_xlfn.XLOOKUP($C8, 'INT-_Manjiri'!$C:$C, 'INT-_Manjiri'!O:O), _xlfn.XLOOKUP($C8, 'USA-_Sea_shipment'!$C:$C, 'USA-_Sea_shipment'!S:S), _xlfn.XLOOKUP($C8, UK!$C:$C, UK!Q:Q), _xlfn.XLOOKUP($C8, Domestic!$C:$C, Domestic!Q:Q), _xlfn.XLOOKUP($C8, MENA!$C:$C, MENA!O:O), _xlfn.XLOOKUP($C8, Amazon_USA_Air_Shipment!$C:$C, Amazon_USA_Air_Shipment!O:O))</f>
        <v>0</v>
      </c>
      <c r="Y8" s="262">
        <f>SUM(_xlfn.XLOOKUP($C8, 'INT-_Manjiri'!$C:$C, 'INT-_Manjiri'!P:P), _xlfn.XLOOKUP($C8, 'USA-_Sea_shipment'!$C:$C, 'USA-_Sea_shipment'!T:T), _xlfn.XLOOKUP($C8, UK!$C:$C, UK!R:R), _xlfn.XLOOKUP($C8, Domestic!$C:$C, Domestic!R:R), _xlfn.XLOOKUP($C8, MENA!$C:$C, MENA!P:P), _xlfn.XLOOKUP($C8, Amazon_USA_Air_Shipment!$C:$C, Amazon_USA_Air_Shipment!P:P))</f>
        <v>1174</v>
      </c>
      <c r="Z8" s="262">
        <f>SUM(_xlfn.XLOOKUP($C8, 'INT-_Manjiri'!$C:$C, 'INT-_Manjiri'!Q:Q), _xlfn.XLOOKUP($C8, 'USA-_Sea_shipment'!$C:$C, 'USA-_Sea_shipment'!U:U), _xlfn.XLOOKUP($C8, UK!$C:$C, UK!S:S), _xlfn.XLOOKUP($C8, Domestic!$C:$C, Domestic!S:S), _xlfn.XLOOKUP($C8, MENA!$C:$C, MENA!Q:Q), _xlfn.XLOOKUP($C8, Amazon_USA_Air_Shipment!$C:$C, Amazon_USA_Air_Shipment!Q:Q))</f>
        <v>0</v>
      </c>
      <c r="AA8" s="262">
        <f>SUM(_xlfn.XLOOKUP($C8, 'INT-_Manjiri'!$C:$C, 'INT-_Manjiri'!R:R), _xlfn.XLOOKUP($C8, 'USA-_Sea_shipment'!$C:$C, 'USA-_Sea_shipment'!V:V), _xlfn.XLOOKUP($C8, UK!$C:$C, UK!T:T), _xlfn.XLOOKUP($C8, Domestic!$C:$C, Domestic!T:T), _xlfn.XLOOKUP($C8, MENA!$C:$C, MENA!R:R), _xlfn.XLOOKUP($C8, Amazon_USA_Air_Shipment!$C:$C, Amazon_USA_Air_Shipment!R:R))</f>
        <v>0</v>
      </c>
      <c r="AB8" s="262">
        <f>SUM(_xlfn.XLOOKUP($C8, 'INT-_Manjiri'!$C:$C, 'INT-_Manjiri'!S:S), _xlfn.XLOOKUP($C8, 'USA-_Sea_shipment'!$C:$C, 'USA-_Sea_shipment'!W:W), _xlfn.XLOOKUP($C8, UK!$C:$C, UK!U:U), _xlfn.XLOOKUP($C8, Domestic!$C:$C, Domestic!U:U), _xlfn.XLOOKUP($C8, MENA!$C:$C, MENA!S:S), _xlfn.XLOOKUP($C8, Amazon_USA_Air_Shipment!$C:$C, Amazon_USA_Air_Shipment!S:S))</f>
        <v>0</v>
      </c>
      <c r="AC8" s="262">
        <f>SUM(_xlfn.XLOOKUP($C8, 'INT-_Manjiri'!$C:$C, 'INT-_Manjiri'!T:T), _xlfn.XLOOKUP($C8, 'USA-_Sea_shipment'!$C:$C, 'USA-_Sea_shipment'!X:X), _xlfn.XLOOKUP($C8, UK!$C:$C, UK!V:V), _xlfn.XLOOKUP($C8, Domestic!$C:$C, Domestic!V:V), _xlfn.XLOOKUP($C8, MENA!$C:$C, MENA!T:T), _xlfn.XLOOKUP($C8, Amazon_USA_Air_Shipment!$C:$C, Amazon_USA_Air_Shipment!T:T))</f>
        <v>0</v>
      </c>
      <c r="AD8" s="262">
        <f>SUM(_xlfn.XLOOKUP($C8, 'INT-_Manjiri'!$C:$C, 'INT-_Manjiri'!U:U), _xlfn.XLOOKUP($C8, 'USA-_Sea_shipment'!$C:$C, 'USA-_Sea_shipment'!Y:Y), _xlfn.XLOOKUP($C8, UK!$C:$C, UK!W:W), _xlfn.XLOOKUP($C8, Domestic!$C:$C, Domestic!W:W), _xlfn.XLOOKUP($C8, MENA!$C:$C, MENA!U:U), _xlfn.XLOOKUP($C8, Amazon_USA_Air_Shipment!$C:$C, Amazon_USA_Air_Shipment!U:U))</f>
        <v>0</v>
      </c>
      <c r="AE8" s="263">
        <f t="shared" si="6"/>
        <v>1174</v>
      </c>
      <c r="AF8" s="264">
        <f t="shared" si="7"/>
        <v>587</v>
      </c>
      <c r="AG8" s="265">
        <f t="shared" si="8"/>
        <v>0</v>
      </c>
      <c r="AH8" s="262">
        <f>SUM(_xlfn.XLOOKUP($C8, 'INT-_Manjiri'!$C:$C, 'INT-_Manjiri'!V:V), _xlfn.XLOOKUP($C8, 'USA-_Sea_shipment'!$C:$C, 'USA-_Sea_shipment'!AC:AC), _xlfn.XLOOKUP($C8, UK!$C:$C, UK!AA:AA), _xlfn.XLOOKUP($C8, Domestic!$C:$C, Domestic!X:X), _xlfn.XLOOKUP($C8, MENA!$C:$C, MENA!V:V), _xlfn.XLOOKUP($C8, Amazon_USA_Air_Shipment!$C:$C, Amazon_USA_Air_Shipment!V:V))</f>
        <v>0</v>
      </c>
      <c r="AI8" s="262">
        <f>SUM(_xlfn.XLOOKUP($C8, 'INT-_Manjiri'!$C:$C, 'INT-_Manjiri'!W:W), _xlfn.XLOOKUP($C8, 'USA-_Sea_shipment'!$C:$C, 'USA-_Sea_shipment'!AD:AD), _xlfn.XLOOKUP($C8, UK!$C:$C, UK!AB:AB), _xlfn.XLOOKUP($C8, Domestic!$C:$C, Domestic!Y:Y), _xlfn.XLOOKUP($C8, MENA!$C:$C, MENA!W:W), _xlfn.XLOOKUP($C8, Amazon_USA_Air_Shipment!$C:$C, Amazon_USA_Air_Shipment!W:W))</f>
        <v>0</v>
      </c>
      <c r="AJ8" s="262">
        <f>SUM(_xlfn.XLOOKUP($C8, 'INT-_Manjiri'!$C:$C, 'INT-_Manjiri'!X:X), _xlfn.XLOOKUP($C8, 'USA-_Sea_shipment'!$C:$C, 'USA-_Sea_shipment'!AE:AE), _xlfn.XLOOKUP($C8, UK!$C:$C, UK!AC:AC), _xlfn.XLOOKUP($C8, Domestic!$C:$C, Domestic!Z:Z), _xlfn.XLOOKUP($C8, MENA!$C:$C, MENA!X:X), _xlfn.XLOOKUP($C8, Amazon_USA_Air_Shipment!$C:$C, Amazon_USA_Air_Shipment!X:X))</f>
        <v>0</v>
      </c>
      <c r="AK8" s="262">
        <f>SUM(_xlfn.XLOOKUP($C8, 'INT-_Manjiri'!$C:$C, 'INT-_Manjiri'!Y:Y), _xlfn.XLOOKUP($C8, 'USA-_Sea_shipment'!$C:$C, 'USA-_Sea_shipment'!AF:AF), _xlfn.XLOOKUP($C8, UK!$C:$C, UK!AD:AD), _xlfn.XLOOKUP($C8, Domestic!$C:$C, Domestic!AA:AA), _xlfn.XLOOKUP($C8, MENA!$C:$C, MENA!Y:Y), _xlfn.XLOOKUP($C8, Amazon_USA_Air_Shipment!$C:$C, Amazon_USA_Air_Shipment!Y:Y))</f>
        <v>0</v>
      </c>
      <c r="AL8" s="262">
        <f>SUM(_xlfn.XLOOKUP($C8, 'INT-_Manjiri'!$C:$C, 'INT-_Manjiri'!Z:Z), _xlfn.XLOOKUP($C8, 'USA-_Sea_shipment'!$C:$C, 'USA-_Sea_shipment'!AG:AG), _xlfn.XLOOKUP($C8, UK!$C:$C, UK!AE:AE), _xlfn.XLOOKUP($C8, Domestic!$C:$C, Domestic!AB:AB), _xlfn.XLOOKUP($C8, MENA!$C:$C, MENA!Z:Z), _xlfn.XLOOKUP($C8, Amazon_USA_Air_Shipment!$C:$C, Amazon_USA_Air_Shipment!Z:Z))</f>
        <v>0</v>
      </c>
      <c r="AM8" s="262">
        <f>SUM(_xlfn.XLOOKUP($C8, 'INT-_Manjiri'!$C:$C, 'INT-_Manjiri'!AA:AA), _xlfn.XLOOKUP($C8, 'USA-_Sea_shipment'!$C:$C, 'USA-_Sea_shipment'!AH:AH), _xlfn.XLOOKUP($C8, UK!$C:$C, UK!AF:AF), _xlfn.XLOOKUP($C8, Domestic!$C:$C, Domestic!AC:AC), _xlfn.XLOOKUP($C8, MENA!$C:$C, MENA!AA:AA), _xlfn.XLOOKUP($C8, Amazon_USA_Air_Shipment!$C:$C, Amazon_USA_Air_Shipment!AA:AA))</f>
        <v>9</v>
      </c>
      <c r="AN8" s="262">
        <f>SUM(_xlfn.XLOOKUP($C8, 'INT-_Manjiri'!$C:$C, 'INT-_Manjiri'!AB:AB), _xlfn.XLOOKUP($C8, 'USA-_Sea_shipment'!$C:$C, 'USA-_Sea_shipment'!AI:AI), _xlfn.XLOOKUP($C8, UK!$C:$C, UK!AG:AG), _xlfn.XLOOKUP($C8, Domestic!$C:$C, Domestic!AD:AD), _xlfn.XLOOKUP($C8, MENA!$C:$C, MENA!AB:AB), _xlfn.XLOOKUP($C8, Amazon_USA_Air_Shipment!$C:$C, Amazon_USA_Air_Shipment!AB:AB))</f>
        <v>0</v>
      </c>
      <c r="AO8" s="264">
        <f t="shared" si="9"/>
        <v>4.5</v>
      </c>
      <c r="AP8" s="263">
        <f t="shared" si="10"/>
        <v>9</v>
      </c>
      <c r="AQ8" s="265">
        <f t="shared" si="11"/>
        <v>0</v>
      </c>
      <c r="AR8" s="262">
        <f>SUM(_xlfn.XLOOKUP($C8, 'INT-_Manjiri'!$C:$C, 'INT-_Manjiri'!AC:AC), _xlfn.XLOOKUP($C8, 'USA-_Sea_shipment'!$C:$C, 'USA-_Sea_shipment'!AT:AT), _xlfn.XLOOKUP($C8, UK!$C:$C, UK!AK:AK), _xlfn.XLOOKUP($C8, Domestic!$C:$C, Domestic!AE:AE), _xlfn.XLOOKUP($C8, MENA!$C:$C, MENA!AC:AC), _xlfn.XLOOKUP($C8, Amazon_USA_Air_Shipment!$C:$C, Amazon_USA_Air_Shipment!AC:AC))</f>
        <v>159</v>
      </c>
      <c r="AS8" s="262">
        <f>SUM(_xlfn.XLOOKUP($C8, 'INT-_Manjiri'!$C:$C, 'INT-_Manjiri'!AD:AD), _xlfn.XLOOKUP($C8, 'USA-_Sea_shipment'!$C:$C, 'USA-_Sea_shipment'!AU:AU), _xlfn.XLOOKUP($C8, UK!$C:$C, UK!AL:AL), _xlfn.XLOOKUP($C8, Domestic!$C:$C, Domestic!AF:AF), _xlfn.XLOOKUP($C8, MENA!$C:$C, MENA!AD:AD), _xlfn.XLOOKUP($C8, Amazon_USA_Air_Shipment!$C:$C, Amazon_USA_Air_Shipment!AD:AD))</f>
        <v>79.5</v>
      </c>
      <c r="AT8" s="262">
        <f>SUM(_xlfn.XLOOKUP($C8, 'INT-_Manjiri'!$C:$C, 'INT-_Manjiri'!AE:AE), _xlfn.XLOOKUP($C8, 'USA-_Sea_shipment'!$C:$C, 'USA-_Sea_shipment'!AV:AV), _xlfn.XLOOKUP($C8, UK!$C:$C, UK!AM:AM), _xlfn.XLOOKUP($C8, Domestic!$C:$C, Domestic!AG:AG), _xlfn.XLOOKUP($C8, MENA!$C:$C, MENA!AE:AE), _xlfn.XLOOKUP($C8, Amazon_USA_Air_Shipment!$C:$C, Amazon_USA_Air_Shipment!AE:AE))</f>
        <v>-4</v>
      </c>
      <c r="AU8" s="262">
        <f>SUM(_xlfn.XLOOKUP($C8, 'INT-_Manjiri'!$C:$C, 'INT-_Manjiri'!AF:AF), _xlfn.XLOOKUP($C8, 'USA-_Sea_shipment'!$C:$C, 'USA-_Sea_shipment'!AW:AW), _xlfn.XLOOKUP($C8, UK!$C:$C, UK!AN:AN), _xlfn.XLOOKUP($C8, Domestic!$C:$C, Domestic!AH:AH), _xlfn.XLOOKUP($C8, MENA!$C:$C, MENA!AF:AF), _xlfn.XLOOKUP($C8, Amazon_USA_Air_Shipment!$C:$C, Amazon_USA_Air_Shipment!AF:AF))</f>
        <v>-2</v>
      </c>
      <c r="AV8" s="262">
        <f>SUM(_xlfn.XLOOKUP($C8, 'INT-_Manjiri'!$C:$C, 'INT-_Manjiri'!AG:AG), _xlfn.XLOOKUP($C8, 'USA-_Sea_shipment'!$C:$C, 'USA-_Sea_shipment'!AX:AX), _xlfn.XLOOKUP($C8, UK!$C:$C, UK!AO:AO), _xlfn.XLOOKUP($C8, Domestic!$C:$C, Domestic!AI:AI), _xlfn.XLOOKUP($C8, MENA!$C:$C, MENA!AG:AG), _xlfn.XLOOKUP($C8, Amazon_USA_Air_Shipment!$C:$C, Amazon_USA_Air_Shipment!AG:AG))</f>
        <v>1051.0258064516129</v>
      </c>
      <c r="AW8" s="262">
        <f>SUM(_xlfn.XLOOKUP($C8, 'INT-_Manjiri'!$C:$C, 'INT-_Manjiri'!AH:AH), _xlfn.XLOOKUP($C8, 'USA-_Sea_shipment'!$C:$C, 'USA-_Sea_shipment'!AY:AY), _xlfn.XLOOKUP($C8, UK!$C:$C, UK!AP:AP), _xlfn.XLOOKUP($C8, Domestic!$C:$C, Domestic!AJ:AJ), _xlfn.XLOOKUP($C8, MENA!$C:$C, MENA!AH:AH), _xlfn.XLOOKUP($C8, Amazon_USA_Air_Shipment!$C:$C, Amazon_USA_Air_Shipment!AH:AH))</f>
        <v>0</v>
      </c>
      <c r="AX8" s="262" t="e">
        <f>SUM(_xlfn.XLOOKUP($C8, 'INT-_Manjiri'!$C:$C, 'INT-_Manjiri'!AI:AI), _xlfn.XLOOKUP($C8, 'USA-_Sea_shipment'!$C:$C, 'USA-_Sea_shipment'!#REF!), _xlfn.XLOOKUP($C8, UK!$C:$C, UK!AQ:AQ), _xlfn.XLOOKUP($C8, Domestic!$C:$C, Domestic!AK:AK), _xlfn.XLOOKUP($C8, MENA!$C:$C, MENA!AI:AI), _xlfn.XLOOKUP($C8, Amazon_USA_Air_Shipment!$C:$C, Amazon_USA_Air_Shipment!AI:AI))</f>
        <v>#REF!</v>
      </c>
      <c r="AY8" s="262" t="e">
        <f>SUM(_xlfn.XLOOKUP($C8, 'INT-_Manjiri'!$C:$C, 'INT-_Manjiri'!AJ:AJ), _xlfn.XLOOKUP($C8, 'USA-_Sea_shipment'!$C:$C, 'USA-_Sea_shipment'!#REF!), _xlfn.XLOOKUP($C8, UK!$C:$C, UK!AR:AR), _xlfn.XLOOKUP($C8, Domestic!$C:$C, Domestic!AL:AL), _xlfn.XLOOKUP($C8, MENA!$C:$C, MENA!AJ:AJ), _xlfn.XLOOKUP($C8, Amazon_USA_Air_Shipment!$C:$C, Amazon_USA_Air_Shipment!AJ:AJ))</f>
        <v>#REF!</v>
      </c>
      <c r="AZ8" s="262" t="e">
        <f>SUM(_xlfn.XLOOKUP($C8, 'INT-_Manjiri'!$C:$C, 'INT-_Manjiri'!AK:AK), _xlfn.XLOOKUP($C8, 'USA-_Sea_shipment'!$C:$C, 'USA-_Sea_shipment'!#REF!), _xlfn.XLOOKUP($C8, UK!$C:$C, UK!AS:AS), _xlfn.XLOOKUP($C8, Domestic!$C:$C, Domestic!AM:AM), _xlfn.XLOOKUP($C8, MENA!$C:$C, MENA!AK:AK), _xlfn.XLOOKUP($C8, Amazon_USA_Air_Shipment!$C:$C, Amazon_USA_Air_Shipment!AK:AK))</f>
        <v>#REF!</v>
      </c>
      <c r="BA8" s="263" t="e">
        <f t="shared" si="12"/>
        <v>#REF!</v>
      </c>
      <c r="BB8" s="264" t="e">
        <f t="shared" si="13"/>
        <v>#REF!</v>
      </c>
      <c r="BC8" s="265">
        <f t="shared" si="14"/>
        <v>0</v>
      </c>
      <c r="BD8" s="263" t="e">
        <f t="shared" si="15"/>
        <v>#REF!</v>
      </c>
      <c r="BE8" s="264" t="e">
        <f t="shared" si="16"/>
        <v>#REF!</v>
      </c>
      <c r="BF8" s="264" t="e">
        <f t="shared" si="17"/>
        <v>#REF!</v>
      </c>
      <c r="BG8" s="266">
        <f t="shared" si="18"/>
        <v>0</v>
      </c>
      <c r="BH8" s="267"/>
      <c r="BI8" s="267"/>
      <c r="BJ8" s="268"/>
      <c r="BK8" s="269"/>
      <c r="BL8" s="270" t="e">
        <f t="shared" si="19"/>
        <v>#DIV/0!</v>
      </c>
      <c r="BM8" s="110"/>
      <c r="BN8" s="110"/>
      <c r="BO8" s="110"/>
      <c r="BP8" s="110"/>
      <c r="BQ8" s="110"/>
      <c r="BR8" s="110"/>
      <c r="BS8" s="110"/>
      <c r="BT8" s="110"/>
    </row>
    <row r="9" spans="1:72" ht="18">
      <c r="A9" s="188">
        <v>7</v>
      </c>
      <c r="B9" s="94" t="s">
        <v>12</v>
      </c>
      <c r="C9" s="95" t="s">
        <v>74</v>
      </c>
      <c r="D9" s="95" t="s">
        <v>208</v>
      </c>
      <c r="E9" s="112">
        <v>0.5</v>
      </c>
      <c r="F9" s="259"/>
      <c r="G9" s="259"/>
      <c r="H9" s="259"/>
      <c r="I9" s="260"/>
      <c r="J9" s="260"/>
      <c r="K9" s="260"/>
      <c r="L9" s="260"/>
      <c r="M9" s="261">
        <f t="shared" si="2"/>
        <v>0</v>
      </c>
      <c r="N9" s="262">
        <v>0</v>
      </c>
      <c r="O9" s="262">
        <v>0</v>
      </c>
      <c r="P9" s="262">
        <v>0</v>
      </c>
      <c r="Q9" s="262">
        <v>0</v>
      </c>
      <c r="R9" s="262">
        <v>0</v>
      </c>
      <c r="S9" s="262">
        <v>0</v>
      </c>
      <c r="T9" s="262">
        <v>0</v>
      </c>
      <c r="U9" s="263">
        <f t="shared" si="3"/>
        <v>0</v>
      </c>
      <c r="V9" s="264">
        <f t="shared" si="4"/>
        <v>0</v>
      </c>
      <c r="W9" s="192">
        <f t="shared" si="5"/>
        <v>0</v>
      </c>
      <c r="X9" s="262">
        <f>SUM(_xlfn.XLOOKUP($C9, 'INT-_Manjiri'!$C:$C, 'INT-_Manjiri'!O:O), _xlfn.XLOOKUP($C9, 'USA-_Sea_shipment'!$C:$C, 'USA-_Sea_shipment'!S:S), _xlfn.XLOOKUP($C9, UK!$C:$C, UK!Q:Q), _xlfn.XLOOKUP($C9, Domestic!$C:$C, Domestic!Q:Q), _xlfn.XLOOKUP($C9, MENA!$C:$C, MENA!O:O), _xlfn.XLOOKUP($C9, Amazon_USA_Air_Shipment!$C:$C, Amazon_USA_Air_Shipment!O:O))</f>
        <v>232</v>
      </c>
      <c r="Y9" s="262">
        <f>SUM(_xlfn.XLOOKUP($C9, 'INT-_Manjiri'!$C:$C, 'INT-_Manjiri'!P:P), _xlfn.XLOOKUP($C9, 'USA-_Sea_shipment'!$C:$C, 'USA-_Sea_shipment'!T:T), _xlfn.XLOOKUP($C9, UK!$C:$C, UK!R:R), _xlfn.XLOOKUP($C9, Domestic!$C:$C, Domestic!R:R), _xlfn.XLOOKUP($C9, MENA!$C:$C, MENA!P:P), _xlfn.XLOOKUP($C9, Amazon_USA_Air_Shipment!$C:$C, Amazon_USA_Air_Shipment!P:P))</f>
        <v>0</v>
      </c>
      <c r="Z9" s="262">
        <f>SUM(_xlfn.XLOOKUP($C9, 'INT-_Manjiri'!$C:$C, 'INT-_Manjiri'!Q:Q), _xlfn.XLOOKUP($C9, 'USA-_Sea_shipment'!$C:$C, 'USA-_Sea_shipment'!U:U), _xlfn.XLOOKUP($C9, UK!$C:$C, UK!S:S), _xlfn.XLOOKUP($C9, Domestic!$C:$C, Domestic!S:S), _xlfn.XLOOKUP($C9, MENA!$C:$C, MENA!Q:Q), _xlfn.XLOOKUP($C9, Amazon_USA_Air_Shipment!$C:$C, Amazon_USA_Air_Shipment!Q:Q))</f>
        <v>230</v>
      </c>
      <c r="AA9" s="262">
        <f>SUM(_xlfn.XLOOKUP($C9, 'INT-_Manjiri'!$C:$C, 'INT-_Manjiri'!R:R), _xlfn.XLOOKUP($C9, 'USA-_Sea_shipment'!$C:$C, 'USA-_Sea_shipment'!V:V), _xlfn.XLOOKUP($C9, UK!$C:$C, UK!T:T), _xlfn.XLOOKUP($C9, Domestic!$C:$C, Domestic!T:T), _xlfn.XLOOKUP($C9, MENA!$C:$C, MENA!R:R), _xlfn.XLOOKUP($C9, Amazon_USA_Air_Shipment!$C:$C, Amazon_USA_Air_Shipment!R:R))</f>
        <v>0</v>
      </c>
      <c r="AB9" s="262">
        <f>SUM(_xlfn.XLOOKUP($C9, 'INT-_Manjiri'!$C:$C, 'INT-_Manjiri'!S:S), _xlfn.XLOOKUP($C9, 'USA-_Sea_shipment'!$C:$C, 'USA-_Sea_shipment'!W:W), _xlfn.XLOOKUP($C9, UK!$C:$C, UK!U:U), _xlfn.XLOOKUP($C9, Domestic!$C:$C, Domestic!U:U), _xlfn.XLOOKUP($C9, MENA!$C:$C, MENA!S:S), _xlfn.XLOOKUP($C9, Amazon_USA_Air_Shipment!$C:$C, Amazon_USA_Air_Shipment!S:S))</f>
        <v>0</v>
      </c>
      <c r="AC9" s="262">
        <f>SUM(_xlfn.XLOOKUP($C9, 'INT-_Manjiri'!$C:$C, 'INT-_Manjiri'!T:T), _xlfn.XLOOKUP($C9, 'USA-_Sea_shipment'!$C:$C, 'USA-_Sea_shipment'!X:X), _xlfn.XLOOKUP($C9, UK!$C:$C, UK!V:V), _xlfn.XLOOKUP($C9, Domestic!$C:$C, Domestic!V:V), _xlfn.XLOOKUP($C9, MENA!$C:$C, MENA!T:T), _xlfn.XLOOKUP($C9, Amazon_USA_Air_Shipment!$C:$C, Amazon_USA_Air_Shipment!T:T))</f>
        <v>0</v>
      </c>
      <c r="AD9" s="262">
        <f>SUM(_xlfn.XLOOKUP($C9, 'INT-_Manjiri'!$C:$C, 'INT-_Manjiri'!U:U), _xlfn.XLOOKUP($C9, 'USA-_Sea_shipment'!$C:$C, 'USA-_Sea_shipment'!Y:Y), _xlfn.XLOOKUP($C9, UK!$C:$C, UK!W:W), _xlfn.XLOOKUP($C9, Domestic!$C:$C, Domestic!W:W), _xlfn.XLOOKUP($C9, MENA!$C:$C, MENA!U:U), _xlfn.XLOOKUP($C9, Amazon_USA_Air_Shipment!$C:$C, Amazon_USA_Air_Shipment!U:U))</f>
        <v>0</v>
      </c>
      <c r="AE9" s="263">
        <f t="shared" si="6"/>
        <v>462</v>
      </c>
      <c r="AF9" s="264">
        <f t="shared" si="7"/>
        <v>231</v>
      </c>
      <c r="AG9" s="265">
        <f t="shared" si="8"/>
        <v>0</v>
      </c>
      <c r="AH9" s="262">
        <f>SUM(_xlfn.XLOOKUP($C9, 'INT-_Manjiri'!$C:$C, 'INT-_Manjiri'!V:V), _xlfn.XLOOKUP($C9, 'USA-_Sea_shipment'!$C:$C, 'USA-_Sea_shipment'!AC:AC), _xlfn.XLOOKUP($C9, UK!$C:$C, UK!AA:AA), _xlfn.XLOOKUP($C9, Domestic!$C:$C, Domestic!X:X), _xlfn.XLOOKUP($C9, MENA!$C:$C, MENA!V:V), _xlfn.XLOOKUP($C9, Amazon_USA_Air_Shipment!$C:$C, Amazon_USA_Air_Shipment!V:V))</f>
        <v>0</v>
      </c>
      <c r="AI9" s="262">
        <f>SUM(_xlfn.XLOOKUP($C9, 'INT-_Manjiri'!$C:$C, 'INT-_Manjiri'!W:W), _xlfn.XLOOKUP($C9, 'USA-_Sea_shipment'!$C:$C, 'USA-_Sea_shipment'!AD:AD), _xlfn.XLOOKUP($C9, UK!$C:$C, UK!AB:AB), _xlfn.XLOOKUP($C9, Domestic!$C:$C, Domestic!Y:Y), _xlfn.XLOOKUP($C9, MENA!$C:$C, MENA!W:W), _xlfn.XLOOKUP($C9, Amazon_USA_Air_Shipment!$C:$C, Amazon_USA_Air_Shipment!W:W))</f>
        <v>0</v>
      </c>
      <c r="AJ9" s="262">
        <f>SUM(_xlfn.XLOOKUP($C9, 'INT-_Manjiri'!$C:$C, 'INT-_Manjiri'!X:X), _xlfn.XLOOKUP($C9, 'USA-_Sea_shipment'!$C:$C, 'USA-_Sea_shipment'!AE:AE), _xlfn.XLOOKUP($C9, UK!$C:$C, UK!AC:AC), _xlfn.XLOOKUP($C9, Domestic!$C:$C, Domestic!Z:Z), _xlfn.XLOOKUP($C9, MENA!$C:$C, MENA!X:X), _xlfn.XLOOKUP($C9, Amazon_USA_Air_Shipment!$C:$C, Amazon_USA_Air_Shipment!X:X))</f>
        <v>0</v>
      </c>
      <c r="AK9" s="262">
        <f>SUM(_xlfn.XLOOKUP($C9, 'INT-_Manjiri'!$C:$C, 'INT-_Manjiri'!Y:Y), _xlfn.XLOOKUP($C9, 'USA-_Sea_shipment'!$C:$C, 'USA-_Sea_shipment'!AF:AF), _xlfn.XLOOKUP($C9, UK!$C:$C, UK!AD:AD), _xlfn.XLOOKUP($C9, Domestic!$C:$C, Domestic!AA:AA), _xlfn.XLOOKUP($C9, MENA!$C:$C, MENA!Y:Y), _xlfn.XLOOKUP($C9, Amazon_USA_Air_Shipment!$C:$C, Amazon_USA_Air_Shipment!Y:Y))</f>
        <v>0</v>
      </c>
      <c r="AL9" s="262">
        <f>SUM(_xlfn.XLOOKUP($C9, 'INT-_Manjiri'!$C:$C, 'INT-_Manjiri'!Z:Z), _xlfn.XLOOKUP($C9, 'USA-_Sea_shipment'!$C:$C, 'USA-_Sea_shipment'!AG:AG), _xlfn.XLOOKUP($C9, UK!$C:$C, UK!AE:AE), _xlfn.XLOOKUP($C9, Domestic!$C:$C, Domestic!AB:AB), _xlfn.XLOOKUP($C9, MENA!$C:$C, MENA!Z:Z), _xlfn.XLOOKUP($C9, Amazon_USA_Air_Shipment!$C:$C, Amazon_USA_Air_Shipment!Z:Z))</f>
        <v>0</v>
      </c>
      <c r="AM9" s="262">
        <f>SUM(_xlfn.XLOOKUP($C9, 'INT-_Manjiri'!$C:$C, 'INT-_Manjiri'!AA:AA), _xlfn.XLOOKUP($C9, 'USA-_Sea_shipment'!$C:$C, 'USA-_Sea_shipment'!AH:AH), _xlfn.XLOOKUP($C9, UK!$C:$C, UK!AF:AF), _xlfn.XLOOKUP($C9, Domestic!$C:$C, Domestic!AC:AC), _xlfn.XLOOKUP($C9, MENA!$C:$C, MENA!AA:AA), _xlfn.XLOOKUP($C9, Amazon_USA_Air_Shipment!$C:$C, Amazon_USA_Air_Shipment!AA:AA))</f>
        <v>0</v>
      </c>
      <c r="AN9" s="262">
        <f>SUM(_xlfn.XLOOKUP($C9, 'INT-_Manjiri'!$C:$C, 'INT-_Manjiri'!AB:AB), _xlfn.XLOOKUP($C9, 'USA-_Sea_shipment'!$C:$C, 'USA-_Sea_shipment'!AI:AI), _xlfn.XLOOKUP($C9, UK!$C:$C, UK!AG:AG), _xlfn.XLOOKUP($C9, Domestic!$C:$C, Domestic!AD:AD), _xlfn.XLOOKUP($C9, MENA!$C:$C, MENA!AB:AB), _xlfn.XLOOKUP($C9, Amazon_USA_Air_Shipment!$C:$C, Amazon_USA_Air_Shipment!AB:AB))</f>
        <v>0</v>
      </c>
      <c r="AO9" s="264">
        <f t="shared" si="9"/>
        <v>0</v>
      </c>
      <c r="AP9" s="263">
        <f t="shared" si="10"/>
        <v>0</v>
      </c>
      <c r="AQ9" s="265">
        <f t="shared" si="11"/>
        <v>0</v>
      </c>
      <c r="AR9" s="262">
        <f>SUM(_xlfn.XLOOKUP($C9, 'INT-_Manjiri'!$C:$C, 'INT-_Manjiri'!AC:AC), _xlfn.XLOOKUP($C9, 'USA-_Sea_shipment'!$C:$C, 'USA-_Sea_shipment'!AT:AT), _xlfn.XLOOKUP($C9, UK!$C:$C, UK!AK:AK), _xlfn.XLOOKUP($C9, Domestic!$C:$C, Domestic!AE:AE), _xlfn.XLOOKUP($C9, MENA!$C:$C, MENA!AC:AC), _xlfn.XLOOKUP($C9, Amazon_USA_Air_Shipment!$C:$C, Amazon_USA_Air_Shipment!AC:AC))</f>
        <v>0</v>
      </c>
      <c r="AS9" s="262">
        <f>SUM(_xlfn.XLOOKUP($C9, 'INT-_Manjiri'!$C:$C, 'INT-_Manjiri'!AD:AD), _xlfn.XLOOKUP($C9, 'USA-_Sea_shipment'!$C:$C, 'USA-_Sea_shipment'!AU:AU), _xlfn.XLOOKUP($C9, UK!$C:$C, UK!AL:AL), _xlfn.XLOOKUP($C9, Domestic!$C:$C, Domestic!AF:AF), _xlfn.XLOOKUP($C9, MENA!$C:$C, MENA!AD:AD), _xlfn.XLOOKUP($C9, Amazon_USA_Air_Shipment!$C:$C, Amazon_USA_Air_Shipment!AD:AD))</f>
        <v>150</v>
      </c>
      <c r="AT9" s="262">
        <f>SUM(_xlfn.XLOOKUP($C9, 'INT-_Manjiri'!$C:$C, 'INT-_Manjiri'!AE:AE), _xlfn.XLOOKUP($C9, 'USA-_Sea_shipment'!$C:$C, 'USA-_Sea_shipment'!AV:AV), _xlfn.XLOOKUP($C9, UK!$C:$C, UK!AM:AM), _xlfn.XLOOKUP($C9, Domestic!$C:$C, Domestic!AG:AG), _xlfn.XLOOKUP($C9, MENA!$C:$C, MENA!AE:AE), _xlfn.XLOOKUP($C9, Amazon_USA_Air_Shipment!$C:$C, Amazon_USA_Air_Shipment!AE:AE))</f>
        <v>312</v>
      </c>
      <c r="AU9" s="262">
        <f>SUM(_xlfn.XLOOKUP($C9, 'INT-_Manjiri'!$C:$C, 'INT-_Manjiri'!AF:AF), _xlfn.XLOOKUP($C9, 'USA-_Sea_shipment'!$C:$C, 'USA-_Sea_shipment'!AW:AW), _xlfn.XLOOKUP($C9, UK!$C:$C, UK!AN:AN), _xlfn.XLOOKUP($C9, Domestic!$C:$C, Domestic!AH:AH), _xlfn.XLOOKUP($C9, MENA!$C:$C, MENA!AF:AF), _xlfn.XLOOKUP($C9, Amazon_USA_Air_Shipment!$C:$C, Amazon_USA_Air_Shipment!AF:AF))</f>
        <v>354</v>
      </c>
      <c r="AV9" s="262">
        <f>SUM(_xlfn.XLOOKUP($C9, 'INT-_Manjiri'!$C:$C, 'INT-_Manjiri'!AG:AG), _xlfn.XLOOKUP($C9, 'USA-_Sea_shipment'!$C:$C, 'USA-_Sea_shipment'!AX:AX), _xlfn.XLOOKUP($C9, UK!$C:$C, UK!AO:AO), _xlfn.XLOOKUP($C9, Domestic!$C:$C, Domestic!AI:AI), _xlfn.XLOOKUP($C9, MENA!$C:$C, MENA!AG:AG), _xlfn.XLOOKUP($C9, Amazon_USA_Air_Shipment!$C:$C, Amazon_USA_Air_Shipment!AG:AG))</f>
        <v>0</v>
      </c>
      <c r="AW9" s="262">
        <f>SUM(_xlfn.XLOOKUP($C9, 'INT-_Manjiri'!$C:$C, 'INT-_Manjiri'!AH:AH), _xlfn.XLOOKUP($C9, 'USA-_Sea_shipment'!$C:$C, 'USA-_Sea_shipment'!AY:AY), _xlfn.XLOOKUP($C9, UK!$C:$C, UK!AP:AP), _xlfn.XLOOKUP($C9, Domestic!$C:$C, Domestic!AJ:AJ), _xlfn.XLOOKUP($C9, MENA!$C:$C, MENA!AH:AH), _xlfn.XLOOKUP($C9, Amazon_USA_Air_Shipment!$C:$C, Amazon_USA_Air_Shipment!AH:AH))</f>
        <v>0</v>
      </c>
      <c r="AX9" s="262" t="e">
        <f>SUM(_xlfn.XLOOKUP($C9, 'INT-_Manjiri'!$C:$C, 'INT-_Manjiri'!AI:AI), _xlfn.XLOOKUP($C9, 'USA-_Sea_shipment'!$C:$C, 'USA-_Sea_shipment'!#REF!), _xlfn.XLOOKUP($C9, UK!$C:$C, UK!AQ:AQ), _xlfn.XLOOKUP($C9, Domestic!$C:$C, Domestic!AK:AK), _xlfn.XLOOKUP($C9, MENA!$C:$C, MENA!AI:AI), _xlfn.XLOOKUP($C9, Amazon_USA_Air_Shipment!$C:$C, Amazon_USA_Air_Shipment!AI:AI))</f>
        <v>#REF!</v>
      </c>
      <c r="AY9" s="262" t="e">
        <f>SUM(_xlfn.XLOOKUP($C9, 'INT-_Manjiri'!$C:$C, 'INT-_Manjiri'!AJ:AJ), _xlfn.XLOOKUP($C9, 'USA-_Sea_shipment'!$C:$C, 'USA-_Sea_shipment'!#REF!), _xlfn.XLOOKUP($C9, UK!$C:$C, UK!AR:AR), _xlfn.XLOOKUP($C9, Domestic!$C:$C, Domestic!AL:AL), _xlfn.XLOOKUP($C9, MENA!$C:$C, MENA!AJ:AJ), _xlfn.XLOOKUP($C9, Amazon_USA_Air_Shipment!$C:$C, Amazon_USA_Air_Shipment!AJ:AJ))</f>
        <v>#REF!</v>
      </c>
      <c r="AZ9" s="262" t="e">
        <f>SUM(_xlfn.XLOOKUP($C9, 'INT-_Manjiri'!$C:$C, 'INT-_Manjiri'!AK:AK), _xlfn.XLOOKUP($C9, 'USA-_Sea_shipment'!$C:$C, 'USA-_Sea_shipment'!#REF!), _xlfn.XLOOKUP($C9, UK!$C:$C, UK!AS:AS), _xlfn.XLOOKUP($C9, Domestic!$C:$C, Domestic!AM:AM), _xlfn.XLOOKUP($C9, MENA!$C:$C, MENA!AK:AK), _xlfn.XLOOKUP($C9, Amazon_USA_Air_Shipment!$C:$C, Amazon_USA_Air_Shipment!AK:AK))</f>
        <v>#REF!</v>
      </c>
      <c r="BA9" s="263" t="e">
        <f t="shared" si="12"/>
        <v>#REF!</v>
      </c>
      <c r="BB9" s="264" t="e">
        <f t="shared" si="13"/>
        <v>#REF!</v>
      </c>
      <c r="BC9" s="265">
        <f t="shared" si="14"/>
        <v>0</v>
      </c>
      <c r="BD9" s="263" t="e">
        <f t="shared" si="15"/>
        <v>#REF!</v>
      </c>
      <c r="BE9" s="264" t="e">
        <f t="shared" si="16"/>
        <v>#REF!</v>
      </c>
      <c r="BF9" s="264" t="e">
        <f t="shared" si="17"/>
        <v>#REF!</v>
      </c>
      <c r="BG9" s="266">
        <f t="shared" si="18"/>
        <v>0</v>
      </c>
      <c r="BH9" s="267"/>
      <c r="BI9" s="267"/>
      <c r="BJ9" s="268"/>
      <c r="BK9" s="269"/>
      <c r="BL9" s="270" t="e">
        <f t="shared" si="19"/>
        <v>#DIV/0!</v>
      </c>
      <c r="BM9" s="110"/>
      <c r="BN9" s="81"/>
      <c r="BO9" s="81"/>
      <c r="BP9" s="81"/>
      <c r="BQ9" s="81"/>
      <c r="BR9" s="81"/>
      <c r="BS9" s="81"/>
      <c r="BT9" s="81"/>
    </row>
    <row r="10" spans="1:72" ht="18">
      <c r="A10" s="93">
        <v>8</v>
      </c>
      <c r="B10" s="94" t="s">
        <v>12</v>
      </c>
      <c r="C10" s="95" t="s">
        <v>125</v>
      </c>
      <c r="D10" s="95" t="s">
        <v>46</v>
      </c>
      <c r="E10" s="96">
        <v>0.1</v>
      </c>
      <c r="F10" s="259"/>
      <c r="G10" s="259"/>
      <c r="H10" s="259"/>
      <c r="I10" s="260"/>
      <c r="J10" s="260"/>
      <c r="K10" s="260"/>
      <c r="L10" s="260"/>
      <c r="M10" s="261">
        <f t="shared" si="2"/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3">
        <f t="shared" si="3"/>
        <v>0</v>
      </c>
      <c r="V10" s="264">
        <f t="shared" si="4"/>
        <v>0</v>
      </c>
      <c r="W10" s="192">
        <f t="shared" si="5"/>
        <v>0</v>
      </c>
      <c r="X10" s="262">
        <f>SUM(_xlfn.XLOOKUP($C10, 'INT-_Manjiri'!$C:$C, 'INT-_Manjiri'!O:O), _xlfn.XLOOKUP($C10, 'USA-_Sea_shipment'!$C:$C, 'USA-_Sea_shipment'!S:S), _xlfn.XLOOKUP($C10, UK!$C:$C, UK!Q:Q), _xlfn.XLOOKUP($C10, Domestic!$C:$C, Domestic!Q:Q), _xlfn.XLOOKUP($C10, MENA!$C:$C, MENA!O:O), _xlfn.XLOOKUP($C10, Amazon_USA_Air_Shipment!$C:$C, Amazon_USA_Air_Shipment!O:O))</f>
        <v>0</v>
      </c>
      <c r="Y10" s="262">
        <f>SUM(_xlfn.XLOOKUP($C10, 'INT-_Manjiri'!$C:$C, 'INT-_Manjiri'!P:P), _xlfn.XLOOKUP($C10, 'USA-_Sea_shipment'!$C:$C, 'USA-_Sea_shipment'!T:T), _xlfn.XLOOKUP($C10, UK!$C:$C, UK!R:R), _xlfn.XLOOKUP($C10, Domestic!$C:$C, Domestic!R:R), _xlfn.XLOOKUP($C10, MENA!$C:$C, MENA!P:P), _xlfn.XLOOKUP($C10, Amazon_USA_Air_Shipment!$C:$C, Amazon_USA_Air_Shipment!P:P))</f>
        <v>0</v>
      </c>
      <c r="Z10" s="262">
        <f>SUM(_xlfn.XLOOKUP($C10, 'INT-_Manjiri'!$C:$C, 'INT-_Manjiri'!Q:Q), _xlfn.XLOOKUP($C10, 'USA-_Sea_shipment'!$C:$C, 'USA-_Sea_shipment'!U:U), _xlfn.XLOOKUP($C10, UK!$C:$C, UK!S:S), _xlfn.XLOOKUP($C10, Domestic!$C:$C, Domestic!S:S), _xlfn.XLOOKUP($C10, MENA!$C:$C, MENA!Q:Q), _xlfn.XLOOKUP($C10, Amazon_USA_Air_Shipment!$C:$C, Amazon_USA_Air_Shipment!Q:Q))</f>
        <v>0</v>
      </c>
      <c r="AA10" s="262">
        <f>SUM(_xlfn.XLOOKUP($C10, 'INT-_Manjiri'!$C:$C, 'INT-_Manjiri'!R:R), _xlfn.XLOOKUP($C10, 'USA-_Sea_shipment'!$C:$C, 'USA-_Sea_shipment'!V:V), _xlfn.XLOOKUP($C10, UK!$C:$C, UK!T:T), _xlfn.XLOOKUP($C10, Domestic!$C:$C, Domestic!T:T), _xlfn.XLOOKUP($C10, MENA!$C:$C, MENA!R:R), _xlfn.XLOOKUP($C10, Amazon_USA_Air_Shipment!$C:$C, Amazon_USA_Air_Shipment!R:R))</f>
        <v>0</v>
      </c>
      <c r="AB10" s="262">
        <f>SUM(_xlfn.XLOOKUP($C10, 'INT-_Manjiri'!$C:$C, 'INT-_Manjiri'!S:S), _xlfn.XLOOKUP($C10, 'USA-_Sea_shipment'!$C:$C, 'USA-_Sea_shipment'!W:W), _xlfn.XLOOKUP($C10, UK!$C:$C, UK!U:U), _xlfn.XLOOKUP($C10, Domestic!$C:$C, Domestic!U:U), _xlfn.XLOOKUP($C10, MENA!$C:$C, MENA!S:S), _xlfn.XLOOKUP($C10, Amazon_USA_Air_Shipment!$C:$C, Amazon_USA_Air_Shipment!S:S))</f>
        <v>0</v>
      </c>
      <c r="AC10" s="262">
        <f>SUM(_xlfn.XLOOKUP($C10, 'INT-_Manjiri'!$C:$C, 'INT-_Manjiri'!T:T), _xlfn.XLOOKUP($C10, 'USA-_Sea_shipment'!$C:$C, 'USA-_Sea_shipment'!X:X), _xlfn.XLOOKUP($C10, UK!$C:$C, UK!V:V), _xlfn.XLOOKUP($C10, Domestic!$C:$C, Domestic!V:V), _xlfn.XLOOKUP($C10, MENA!$C:$C, MENA!T:T), _xlfn.XLOOKUP($C10, Amazon_USA_Air_Shipment!$C:$C, Amazon_USA_Air_Shipment!T:T))</f>
        <v>0</v>
      </c>
      <c r="AD10" s="262">
        <f>SUM(_xlfn.XLOOKUP($C10, 'INT-_Manjiri'!$C:$C, 'INT-_Manjiri'!U:U), _xlfn.XLOOKUP($C10, 'USA-_Sea_shipment'!$C:$C, 'USA-_Sea_shipment'!Y:Y), _xlfn.XLOOKUP($C10, UK!$C:$C, UK!W:W), _xlfn.XLOOKUP($C10, Domestic!$C:$C, Domestic!W:W), _xlfn.XLOOKUP($C10, MENA!$C:$C, MENA!U:U), _xlfn.XLOOKUP($C10, Amazon_USA_Air_Shipment!$C:$C, Amazon_USA_Air_Shipment!U:U))</f>
        <v>0</v>
      </c>
      <c r="AE10" s="263">
        <f t="shared" si="6"/>
        <v>0</v>
      </c>
      <c r="AF10" s="264">
        <f t="shared" si="7"/>
        <v>0</v>
      </c>
      <c r="AG10" s="265">
        <f t="shared" si="8"/>
        <v>0</v>
      </c>
      <c r="AH10" s="262">
        <f>SUM(_xlfn.XLOOKUP($C10, 'INT-_Manjiri'!$C:$C, 'INT-_Manjiri'!V:V), _xlfn.XLOOKUP($C10, 'USA-_Sea_shipment'!$C:$C, 'USA-_Sea_shipment'!AC:AC), _xlfn.XLOOKUP($C10, UK!$C:$C, UK!AA:AA), _xlfn.XLOOKUP($C10, Domestic!$C:$C, Domestic!X:X), _xlfn.XLOOKUP($C10, MENA!$C:$C, MENA!V:V), _xlfn.XLOOKUP($C10, Amazon_USA_Air_Shipment!$C:$C, Amazon_USA_Air_Shipment!V:V))</f>
        <v>3101</v>
      </c>
      <c r="AI10" s="262">
        <f>SUM(_xlfn.XLOOKUP($C10, 'INT-_Manjiri'!$C:$C, 'INT-_Manjiri'!W:W), _xlfn.XLOOKUP($C10, 'USA-_Sea_shipment'!$C:$C, 'USA-_Sea_shipment'!AD:AD), _xlfn.XLOOKUP($C10, UK!$C:$C, UK!AB:AB), _xlfn.XLOOKUP($C10, Domestic!$C:$C, Domestic!Y:Y), _xlfn.XLOOKUP($C10, MENA!$C:$C, MENA!W:W), _xlfn.XLOOKUP($C10, Amazon_USA_Air_Shipment!$C:$C, Amazon_USA_Air_Shipment!W:W))</f>
        <v>1548</v>
      </c>
      <c r="AJ10" s="262">
        <f>SUM(_xlfn.XLOOKUP($C10, 'INT-_Manjiri'!$C:$C, 'INT-_Manjiri'!X:X), _xlfn.XLOOKUP($C10, 'USA-_Sea_shipment'!$C:$C, 'USA-_Sea_shipment'!AE:AE), _xlfn.XLOOKUP($C10, UK!$C:$C, UK!AC:AC), _xlfn.XLOOKUP($C10, Domestic!$C:$C, Domestic!Z:Z), _xlfn.XLOOKUP($C10, MENA!$C:$C, MENA!X:X), _xlfn.XLOOKUP($C10, Amazon_USA_Air_Shipment!$C:$C, Amazon_USA_Air_Shipment!X:X))</f>
        <v>400</v>
      </c>
      <c r="AK10" s="262">
        <f>SUM(_xlfn.XLOOKUP($C10, 'INT-_Manjiri'!$C:$C, 'INT-_Manjiri'!Y:Y), _xlfn.XLOOKUP($C10, 'USA-_Sea_shipment'!$C:$C, 'USA-_Sea_shipment'!AF:AF), _xlfn.XLOOKUP($C10, UK!$C:$C, UK!AD:AD), _xlfn.XLOOKUP($C10, Domestic!$C:$C, Domestic!AA:AA), _xlfn.XLOOKUP($C10, MENA!$C:$C, MENA!Y:Y), _xlfn.XLOOKUP($C10, Amazon_USA_Air_Shipment!$C:$C, Amazon_USA_Air_Shipment!Y:Y))</f>
        <v>1236</v>
      </c>
      <c r="AL10" s="262">
        <f>SUM(_xlfn.XLOOKUP($C10, 'INT-_Manjiri'!$C:$C, 'INT-_Manjiri'!Z:Z), _xlfn.XLOOKUP($C10, 'USA-_Sea_shipment'!$C:$C, 'USA-_Sea_shipment'!AG:AG), _xlfn.XLOOKUP($C10, UK!$C:$C, UK!AE:AE), _xlfn.XLOOKUP($C10, Domestic!$C:$C, Domestic!AB:AB), _xlfn.XLOOKUP($C10, MENA!$C:$C, MENA!Z:Z), _xlfn.XLOOKUP($C10, Amazon_USA_Air_Shipment!$C:$C, Amazon_USA_Air_Shipment!Z:Z))</f>
        <v>1050</v>
      </c>
      <c r="AM10" s="262">
        <f>SUM(_xlfn.XLOOKUP($C10, 'INT-_Manjiri'!$C:$C, 'INT-_Manjiri'!AA:AA), _xlfn.XLOOKUP($C10, 'USA-_Sea_shipment'!$C:$C, 'USA-_Sea_shipment'!AH:AH), _xlfn.XLOOKUP($C10, UK!$C:$C, UK!AF:AF), _xlfn.XLOOKUP($C10, Domestic!$C:$C, Domestic!AC:AC), _xlfn.XLOOKUP($C10, MENA!$C:$C, MENA!AA:AA), _xlfn.XLOOKUP($C10, Amazon_USA_Air_Shipment!$C:$C, Amazon_USA_Air_Shipment!AA:AA))</f>
        <v>0</v>
      </c>
      <c r="AN10" s="262">
        <f>SUM(_xlfn.XLOOKUP($C10, 'INT-_Manjiri'!$C:$C, 'INT-_Manjiri'!AB:AB), _xlfn.XLOOKUP($C10, 'USA-_Sea_shipment'!$C:$C, 'USA-_Sea_shipment'!AI:AI), _xlfn.XLOOKUP($C10, UK!$C:$C, UK!AG:AG), _xlfn.XLOOKUP($C10, Domestic!$C:$C, Domestic!AD:AD), _xlfn.XLOOKUP($C10, MENA!$C:$C, MENA!AB:AB), _xlfn.XLOOKUP($C10, Amazon_USA_Air_Shipment!$C:$C, Amazon_USA_Air_Shipment!AB:AB))</f>
        <v>0</v>
      </c>
      <c r="AO10" s="264">
        <f t="shared" si="9"/>
        <v>733.5</v>
      </c>
      <c r="AP10" s="263">
        <f t="shared" si="10"/>
        <v>7335</v>
      </c>
      <c r="AQ10" s="265">
        <f t="shared" si="11"/>
        <v>0</v>
      </c>
      <c r="AR10" s="262">
        <f>SUM(_xlfn.XLOOKUP($C10, 'INT-_Manjiri'!$C:$C, 'INT-_Manjiri'!AC:AC), _xlfn.XLOOKUP($C10, 'USA-_Sea_shipment'!$C:$C, 'USA-_Sea_shipment'!AT:AT), _xlfn.XLOOKUP($C10, UK!$C:$C, UK!AK:AK), _xlfn.XLOOKUP($C10, Domestic!$C:$C, Domestic!AE:AE), _xlfn.XLOOKUP($C10, MENA!$C:$C, MENA!AC:AC), _xlfn.XLOOKUP($C10, Amazon_USA_Air_Shipment!$C:$C, Amazon_USA_Air_Shipment!AC:AC))</f>
        <v>1620</v>
      </c>
      <c r="AS10" s="262">
        <f>SUM(_xlfn.XLOOKUP($C10, 'INT-_Manjiri'!$C:$C, 'INT-_Manjiri'!AD:AD), _xlfn.XLOOKUP($C10, 'USA-_Sea_shipment'!$C:$C, 'USA-_Sea_shipment'!AU:AU), _xlfn.XLOOKUP($C10, UK!$C:$C, UK!AL:AL), _xlfn.XLOOKUP($C10, Domestic!$C:$C, Domestic!AF:AF), _xlfn.XLOOKUP($C10, MENA!$C:$C, MENA!AD:AD), _xlfn.XLOOKUP($C10, Amazon_USA_Air_Shipment!$C:$C, Amazon_USA_Air_Shipment!AD:AD))</f>
        <v>1589</v>
      </c>
      <c r="AT10" s="262">
        <f>SUM(_xlfn.XLOOKUP($C10, 'INT-_Manjiri'!$C:$C, 'INT-_Manjiri'!AE:AE), _xlfn.XLOOKUP($C10, 'USA-_Sea_shipment'!$C:$C, 'USA-_Sea_shipment'!AV:AV), _xlfn.XLOOKUP($C10, UK!$C:$C, UK!AM:AM), _xlfn.XLOOKUP($C10, Domestic!$C:$C, Domestic!AG:AG), _xlfn.XLOOKUP($C10, MENA!$C:$C, MENA!AE:AE), _xlfn.XLOOKUP($C10, Amazon_USA_Air_Shipment!$C:$C, Amazon_USA_Air_Shipment!AE:AE))</f>
        <v>139</v>
      </c>
      <c r="AU10" s="262">
        <f>SUM(_xlfn.XLOOKUP($C10, 'INT-_Manjiri'!$C:$C, 'INT-_Manjiri'!AF:AF), _xlfn.XLOOKUP($C10, 'USA-_Sea_shipment'!$C:$C, 'USA-_Sea_shipment'!AW:AW), _xlfn.XLOOKUP($C10, UK!$C:$C, UK!AN:AN), _xlfn.XLOOKUP($C10, Domestic!$C:$C, Domestic!AH:AH), _xlfn.XLOOKUP($C10, MENA!$C:$C, MENA!AF:AF), _xlfn.XLOOKUP($C10, Amazon_USA_Air_Shipment!$C:$C, Amazon_USA_Air_Shipment!AF:AF))</f>
        <v>0</v>
      </c>
      <c r="AV10" s="262">
        <f>SUM(_xlfn.XLOOKUP($C10, 'INT-_Manjiri'!$C:$C, 'INT-_Manjiri'!AG:AG), _xlfn.XLOOKUP($C10, 'USA-_Sea_shipment'!$C:$C, 'USA-_Sea_shipment'!AX:AX), _xlfn.XLOOKUP($C10, UK!$C:$C, UK!AO:AO), _xlfn.XLOOKUP($C10, Domestic!$C:$C, Domestic!AI:AI), _xlfn.XLOOKUP($C10, MENA!$C:$C, MENA!AG:AG), _xlfn.XLOOKUP($C10, Amazon_USA_Air_Shipment!$C:$C, Amazon_USA_Air_Shipment!AG:AG))</f>
        <v>0</v>
      </c>
      <c r="AW10" s="262">
        <f>SUM(_xlfn.XLOOKUP($C10, 'INT-_Manjiri'!$C:$C, 'INT-_Manjiri'!AH:AH), _xlfn.XLOOKUP($C10, 'USA-_Sea_shipment'!$C:$C, 'USA-_Sea_shipment'!AY:AY), _xlfn.XLOOKUP($C10, UK!$C:$C, UK!AP:AP), _xlfn.XLOOKUP($C10, Domestic!$C:$C, Domestic!AJ:AJ), _xlfn.XLOOKUP($C10, MENA!$C:$C, MENA!AH:AH), _xlfn.XLOOKUP($C10, Amazon_USA_Air_Shipment!$C:$C, Amazon_USA_Air_Shipment!AH:AH))</f>
        <v>0</v>
      </c>
      <c r="AX10" s="262" t="e">
        <f>SUM(_xlfn.XLOOKUP($C10, 'INT-_Manjiri'!$C:$C, 'INT-_Manjiri'!AI:AI), _xlfn.XLOOKUP($C10, 'USA-_Sea_shipment'!$C:$C, 'USA-_Sea_shipment'!#REF!), _xlfn.XLOOKUP($C10, UK!$C:$C, UK!AQ:AQ), _xlfn.XLOOKUP($C10, Domestic!$C:$C, Domestic!AK:AK), _xlfn.XLOOKUP($C10, MENA!$C:$C, MENA!AI:AI), _xlfn.XLOOKUP($C10, Amazon_USA_Air_Shipment!$C:$C, Amazon_USA_Air_Shipment!AI:AI))</f>
        <v>#REF!</v>
      </c>
      <c r="AY10" s="262" t="e">
        <f>SUM(_xlfn.XLOOKUP($C10, 'INT-_Manjiri'!$C:$C, 'INT-_Manjiri'!AJ:AJ), _xlfn.XLOOKUP($C10, 'USA-_Sea_shipment'!$C:$C, 'USA-_Sea_shipment'!#REF!), _xlfn.XLOOKUP($C10, UK!$C:$C, UK!AR:AR), _xlfn.XLOOKUP($C10, Domestic!$C:$C, Domestic!AL:AL), _xlfn.XLOOKUP($C10, MENA!$C:$C, MENA!AJ:AJ), _xlfn.XLOOKUP($C10, Amazon_USA_Air_Shipment!$C:$C, Amazon_USA_Air_Shipment!AJ:AJ))</f>
        <v>#REF!</v>
      </c>
      <c r="AZ10" s="262" t="e">
        <f>SUM(_xlfn.XLOOKUP($C10, 'INT-_Manjiri'!$C:$C, 'INT-_Manjiri'!AK:AK), _xlfn.XLOOKUP($C10, 'USA-_Sea_shipment'!$C:$C, 'USA-_Sea_shipment'!#REF!), _xlfn.XLOOKUP($C10, UK!$C:$C, UK!AS:AS), _xlfn.XLOOKUP($C10, Domestic!$C:$C, Domestic!AM:AM), _xlfn.XLOOKUP($C10, MENA!$C:$C, MENA!AK:AK), _xlfn.XLOOKUP($C10, Amazon_USA_Air_Shipment!$C:$C, Amazon_USA_Air_Shipment!AK:AK))</f>
        <v>#REF!</v>
      </c>
      <c r="BA10" s="263" t="e">
        <f t="shared" si="12"/>
        <v>#REF!</v>
      </c>
      <c r="BB10" s="264" t="e">
        <f t="shared" si="13"/>
        <v>#REF!</v>
      </c>
      <c r="BC10" s="265">
        <f t="shared" si="14"/>
        <v>0</v>
      </c>
      <c r="BD10" s="263" t="e">
        <f t="shared" si="15"/>
        <v>#REF!</v>
      </c>
      <c r="BE10" s="264" t="e">
        <f t="shared" si="16"/>
        <v>#REF!</v>
      </c>
      <c r="BF10" s="264" t="e">
        <f t="shared" si="17"/>
        <v>#REF!</v>
      </c>
      <c r="BG10" s="266">
        <f t="shared" si="18"/>
        <v>0</v>
      </c>
      <c r="BH10" s="267"/>
      <c r="BI10" s="267"/>
      <c r="BJ10" s="268"/>
      <c r="BK10" s="269"/>
      <c r="BL10" s="270" t="e">
        <f t="shared" si="19"/>
        <v>#DIV/0!</v>
      </c>
      <c r="BM10" s="110"/>
      <c r="BN10" s="110"/>
      <c r="BO10" s="110"/>
      <c r="BP10" s="110"/>
      <c r="BQ10" s="110"/>
      <c r="BR10" s="110"/>
      <c r="BS10" s="110"/>
      <c r="BT10" s="110"/>
    </row>
    <row r="11" spans="1:72" ht="18">
      <c r="A11" s="188">
        <v>9</v>
      </c>
      <c r="B11" s="94" t="s">
        <v>12</v>
      </c>
      <c r="C11" s="95" t="s">
        <v>81</v>
      </c>
      <c r="D11" s="95" t="s">
        <v>42</v>
      </c>
      <c r="E11" s="96">
        <v>1</v>
      </c>
      <c r="F11" s="259"/>
      <c r="G11" s="259"/>
      <c r="H11" s="259"/>
      <c r="I11" s="260"/>
      <c r="J11" s="260"/>
      <c r="K11" s="260"/>
      <c r="L11" s="260"/>
      <c r="M11" s="261">
        <f t="shared" si="2"/>
        <v>0</v>
      </c>
      <c r="N11" s="262">
        <v>0</v>
      </c>
      <c r="O11" s="262">
        <v>0</v>
      </c>
      <c r="P11" s="262">
        <v>0</v>
      </c>
      <c r="Q11" s="262">
        <v>0</v>
      </c>
      <c r="R11" s="262">
        <v>0</v>
      </c>
      <c r="S11" s="262">
        <v>0</v>
      </c>
      <c r="T11" s="262">
        <v>0</v>
      </c>
      <c r="U11" s="263">
        <f t="shared" si="3"/>
        <v>0</v>
      </c>
      <c r="V11" s="264">
        <f t="shared" si="4"/>
        <v>0</v>
      </c>
      <c r="W11" s="192">
        <f t="shared" si="5"/>
        <v>0</v>
      </c>
      <c r="X11" s="262">
        <f>SUM(_xlfn.XLOOKUP($C11, 'INT-_Manjiri'!$C:$C, 'INT-_Manjiri'!O:O), _xlfn.XLOOKUP($C11, 'USA-_Sea_shipment'!$C:$C, 'USA-_Sea_shipment'!S:S), _xlfn.XLOOKUP($C11, UK!$C:$C, UK!Q:Q), _xlfn.XLOOKUP($C11, Domestic!$C:$C, Domestic!Q:Q), _xlfn.XLOOKUP($C11, MENA!$C:$C, MENA!O:O), _xlfn.XLOOKUP($C11, Amazon_USA_Air_Shipment!$C:$C, Amazon_USA_Air_Shipment!O:O))</f>
        <v>0</v>
      </c>
      <c r="Y11" s="262">
        <f>SUM(_xlfn.XLOOKUP($C11, 'INT-_Manjiri'!$C:$C, 'INT-_Manjiri'!P:P), _xlfn.XLOOKUP($C11, 'USA-_Sea_shipment'!$C:$C, 'USA-_Sea_shipment'!T:T), _xlfn.XLOOKUP($C11, UK!$C:$C, UK!R:R), _xlfn.XLOOKUP($C11, Domestic!$C:$C, Domestic!R:R), _xlfn.XLOOKUP($C11, MENA!$C:$C, MENA!P:P), _xlfn.XLOOKUP($C11, Amazon_USA_Air_Shipment!$C:$C, Amazon_USA_Air_Shipment!P:P))</f>
        <v>0</v>
      </c>
      <c r="Z11" s="262">
        <f>SUM(_xlfn.XLOOKUP($C11, 'INT-_Manjiri'!$C:$C, 'INT-_Manjiri'!Q:Q), _xlfn.XLOOKUP($C11, 'USA-_Sea_shipment'!$C:$C, 'USA-_Sea_shipment'!U:U), _xlfn.XLOOKUP($C11, UK!$C:$C, UK!S:S), _xlfn.XLOOKUP($C11, Domestic!$C:$C, Domestic!S:S), _xlfn.XLOOKUP($C11, MENA!$C:$C, MENA!Q:Q), _xlfn.XLOOKUP($C11, Amazon_USA_Air_Shipment!$C:$C, Amazon_USA_Air_Shipment!Q:Q))</f>
        <v>0</v>
      </c>
      <c r="AA11" s="262">
        <f>SUM(_xlfn.XLOOKUP($C11, 'INT-_Manjiri'!$C:$C, 'INT-_Manjiri'!R:R), _xlfn.XLOOKUP($C11, 'USA-_Sea_shipment'!$C:$C, 'USA-_Sea_shipment'!V:V), _xlfn.XLOOKUP($C11, UK!$C:$C, UK!T:T), _xlfn.XLOOKUP($C11, Domestic!$C:$C, Domestic!T:T), _xlfn.XLOOKUP($C11, MENA!$C:$C, MENA!R:R), _xlfn.XLOOKUP($C11, Amazon_USA_Air_Shipment!$C:$C, Amazon_USA_Air_Shipment!R:R))</f>
        <v>0</v>
      </c>
      <c r="AB11" s="262">
        <f>SUM(_xlfn.XLOOKUP($C11, 'INT-_Manjiri'!$C:$C, 'INT-_Manjiri'!S:S), _xlfn.XLOOKUP($C11, 'USA-_Sea_shipment'!$C:$C, 'USA-_Sea_shipment'!W:W), _xlfn.XLOOKUP($C11, UK!$C:$C, UK!U:U), _xlfn.XLOOKUP($C11, Domestic!$C:$C, Domestic!U:U), _xlfn.XLOOKUP($C11, MENA!$C:$C, MENA!S:S), _xlfn.XLOOKUP($C11, Amazon_USA_Air_Shipment!$C:$C, Amazon_USA_Air_Shipment!S:S))</f>
        <v>0</v>
      </c>
      <c r="AC11" s="262">
        <f>SUM(_xlfn.XLOOKUP($C11, 'INT-_Manjiri'!$C:$C, 'INT-_Manjiri'!T:T), _xlfn.XLOOKUP($C11, 'USA-_Sea_shipment'!$C:$C, 'USA-_Sea_shipment'!X:X), _xlfn.XLOOKUP($C11, UK!$C:$C, UK!V:V), _xlfn.XLOOKUP($C11, Domestic!$C:$C, Domestic!V:V), _xlfn.XLOOKUP($C11, MENA!$C:$C, MENA!T:T), _xlfn.XLOOKUP($C11, Amazon_USA_Air_Shipment!$C:$C, Amazon_USA_Air_Shipment!T:T))</f>
        <v>0</v>
      </c>
      <c r="AD11" s="262">
        <f>SUM(_xlfn.XLOOKUP($C11, 'INT-_Manjiri'!$C:$C, 'INT-_Manjiri'!U:U), _xlfn.XLOOKUP($C11, 'USA-_Sea_shipment'!$C:$C, 'USA-_Sea_shipment'!Y:Y), _xlfn.XLOOKUP($C11, UK!$C:$C, UK!W:W), _xlfn.XLOOKUP($C11, Domestic!$C:$C, Domestic!W:W), _xlfn.XLOOKUP($C11, MENA!$C:$C, MENA!U:U), _xlfn.XLOOKUP($C11, Amazon_USA_Air_Shipment!$C:$C, Amazon_USA_Air_Shipment!U:U))</f>
        <v>0</v>
      </c>
      <c r="AE11" s="263">
        <f t="shared" si="6"/>
        <v>0</v>
      </c>
      <c r="AF11" s="264">
        <f t="shared" si="7"/>
        <v>0</v>
      </c>
      <c r="AG11" s="265">
        <f t="shared" si="8"/>
        <v>0</v>
      </c>
      <c r="AH11" s="262">
        <f>SUM(_xlfn.XLOOKUP($C11, 'INT-_Manjiri'!$C:$C, 'INT-_Manjiri'!V:V), _xlfn.XLOOKUP($C11, 'USA-_Sea_shipment'!$C:$C, 'USA-_Sea_shipment'!AC:AC), _xlfn.XLOOKUP($C11, UK!$C:$C, UK!AA:AA), _xlfn.XLOOKUP($C11, Domestic!$C:$C, Domestic!X:X), _xlfn.XLOOKUP($C11, MENA!$C:$C, MENA!V:V), _xlfn.XLOOKUP($C11, Amazon_USA_Air_Shipment!$C:$C, Amazon_USA_Air_Shipment!V:V))</f>
        <v>0</v>
      </c>
      <c r="AI11" s="262">
        <f>SUM(_xlfn.XLOOKUP($C11, 'INT-_Manjiri'!$C:$C, 'INT-_Manjiri'!W:W), _xlfn.XLOOKUP($C11, 'USA-_Sea_shipment'!$C:$C, 'USA-_Sea_shipment'!AD:AD), _xlfn.XLOOKUP($C11, UK!$C:$C, UK!AB:AB), _xlfn.XLOOKUP($C11, Domestic!$C:$C, Domestic!Y:Y), _xlfn.XLOOKUP($C11, MENA!$C:$C, MENA!W:W), _xlfn.XLOOKUP($C11, Amazon_USA_Air_Shipment!$C:$C, Amazon_USA_Air_Shipment!W:W))</f>
        <v>0</v>
      </c>
      <c r="AJ11" s="262">
        <f>SUM(_xlfn.XLOOKUP($C11, 'INT-_Manjiri'!$C:$C, 'INT-_Manjiri'!X:X), _xlfn.XLOOKUP($C11, 'USA-_Sea_shipment'!$C:$C, 'USA-_Sea_shipment'!AE:AE), _xlfn.XLOOKUP($C11, UK!$C:$C, UK!AC:AC), _xlfn.XLOOKUP($C11, Domestic!$C:$C, Domestic!Z:Z), _xlfn.XLOOKUP($C11, MENA!$C:$C, MENA!X:X), _xlfn.XLOOKUP($C11, Amazon_USA_Air_Shipment!$C:$C, Amazon_USA_Air_Shipment!X:X))</f>
        <v>0</v>
      </c>
      <c r="AK11" s="262">
        <f>SUM(_xlfn.XLOOKUP($C11, 'INT-_Manjiri'!$C:$C, 'INT-_Manjiri'!Y:Y), _xlfn.XLOOKUP($C11, 'USA-_Sea_shipment'!$C:$C, 'USA-_Sea_shipment'!AF:AF), _xlfn.XLOOKUP($C11, UK!$C:$C, UK!AD:AD), _xlfn.XLOOKUP($C11, Domestic!$C:$C, Domestic!AA:AA), _xlfn.XLOOKUP($C11, MENA!$C:$C, MENA!Y:Y), _xlfn.XLOOKUP($C11, Amazon_USA_Air_Shipment!$C:$C, Amazon_USA_Air_Shipment!Y:Y))</f>
        <v>0</v>
      </c>
      <c r="AL11" s="262">
        <f>SUM(_xlfn.XLOOKUP($C11, 'INT-_Manjiri'!$C:$C, 'INT-_Manjiri'!Z:Z), _xlfn.XLOOKUP($C11, 'USA-_Sea_shipment'!$C:$C, 'USA-_Sea_shipment'!AG:AG), _xlfn.XLOOKUP($C11, UK!$C:$C, UK!AE:AE), _xlfn.XLOOKUP($C11, Domestic!$C:$C, Domestic!AB:AB), _xlfn.XLOOKUP($C11, MENA!$C:$C, MENA!Z:Z), _xlfn.XLOOKUP($C11, Amazon_USA_Air_Shipment!$C:$C, Amazon_USA_Air_Shipment!Z:Z))</f>
        <v>0</v>
      </c>
      <c r="AM11" s="262">
        <f>SUM(_xlfn.XLOOKUP($C11, 'INT-_Manjiri'!$C:$C, 'INT-_Manjiri'!AA:AA), _xlfn.XLOOKUP($C11, 'USA-_Sea_shipment'!$C:$C, 'USA-_Sea_shipment'!AH:AH), _xlfn.XLOOKUP($C11, UK!$C:$C, UK!AF:AF), _xlfn.XLOOKUP($C11, Domestic!$C:$C, Domestic!AC:AC), _xlfn.XLOOKUP($C11, MENA!$C:$C, MENA!AA:AA), _xlfn.XLOOKUP($C11, Amazon_USA_Air_Shipment!$C:$C, Amazon_USA_Air_Shipment!AA:AA))</f>
        <v>0</v>
      </c>
      <c r="AN11" s="262">
        <f>SUM(_xlfn.XLOOKUP($C11, 'INT-_Manjiri'!$C:$C, 'INT-_Manjiri'!AB:AB), _xlfn.XLOOKUP($C11, 'USA-_Sea_shipment'!$C:$C, 'USA-_Sea_shipment'!AI:AI), _xlfn.XLOOKUP($C11, UK!$C:$C, UK!AG:AG), _xlfn.XLOOKUP($C11, Domestic!$C:$C, Domestic!AD:AD), _xlfn.XLOOKUP($C11, MENA!$C:$C, MENA!AB:AB), _xlfn.XLOOKUP($C11, Amazon_USA_Air_Shipment!$C:$C, Amazon_USA_Air_Shipment!AB:AB))</f>
        <v>0</v>
      </c>
      <c r="AO11" s="264">
        <f t="shared" si="9"/>
        <v>0</v>
      </c>
      <c r="AP11" s="263">
        <f t="shared" si="10"/>
        <v>0</v>
      </c>
      <c r="AQ11" s="265">
        <f t="shared" si="11"/>
        <v>0</v>
      </c>
      <c r="AR11" s="262">
        <f>SUM(_xlfn.XLOOKUP($C11, 'INT-_Manjiri'!$C:$C, 'INT-_Manjiri'!AC:AC), _xlfn.XLOOKUP($C11, 'USA-_Sea_shipment'!$C:$C, 'USA-_Sea_shipment'!AT:AT), _xlfn.XLOOKUP($C11, UK!$C:$C, UK!AK:AK), _xlfn.XLOOKUP($C11, Domestic!$C:$C, Domestic!AE:AE), _xlfn.XLOOKUP($C11, MENA!$C:$C, MENA!AC:AC), _xlfn.XLOOKUP($C11, Amazon_USA_Air_Shipment!$C:$C, Amazon_USA_Air_Shipment!AC:AC))</f>
        <v>0</v>
      </c>
      <c r="AS11" s="262">
        <f>SUM(_xlfn.XLOOKUP($C11, 'INT-_Manjiri'!$C:$C, 'INT-_Manjiri'!AD:AD), _xlfn.XLOOKUP($C11, 'USA-_Sea_shipment'!$C:$C, 'USA-_Sea_shipment'!AU:AU), _xlfn.XLOOKUP($C11, UK!$C:$C, UK!AL:AL), _xlfn.XLOOKUP($C11, Domestic!$C:$C, Domestic!AF:AF), _xlfn.XLOOKUP($C11, MENA!$C:$C, MENA!AD:AD), _xlfn.XLOOKUP($C11, Amazon_USA_Air_Shipment!$C:$C, Amazon_USA_Air_Shipment!AD:AD))</f>
        <v>127</v>
      </c>
      <c r="AT11" s="262">
        <f>SUM(_xlfn.XLOOKUP($C11, 'INT-_Manjiri'!$C:$C, 'INT-_Manjiri'!AE:AE), _xlfn.XLOOKUP($C11, 'USA-_Sea_shipment'!$C:$C, 'USA-_Sea_shipment'!AV:AV), _xlfn.XLOOKUP($C11, UK!$C:$C, UK!AM:AM), _xlfn.XLOOKUP($C11, Domestic!$C:$C, Domestic!AG:AG), _xlfn.XLOOKUP($C11, MENA!$C:$C, MENA!AE:AE), _xlfn.XLOOKUP($C11, Amazon_USA_Air_Shipment!$C:$C, Amazon_USA_Air_Shipment!AE:AE))</f>
        <v>0</v>
      </c>
      <c r="AU11" s="262">
        <f>SUM(_xlfn.XLOOKUP($C11, 'INT-_Manjiri'!$C:$C, 'INT-_Manjiri'!AF:AF), _xlfn.XLOOKUP($C11, 'USA-_Sea_shipment'!$C:$C, 'USA-_Sea_shipment'!AW:AW), _xlfn.XLOOKUP($C11, UK!$C:$C, UK!AN:AN), _xlfn.XLOOKUP($C11, Domestic!$C:$C, Domestic!AH:AH), _xlfn.XLOOKUP($C11, MENA!$C:$C, MENA!AF:AF), _xlfn.XLOOKUP($C11, Amazon_USA_Air_Shipment!$C:$C, Amazon_USA_Air_Shipment!AF:AF))</f>
        <v>0</v>
      </c>
      <c r="AV11" s="262">
        <f>SUM(_xlfn.XLOOKUP($C11, 'INT-_Manjiri'!$C:$C, 'INT-_Manjiri'!AG:AG), _xlfn.XLOOKUP($C11, 'USA-_Sea_shipment'!$C:$C, 'USA-_Sea_shipment'!AX:AX), _xlfn.XLOOKUP($C11, UK!$C:$C, UK!AO:AO), _xlfn.XLOOKUP($C11, Domestic!$C:$C, Domestic!AI:AI), _xlfn.XLOOKUP($C11, MENA!$C:$C, MENA!AG:AG), _xlfn.XLOOKUP($C11, Amazon_USA_Air_Shipment!$C:$C, Amazon_USA_Air_Shipment!AG:AG))</f>
        <v>0</v>
      </c>
      <c r="AW11" s="262">
        <f>SUM(_xlfn.XLOOKUP($C11, 'INT-_Manjiri'!$C:$C, 'INT-_Manjiri'!AH:AH), _xlfn.XLOOKUP($C11, 'USA-_Sea_shipment'!$C:$C, 'USA-_Sea_shipment'!AY:AY), _xlfn.XLOOKUP($C11, UK!$C:$C, UK!AP:AP), _xlfn.XLOOKUP($C11, Domestic!$C:$C, Domestic!AJ:AJ), _xlfn.XLOOKUP($C11, MENA!$C:$C, MENA!AH:AH), _xlfn.XLOOKUP($C11, Amazon_USA_Air_Shipment!$C:$C, Amazon_USA_Air_Shipment!AH:AH))</f>
        <v>0</v>
      </c>
      <c r="AX11" s="262" t="e">
        <f>SUM(_xlfn.XLOOKUP($C11, 'INT-_Manjiri'!$C:$C, 'INT-_Manjiri'!AI:AI), _xlfn.XLOOKUP($C11, 'USA-_Sea_shipment'!$C:$C, 'USA-_Sea_shipment'!#REF!), _xlfn.XLOOKUP($C11, UK!$C:$C, UK!AQ:AQ), _xlfn.XLOOKUP($C11, Domestic!$C:$C, Domestic!AK:AK), _xlfn.XLOOKUP($C11, MENA!$C:$C, MENA!AI:AI), _xlfn.XLOOKUP($C11, Amazon_USA_Air_Shipment!$C:$C, Amazon_USA_Air_Shipment!AI:AI))</f>
        <v>#REF!</v>
      </c>
      <c r="AY11" s="262" t="e">
        <f>SUM(_xlfn.XLOOKUP($C11, 'INT-_Manjiri'!$C:$C, 'INT-_Manjiri'!AJ:AJ), _xlfn.XLOOKUP($C11, 'USA-_Sea_shipment'!$C:$C, 'USA-_Sea_shipment'!#REF!), _xlfn.XLOOKUP($C11, UK!$C:$C, UK!AR:AR), _xlfn.XLOOKUP($C11, Domestic!$C:$C, Domestic!AL:AL), _xlfn.XLOOKUP($C11, MENA!$C:$C, MENA!AJ:AJ), _xlfn.XLOOKUP($C11, Amazon_USA_Air_Shipment!$C:$C, Amazon_USA_Air_Shipment!AJ:AJ))</f>
        <v>#REF!</v>
      </c>
      <c r="AZ11" s="262" t="e">
        <f>SUM(_xlfn.XLOOKUP($C11, 'INT-_Manjiri'!$C:$C, 'INT-_Manjiri'!AK:AK), _xlfn.XLOOKUP($C11, 'USA-_Sea_shipment'!$C:$C, 'USA-_Sea_shipment'!#REF!), _xlfn.XLOOKUP($C11, UK!$C:$C, UK!AS:AS), _xlfn.XLOOKUP($C11, Domestic!$C:$C, Domestic!AM:AM), _xlfn.XLOOKUP($C11, MENA!$C:$C, MENA!AK:AK), _xlfn.XLOOKUP($C11, Amazon_USA_Air_Shipment!$C:$C, Amazon_USA_Air_Shipment!AK:AK))</f>
        <v>#REF!</v>
      </c>
      <c r="BA11" s="263" t="e">
        <f t="shared" si="12"/>
        <v>#REF!</v>
      </c>
      <c r="BB11" s="264" t="e">
        <f t="shared" si="13"/>
        <v>#REF!</v>
      </c>
      <c r="BC11" s="265">
        <f t="shared" si="14"/>
        <v>0</v>
      </c>
      <c r="BD11" s="263" t="e">
        <f t="shared" si="15"/>
        <v>#REF!</v>
      </c>
      <c r="BE11" s="264" t="e">
        <f t="shared" si="16"/>
        <v>#REF!</v>
      </c>
      <c r="BF11" s="264" t="e">
        <f t="shared" si="17"/>
        <v>#REF!</v>
      </c>
      <c r="BG11" s="266">
        <f t="shared" si="18"/>
        <v>0</v>
      </c>
      <c r="BH11" s="267"/>
      <c r="BI11" s="267"/>
      <c r="BJ11" s="268"/>
      <c r="BK11" s="269"/>
      <c r="BL11" s="270" t="e">
        <f t="shared" si="19"/>
        <v>#DIV/0!</v>
      </c>
      <c r="BM11" s="110"/>
      <c r="BN11" s="110"/>
      <c r="BO11" s="110"/>
      <c r="BP11" s="110"/>
      <c r="BQ11" s="110"/>
      <c r="BR11" s="110"/>
      <c r="BS11" s="110"/>
      <c r="BT11" s="110"/>
    </row>
    <row r="12" spans="1:72" ht="18">
      <c r="A12" s="93">
        <v>10</v>
      </c>
      <c r="B12" s="94" t="s">
        <v>12</v>
      </c>
      <c r="C12" s="95" t="s">
        <v>75</v>
      </c>
      <c r="D12" s="95" t="s">
        <v>25</v>
      </c>
      <c r="E12" s="96">
        <v>0.1</v>
      </c>
      <c r="F12" s="259"/>
      <c r="G12" s="259"/>
      <c r="H12" s="259"/>
      <c r="I12" s="260"/>
      <c r="J12" s="260"/>
      <c r="K12" s="260"/>
      <c r="L12" s="260"/>
      <c r="M12" s="261">
        <f t="shared" si="2"/>
        <v>0</v>
      </c>
      <c r="N12" s="262">
        <v>0</v>
      </c>
      <c r="O12" s="262">
        <v>0</v>
      </c>
      <c r="P12" s="262">
        <v>0</v>
      </c>
      <c r="Q12" s="262">
        <v>0</v>
      </c>
      <c r="R12" s="262">
        <v>0</v>
      </c>
      <c r="S12" s="262">
        <v>0</v>
      </c>
      <c r="T12" s="262">
        <v>0</v>
      </c>
      <c r="U12" s="263">
        <f t="shared" si="3"/>
        <v>0</v>
      </c>
      <c r="V12" s="264">
        <f t="shared" si="4"/>
        <v>0</v>
      </c>
      <c r="W12" s="192">
        <f t="shared" si="5"/>
        <v>0</v>
      </c>
      <c r="X12" s="262">
        <f>SUM(_xlfn.XLOOKUP($C12, 'INT-_Manjiri'!$C:$C, 'INT-_Manjiri'!O:O), _xlfn.XLOOKUP($C12, 'USA-_Sea_shipment'!$C:$C, 'USA-_Sea_shipment'!S:S), _xlfn.XLOOKUP($C12, UK!$C:$C, UK!Q:Q), _xlfn.XLOOKUP($C12, Domestic!$C:$C, Domestic!Q:Q), _xlfn.XLOOKUP($C12, MENA!$C:$C, MENA!O:O), _xlfn.XLOOKUP($C12, Amazon_USA_Air_Shipment!$C:$C, Amazon_USA_Air_Shipment!O:O))</f>
        <v>0</v>
      </c>
      <c r="Y12" s="262">
        <f>SUM(_xlfn.XLOOKUP($C12, 'INT-_Manjiri'!$C:$C, 'INT-_Manjiri'!P:P), _xlfn.XLOOKUP($C12, 'USA-_Sea_shipment'!$C:$C, 'USA-_Sea_shipment'!T:T), _xlfn.XLOOKUP($C12, UK!$C:$C, UK!R:R), _xlfn.XLOOKUP($C12, Domestic!$C:$C, Domestic!R:R), _xlfn.XLOOKUP($C12, MENA!$C:$C, MENA!P:P), _xlfn.XLOOKUP($C12, Amazon_USA_Air_Shipment!$C:$C, Amazon_USA_Air_Shipment!P:P))</f>
        <v>0</v>
      </c>
      <c r="Z12" s="262">
        <f>SUM(_xlfn.XLOOKUP($C12, 'INT-_Manjiri'!$C:$C, 'INT-_Manjiri'!Q:Q), _xlfn.XLOOKUP($C12, 'USA-_Sea_shipment'!$C:$C, 'USA-_Sea_shipment'!U:U), _xlfn.XLOOKUP($C12, UK!$C:$C, UK!S:S), _xlfn.XLOOKUP($C12, Domestic!$C:$C, Domestic!S:S), _xlfn.XLOOKUP($C12, MENA!$C:$C, MENA!Q:Q), _xlfn.XLOOKUP($C12, Amazon_USA_Air_Shipment!$C:$C, Amazon_USA_Air_Shipment!Q:Q))</f>
        <v>268</v>
      </c>
      <c r="AA12" s="262">
        <f>SUM(_xlfn.XLOOKUP($C12, 'INT-_Manjiri'!$C:$C, 'INT-_Manjiri'!R:R), _xlfn.XLOOKUP($C12, 'USA-_Sea_shipment'!$C:$C, 'USA-_Sea_shipment'!V:V), _xlfn.XLOOKUP($C12, UK!$C:$C, UK!T:T), _xlfn.XLOOKUP($C12, Domestic!$C:$C, Domestic!T:T), _xlfn.XLOOKUP($C12, MENA!$C:$C, MENA!R:R), _xlfn.XLOOKUP($C12, Amazon_USA_Air_Shipment!$C:$C, Amazon_USA_Air_Shipment!R:R))</f>
        <v>105</v>
      </c>
      <c r="AB12" s="262">
        <f>SUM(_xlfn.XLOOKUP($C12, 'INT-_Manjiri'!$C:$C, 'INT-_Manjiri'!S:S), _xlfn.XLOOKUP($C12, 'USA-_Sea_shipment'!$C:$C, 'USA-_Sea_shipment'!W:W), _xlfn.XLOOKUP($C12, UK!$C:$C, UK!U:U), _xlfn.XLOOKUP($C12, Domestic!$C:$C, Domestic!U:U), _xlfn.XLOOKUP($C12, MENA!$C:$C, MENA!S:S), _xlfn.XLOOKUP($C12, Amazon_USA_Air_Shipment!$C:$C, Amazon_USA_Air_Shipment!S:S))</f>
        <v>0</v>
      </c>
      <c r="AC12" s="262">
        <f>SUM(_xlfn.XLOOKUP($C12, 'INT-_Manjiri'!$C:$C, 'INT-_Manjiri'!T:T), _xlfn.XLOOKUP($C12, 'USA-_Sea_shipment'!$C:$C, 'USA-_Sea_shipment'!X:X), _xlfn.XLOOKUP($C12, UK!$C:$C, UK!V:V), _xlfn.XLOOKUP($C12, Domestic!$C:$C, Domestic!V:V), _xlfn.XLOOKUP($C12, MENA!$C:$C, MENA!T:T), _xlfn.XLOOKUP($C12, Amazon_USA_Air_Shipment!$C:$C, Amazon_USA_Air_Shipment!T:T))</f>
        <v>0</v>
      </c>
      <c r="AD12" s="262">
        <f>SUM(_xlfn.XLOOKUP($C12, 'INT-_Manjiri'!$C:$C, 'INT-_Manjiri'!U:U), _xlfn.XLOOKUP($C12, 'USA-_Sea_shipment'!$C:$C, 'USA-_Sea_shipment'!Y:Y), _xlfn.XLOOKUP($C12, UK!$C:$C, UK!W:W), _xlfn.XLOOKUP($C12, Domestic!$C:$C, Domestic!W:W), _xlfn.XLOOKUP($C12, MENA!$C:$C, MENA!U:U), _xlfn.XLOOKUP($C12, Amazon_USA_Air_Shipment!$C:$C, Amazon_USA_Air_Shipment!U:U))</f>
        <v>0</v>
      </c>
      <c r="AE12" s="263">
        <f t="shared" si="6"/>
        <v>373</v>
      </c>
      <c r="AF12" s="264">
        <f t="shared" si="7"/>
        <v>37.300000000000004</v>
      </c>
      <c r="AG12" s="265">
        <f t="shared" si="8"/>
        <v>0</v>
      </c>
      <c r="AH12" s="262">
        <f>SUM(_xlfn.XLOOKUP($C12, 'INT-_Manjiri'!$C:$C, 'INT-_Manjiri'!V:V), _xlfn.XLOOKUP($C12, 'USA-_Sea_shipment'!$C:$C, 'USA-_Sea_shipment'!AC:AC), _xlfn.XLOOKUP($C12, UK!$C:$C, UK!AA:AA), _xlfn.XLOOKUP($C12, Domestic!$C:$C, Domestic!X:X), _xlfn.XLOOKUP($C12, MENA!$C:$C, MENA!V:V), _xlfn.XLOOKUP($C12, Amazon_USA_Air_Shipment!$C:$C, Amazon_USA_Air_Shipment!V:V))</f>
        <v>65</v>
      </c>
      <c r="AI12" s="262">
        <f>SUM(_xlfn.XLOOKUP($C12, 'INT-_Manjiri'!$C:$C, 'INT-_Manjiri'!W:W), _xlfn.XLOOKUP($C12, 'USA-_Sea_shipment'!$C:$C, 'USA-_Sea_shipment'!AD:AD), _xlfn.XLOOKUP($C12, UK!$C:$C, UK!AB:AB), _xlfn.XLOOKUP($C12, Domestic!$C:$C, Domestic!Y:Y), _xlfn.XLOOKUP($C12, MENA!$C:$C, MENA!W:W), _xlfn.XLOOKUP($C12, Amazon_USA_Air_Shipment!$C:$C, Amazon_USA_Air_Shipment!W:W))</f>
        <v>51</v>
      </c>
      <c r="AJ12" s="262">
        <f>SUM(_xlfn.XLOOKUP($C12, 'INT-_Manjiri'!$C:$C, 'INT-_Manjiri'!X:X), _xlfn.XLOOKUP($C12, 'USA-_Sea_shipment'!$C:$C, 'USA-_Sea_shipment'!AE:AE), _xlfn.XLOOKUP($C12, UK!$C:$C, UK!AC:AC), _xlfn.XLOOKUP($C12, Domestic!$C:$C, Domestic!Z:Z), _xlfn.XLOOKUP($C12, MENA!$C:$C, MENA!X:X), _xlfn.XLOOKUP($C12, Amazon_USA_Air_Shipment!$C:$C, Amazon_USA_Air_Shipment!X:X))</f>
        <v>0</v>
      </c>
      <c r="AK12" s="262">
        <f>SUM(_xlfn.XLOOKUP($C12, 'INT-_Manjiri'!$C:$C, 'INT-_Manjiri'!Y:Y), _xlfn.XLOOKUP($C12, 'USA-_Sea_shipment'!$C:$C, 'USA-_Sea_shipment'!AF:AF), _xlfn.XLOOKUP($C12, UK!$C:$C, UK!AD:AD), _xlfn.XLOOKUP($C12, Domestic!$C:$C, Domestic!AA:AA), _xlfn.XLOOKUP($C12, MENA!$C:$C, MENA!Y:Y), _xlfn.XLOOKUP($C12, Amazon_USA_Air_Shipment!$C:$C, Amazon_USA_Air_Shipment!Y:Y))</f>
        <v>0</v>
      </c>
      <c r="AL12" s="262">
        <f>SUM(_xlfn.XLOOKUP($C12, 'INT-_Manjiri'!$C:$C, 'INT-_Manjiri'!Z:Z), _xlfn.XLOOKUP($C12, 'USA-_Sea_shipment'!$C:$C, 'USA-_Sea_shipment'!AG:AG), _xlfn.XLOOKUP($C12, UK!$C:$C, UK!AE:AE), _xlfn.XLOOKUP($C12, Domestic!$C:$C, Domestic!AB:AB), _xlfn.XLOOKUP($C12, MENA!$C:$C, MENA!Z:Z), _xlfn.XLOOKUP($C12, Amazon_USA_Air_Shipment!$C:$C, Amazon_USA_Air_Shipment!Z:Z))</f>
        <v>0</v>
      </c>
      <c r="AM12" s="262">
        <f>SUM(_xlfn.XLOOKUP($C12, 'INT-_Manjiri'!$C:$C, 'INT-_Manjiri'!AA:AA), _xlfn.XLOOKUP($C12, 'USA-_Sea_shipment'!$C:$C, 'USA-_Sea_shipment'!AH:AH), _xlfn.XLOOKUP($C12, UK!$C:$C, UK!AF:AF), _xlfn.XLOOKUP($C12, Domestic!$C:$C, Domestic!AC:AC), _xlfn.XLOOKUP($C12, MENA!$C:$C, MENA!AA:AA), _xlfn.XLOOKUP($C12, Amazon_USA_Air_Shipment!$C:$C, Amazon_USA_Air_Shipment!AA:AA))</f>
        <v>0</v>
      </c>
      <c r="AN12" s="262">
        <f>SUM(_xlfn.XLOOKUP($C12, 'INT-_Manjiri'!$C:$C, 'INT-_Manjiri'!AB:AB), _xlfn.XLOOKUP($C12, 'USA-_Sea_shipment'!$C:$C, 'USA-_Sea_shipment'!AI:AI), _xlfn.XLOOKUP($C12, UK!$C:$C, UK!AG:AG), _xlfn.XLOOKUP($C12, Domestic!$C:$C, Domestic!AD:AD), _xlfn.XLOOKUP($C12, MENA!$C:$C, MENA!AB:AB), _xlfn.XLOOKUP($C12, Amazon_USA_Air_Shipment!$C:$C, Amazon_USA_Air_Shipment!AB:AB))</f>
        <v>0</v>
      </c>
      <c r="AO12" s="264">
        <f t="shared" si="9"/>
        <v>11.600000000000001</v>
      </c>
      <c r="AP12" s="263">
        <f t="shared" si="10"/>
        <v>116</v>
      </c>
      <c r="AQ12" s="265">
        <f t="shared" si="11"/>
        <v>0</v>
      </c>
      <c r="AR12" s="262">
        <f>SUM(_xlfn.XLOOKUP($C12, 'INT-_Manjiri'!$C:$C, 'INT-_Manjiri'!AC:AC), _xlfn.XLOOKUP($C12, 'USA-_Sea_shipment'!$C:$C, 'USA-_Sea_shipment'!AT:AT), _xlfn.XLOOKUP($C12, UK!$C:$C, UK!AK:AK), _xlfn.XLOOKUP($C12, Domestic!$C:$C, Domestic!AE:AE), _xlfn.XLOOKUP($C12, MENA!$C:$C, MENA!AC:AC), _xlfn.XLOOKUP($C12, Amazon_USA_Air_Shipment!$C:$C, Amazon_USA_Air_Shipment!AC:AC))</f>
        <v>0</v>
      </c>
      <c r="AS12" s="262">
        <f>SUM(_xlfn.XLOOKUP($C12, 'INT-_Manjiri'!$C:$C, 'INT-_Manjiri'!AD:AD), _xlfn.XLOOKUP($C12, 'USA-_Sea_shipment'!$C:$C, 'USA-_Sea_shipment'!AU:AU), _xlfn.XLOOKUP($C12, UK!$C:$C, UK!AL:AL), _xlfn.XLOOKUP($C12, Domestic!$C:$C, Domestic!AF:AF), _xlfn.XLOOKUP($C12, MENA!$C:$C, MENA!AD:AD), _xlfn.XLOOKUP($C12, Amazon_USA_Air_Shipment!$C:$C, Amazon_USA_Air_Shipment!AD:AD))</f>
        <v>45</v>
      </c>
      <c r="AT12" s="262">
        <f>SUM(_xlfn.XLOOKUP($C12, 'INT-_Manjiri'!$C:$C, 'INT-_Manjiri'!AE:AE), _xlfn.XLOOKUP($C12, 'USA-_Sea_shipment'!$C:$C, 'USA-_Sea_shipment'!AV:AV), _xlfn.XLOOKUP($C12, UK!$C:$C, UK!AM:AM), _xlfn.XLOOKUP($C12, Domestic!$C:$C, Domestic!AG:AG), _xlfn.XLOOKUP($C12, MENA!$C:$C, MENA!AE:AE), _xlfn.XLOOKUP($C12, Amazon_USA_Air_Shipment!$C:$C, Amazon_USA_Air_Shipment!AE:AE))</f>
        <v>0</v>
      </c>
      <c r="AU12" s="262">
        <f>SUM(_xlfn.XLOOKUP($C12, 'INT-_Manjiri'!$C:$C, 'INT-_Manjiri'!AF:AF), _xlfn.XLOOKUP($C12, 'USA-_Sea_shipment'!$C:$C, 'USA-_Sea_shipment'!AW:AW), _xlfn.XLOOKUP($C12, UK!$C:$C, UK!AN:AN), _xlfn.XLOOKUP($C12, Domestic!$C:$C, Domestic!AH:AH), _xlfn.XLOOKUP($C12, MENA!$C:$C, MENA!AF:AF), _xlfn.XLOOKUP($C12, Amazon_USA_Air_Shipment!$C:$C, Amazon_USA_Air_Shipment!AF:AF))</f>
        <v>150</v>
      </c>
      <c r="AV12" s="262">
        <f>SUM(_xlfn.XLOOKUP($C12, 'INT-_Manjiri'!$C:$C, 'INT-_Manjiri'!AG:AG), _xlfn.XLOOKUP($C12, 'USA-_Sea_shipment'!$C:$C, 'USA-_Sea_shipment'!AX:AX), _xlfn.XLOOKUP($C12, UK!$C:$C, UK!AO:AO), _xlfn.XLOOKUP($C12, Domestic!$C:$C, Domestic!AI:AI), _xlfn.XLOOKUP($C12, MENA!$C:$C, MENA!AG:AG), _xlfn.XLOOKUP($C12, Amazon_USA_Air_Shipment!$C:$C, Amazon_USA_Air_Shipment!AG:AG))</f>
        <v>0</v>
      </c>
      <c r="AW12" s="262">
        <f>SUM(_xlfn.XLOOKUP($C12, 'INT-_Manjiri'!$C:$C, 'INT-_Manjiri'!AH:AH), _xlfn.XLOOKUP($C12, 'USA-_Sea_shipment'!$C:$C, 'USA-_Sea_shipment'!AY:AY), _xlfn.XLOOKUP($C12, UK!$C:$C, UK!AP:AP), _xlfn.XLOOKUP($C12, Domestic!$C:$C, Domestic!AJ:AJ), _xlfn.XLOOKUP($C12, MENA!$C:$C, MENA!AH:AH), _xlfn.XLOOKUP($C12, Amazon_USA_Air_Shipment!$C:$C, Amazon_USA_Air_Shipment!AH:AH))</f>
        <v>0</v>
      </c>
      <c r="AX12" s="262" t="e">
        <f>SUM(_xlfn.XLOOKUP($C12, 'INT-_Manjiri'!$C:$C, 'INT-_Manjiri'!AI:AI), _xlfn.XLOOKUP($C12, 'USA-_Sea_shipment'!$C:$C, 'USA-_Sea_shipment'!#REF!), _xlfn.XLOOKUP($C12, UK!$C:$C, UK!AQ:AQ), _xlfn.XLOOKUP($C12, Domestic!$C:$C, Domestic!AK:AK), _xlfn.XLOOKUP($C12, MENA!$C:$C, MENA!AI:AI), _xlfn.XLOOKUP($C12, Amazon_USA_Air_Shipment!$C:$C, Amazon_USA_Air_Shipment!AI:AI))</f>
        <v>#REF!</v>
      </c>
      <c r="AY12" s="262" t="e">
        <f>SUM(_xlfn.XLOOKUP($C12, 'INT-_Manjiri'!$C:$C, 'INT-_Manjiri'!AJ:AJ), _xlfn.XLOOKUP($C12, 'USA-_Sea_shipment'!$C:$C, 'USA-_Sea_shipment'!#REF!), _xlfn.XLOOKUP($C12, UK!$C:$C, UK!AR:AR), _xlfn.XLOOKUP($C12, Domestic!$C:$C, Domestic!AL:AL), _xlfn.XLOOKUP($C12, MENA!$C:$C, MENA!AJ:AJ), _xlfn.XLOOKUP($C12, Amazon_USA_Air_Shipment!$C:$C, Amazon_USA_Air_Shipment!AJ:AJ))</f>
        <v>#REF!</v>
      </c>
      <c r="AZ12" s="262" t="e">
        <f>SUM(_xlfn.XLOOKUP($C12, 'INT-_Manjiri'!$C:$C, 'INT-_Manjiri'!AK:AK), _xlfn.XLOOKUP($C12, 'USA-_Sea_shipment'!$C:$C, 'USA-_Sea_shipment'!#REF!), _xlfn.XLOOKUP($C12, UK!$C:$C, UK!AS:AS), _xlfn.XLOOKUP($C12, Domestic!$C:$C, Domestic!AM:AM), _xlfn.XLOOKUP($C12, MENA!$C:$C, MENA!AK:AK), _xlfn.XLOOKUP($C12, Amazon_USA_Air_Shipment!$C:$C, Amazon_USA_Air_Shipment!AK:AK))</f>
        <v>#REF!</v>
      </c>
      <c r="BA12" s="263" t="e">
        <f t="shared" si="12"/>
        <v>#REF!</v>
      </c>
      <c r="BB12" s="264" t="e">
        <f t="shared" si="13"/>
        <v>#REF!</v>
      </c>
      <c r="BC12" s="265">
        <f t="shared" si="14"/>
        <v>0</v>
      </c>
      <c r="BD12" s="263" t="e">
        <f t="shared" si="15"/>
        <v>#REF!</v>
      </c>
      <c r="BE12" s="264" t="e">
        <f t="shared" si="16"/>
        <v>#REF!</v>
      </c>
      <c r="BF12" s="264" t="e">
        <f t="shared" si="17"/>
        <v>#REF!</v>
      </c>
      <c r="BG12" s="266">
        <f t="shared" si="18"/>
        <v>0</v>
      </c>
      <c r="BH12" s="267"/>
      <c r="BI12" s="267"/>
      <c r="BJ12" s="268"/>
      <c r="BK12" s="269"/>
      <c r="BL12" s="270" t="e">
        <f t="shared" si="19"/>
        <v>#DIV/0!</v>
      </c>
      <c r="BM12" s="110"/>
      <c r="BN12" s="110"/>
      <c r="BO12" s="110"/>
      <c r="BP12" s="110"/>
      <c r="BQ12" s="110"/>
      <c r="BR12" s="110"/>
      <c r="BS12" s="110"/>
      <c r="BT12" s="110"/>
    </row>
    <row r="13" spans="1:72" ht="18">
      <c r="A13" s="188">
        <v>11</v>
      </c>
      <c r="B13" s="94" t="s">
        <v>12</v>
      </c>
      <c r="C13" s="95" t="s">
        <v>144</v>
      </c>
      <c r="D13" s="95" t="s">
        <v>145</v>
      </c>
      <c r="E13" s="96">
        <v>1</v>
      </c>
      <c r="F13" s="259"/>
      <c r="G13" s="259"/>
      <c r="H13" s="259"/>
      <c r="I13" s="260"/>
      <c r="J13" s="260"/>
      <c r="K13" s="260"/>
      <c r="L13" s="260"/>
      <c r="M13" s="261">
        <f t="shared" si="2"/>
        <v>0</v>
      </c>
      <c r="N13" s="262">
        <v>0</v>
      </c>
      <c r="O13" s="262">
        <v>0</v>
      </c>
      <c r="P13" s="262">
        <v>0</v>
      </c>
      <c r="Q13" s="262">
        <v>0</v>
      </c>
      <c r="R13" s="262">
        <v>0</v>
      </c>
      <c r="S13" s="262">
        <v>0</v>
      </c>
      <c r="T13" s="262">
        <v>0</v>
      </c>
      <c r="U13" s="263">
        <f t="shared" si="3"/>
        <v>0</v>
      </c>
      <c r="V13" s="264">
        <f t="shared" si="4"/>
        <v>0</v>
      </c>
      <c r="W13" s="192">
        <f t="shared" si="5"/>
        <v>0</v>
      </c>
      <c r="X13" s="262" t="e">
        <f>SUM(_xlfn.XLOOKUP($C13, 'INT-_Manjiri'!$C:$C, 'INT-_Manjiri'!O:O), _xlfn.XLOOKUP($C13, 'USA-_Sea_shipment'!$C:$C, 'USA-_Sea_shipment'!S:S), _xlfn.XLOOKUP($C13, UK!$C:$C, UK!Q:Q), _xlfn.XLOOKUP($C13, Domestic!$C:$C, Domestic!Q:Q), _xlfn.XLOOKUP($C13, MENA!$C:$C, MENA!O:O), _xlfn.XLOOKUP($C13, Amazon_USA_Air_Shipment!$C:$C, Amazon_USA_Air_Shipment!O:O))</f>
        <v>#N/A</v>
      </c>
      <c r="Y13" s="262" t="e">
        <f>SUM(_xlfn.XLOOKUP($C13, 'INT-_Manjiri'!$C:$C, 'INT-_Manjiri'!P:P), _xlfn.XLOOKUP($C13, 'USA-_Sea_shipment'!$C:$C, 'USA-_Sea_shipment'!T:T), _xlfn.XLOOKUP($C13, UK!$C:$C, UK!R:R), _xlfn.XLOOKUP($C13, Domestic!$C:$C, Domestic!R:R), _xlfn.XLOOKUP($C13, MENA!$C:$C, MENA!P:P), _xlfn.XLOOKUP($C13, Amazon_USA_Air_Shipment!$C:$C, Amazon_USA_Air_Shipment!P:P))</f>
        <v>#N/A</v>
      </c>
      <c r="Z13" s="262" t="e">
        <f>SUM(_xlfn.XLOOKUP($C13, 'INT-_Manjiri'!$C:$C, 'INT-_Manjiri'!Q:Q), _xlfn.XLOOKUP($C13, 'USA-_Sea_shipment'!$C:$C, 'USA-_Sea_shipment'!U:U), _xlfn.XLOOKUP($C13, UK!$C:$C, UK!S:S), _xlfn.XLOOKUP($C13, Domestic!$C:$C, Domestic!S:S), _xlfn.XLOOKUP($C13, MENA!$C:$C, MENA!Q:Q), _xlfn.XLOOKUP($C13, Amazon_USA_Air_Shipment!$C:$C, Amazon_USA_Air_Shipment!Q:Q))</f>
        <v>#N/A</v>
      </c>
      <c r="AA13" s="262" t="e">
        <f>SUM(_xlfn.XLOOKUP($C13, 'INT-_Manjiri'!$C:$C, 'INT-_Manjiri'!R:R), _xlfn.XLOOKUP($C13, 'USA-_Sea_shipment'!$C:$C, 'USA-_Sea_shipment'!V:V), _xlfn.XLOOKUP($C13, UK!$C:$C, UK!T:T), _xlfn.XLOOKUP($C13, Domestic!$C:$C, Domestic!T:T), _xlfn.XLOOKUP($C13, MENA!$C:$C, MENA!R:R), _xlfn.XLOOKUP($C13, Amazon_USA_Air_Shipment!$C:$C, Amazon_USA_Air_Shipment!R:R))</f>
        <v>#N/A</v>
      </c>
      <c r="AB13" s="262" t="e">
        <f>SUM(_xlfn.XLOOKUP($C13, 'INT-_Manjiri'!$C:$C, 'INT-_Manjiri'!S:S), _xlfn.XLOOKUP($C13, 'USA-_Sea_shipment'!$C:$C, 'USA-_Sea_shipment'!W:W), _xlfn.XLOOKUP($C13, UK!$C:$C, UK!U:U), _xlfn.XLOOKUP($C13, Domestic!$C:$C, Domestic!U:U), _xlfn.XLOOKUP($C13, MENA!$C:$C, MENA!S:S), _xlfn.XLOOKUP($C13, Amazon_USA_Air_Shipment!$C:$C, Amazon_USA_Air_Shipment!S:S))</f>
        <v>#N/A</v>
      </c>
      <c r="AC13" s="262" t="e">
        <f>SUM(_xlfn.XLOOKUP($C13, 'INT-_Manjiri'!$C:$C, 'INT-_Manjiri'!T:T), _xlfn.XLOOKUP($C13, 'USA-_Sea_shipment'!$C:$C, 'USA-_Sea_shipment'!X:X), _xlfn.XLOOKUP($C13, UK!$C:$C, UK!V:V), _xlfn.XLOOKUP($C13, Domestic!$C:$C, Domestic!V:V), _xlfn.XLOOKUP($C13, MENA!$C:$C, MENA!T:T), _xlfn.XLOOKUP($C13, Amazon_USA_Air_Shipment!$C:$C, Amazon_USA_Air_Shipment!T:T))</f>
        <v>#N/A</v>
      </c>
      <c r="AD13" s="262" t="e">
        <f>SUM(_xlfn.XLOOKUP($C13, 'INT-_Manjiri'!$C:$C, 'INT-_Manjiri'!U:U), _xlfn.XLOOKUP($C13, 'USA-_Sea_shipment'!$C:$C, 'USA-_Sea_shipment'!Y:Y), _xlfn.XLOOKUP($C13, UK!$C:$C, UK!W:W), _xlfn.XLOOKUP($C13, Domestic!$C:$C, Domestic!W:W), _xlfn.XLOOKUP($C13, MENA!$C:$C, MENA!U:U), _xlfn.XLOOKUP($C13, Amazon_USA_Air_Shipment!$C:$C, Amazon_USA_Air_Shipment!U:U))</f>
        <v>#N/A</v>
      </c>
      <c r="AE13" s="263" t="e">
        <f t="shared" si="6"/>
        <v>#N/A</v>
      </c>
      <c r="AF13" s="264" t="e">
        <f t="shared" si="7"/>
        <v>#N/A</v>
      </c>
      <c r="AG13" s="265">
        <f t="shared" si="8"/>
        <v>0</v>
      </c>
      <c r="AH13" s="262" t="e">
        <f>SUM(_xlfn.XLOOKUP($C13, 'INT-_Manjiri'!$C:$C, 'INT-_Manjiri'!V:V), _xlfn.XLOOKUP($C13, 'USA-_Sea_shipment'!$C:$C, 'USA-_Sea_shipment'!AC:AC), _xlfn.XLOOKUP($C13, UK!$C:$C, UK!AA:AA), _xlfn.XLOOKUP($C13, Domestic!$C:$C, Domestic!X:X), _xlfn.XLOOKUP($C13, MENA!$C:$C, MENA!V:V), _xlfn.XLOOKUP($C13, Amazon_USA_Air_Shipment!$C:$C, Amazon_USA_Air_Shipment!V:V))</f>
        <v>#N/A</v>
      </c>
      <c r="AI13" s="262" t="e">
        <f>SUM(_xlfn.XLOOKUP($C13, 'INT-_Manjiri'!$C:$C, 'INT-_Manjiri'!W:W), _xlfn.XLOOKUP($C13, 'USA-_Sea_shipment'!$C:$C, 'USA-_Sea_shipment'!AD:AD), _xlfn.XLOOKUP($C13, UK!$C:$C, UK!AB:AB), _xlfn.XLOOKUP($C13, Domestic!$C:$C, Domestic!Y:Y), _xlfn.XLOOKUP($C13, MENA!$C:$C, MENA!W:W), _xlfn.XLOOKUP($C13, Amazon_USA_Air_Shipment!$C:$C, Amazon_USA_Air_Shipment!W:W))</f>
        <v>#N/A</v>
      </c>
      <c r="AJ13" s="262" t="e">
        <f>SUM(_xlfn.XLOOKUP($C13, 'INT-_Manjiri'!$C:$C, 'INT-_Manjiri'!X:X), _xlfn.XLOOKUP($C13, 'USA-_Sea_shipment'!$C:$C, 'USA-_Sea_shipment'!AE:AE), _xlfn.XLOOKUP($C13, UK!$C:$C, UK!AC:AC), _xlfn.XLOOKUP($C13, Domestic!$C:$C, Domestic!Z:Z), _xlfn.XLOOKUP($C13, MENA!$C:$C, MENA!X:X), _xlfn.XLOOKUP($C13, Amazon_USA_Air_Shipment!$C:$C, Amazon_USA_Air_Shipment!X:X))</f>
        <v>#N/A</v>
      </c>
      <c r="AK13" s="262" t="e">
        <f>SUM(_xlfn.XLOOKUP($C13, 'INT-_Manjiri'!$C:$C, 'INT-_Manjiri'!Y:Y), _xlfn.XLOOKUP($C13, 'USA-_Sea_shipment'!$C:$C, 'USA-_Sea_shipment'!AF:AF), _xlfn.XLOOKUP($C13, UK!$C:$C, UK!AD:AD), _xlfn.XLOOKUP($C13, Domestic!$C:$C, Domestic!AA:AA), _xlfn.XLOOKUP($C13, MENA!$C:$C, MENA!Y:Y), _xlfn.XLOOKUP($C13, Amazon_USA_Air_Shipment!$C:$C, Amazon_USA_Air_Shipment!Y:Y))</f>
        <v>#N/A</v>
      </c>
      <c r="AL13" s="262" t="e">
        <f>SUM(_xlfn.XLOOKUP($C13, 'INT-_Manjiri'!$C:$C, 'INT-_Manjiri'!Z:Z), _xlfn.XLOOKUP($C13, 'USA-_Sea_shipment'!$C:$C, 'USA-_Sea_shipment'!AG:AG), _xlfn.XLOOKUP($C13, UK!$C:$C, UK!AE:AE), _xlfn.XLOOKUP($C13, Domestic!$C:$C, Domestic!AB:AB), _xlfn.XLOOKUP($C13, MENA!$C:$C, MENA!Z:Z), _xlfn.XLOOKUP($C13, Amazon_USA_Air_Shipment!$C:$C, Amazon_USA_Air_Shipment!Z:Z))</f>
        <v>#N/A</v>
      </c>
      <c r="AM13" s="262" t="e">
        <f>SUM(_xlfn.XLOOKUP($C13, 'INT-_Manjiri'!$C:$C, 'INT-_Manjiri'!AA:AA), _xlfn.XLOOKUP($C13, 'USA-_Sea_shipment'!$C:$C, 'USA-_Sea_shipment'!AH:AH), _xlfn.XLOOKUP($C13, UK!$C:$C, UK!AF:AF), _xlfn.XLOOKUP($C13, Domestic!$C:$C, Domestic!AC:AC), _xlfn.XLOOKUP($C13, MENA!$C:$C, MENA!AA:AA), _xlfn.XLOOKUP($C13, Amazon_USA_Air_Shipment!$C:$C, Amazon_USA_Air_Shipment!AA:AA))</f>
        <v>#N/A</v>
      </c>
      <c r="AN13" s="262" t="e">
        <f>SUM(_xlfn.XLOOKUP($C13, 'INT-_Manjiri'!$C:$C, 'INT-_Manjiri'!AB:AB), _xlfn.XLOOKUP($C13, 'USA-_Sea_shipment'!$C:$C, 'USA-_Sea_shipment'!AI:AI), _xlfn.XLOOKUP($C13, UK!$C:$C, UK!AG:AG), _xlfn.XLOOKUP($C13, Domestic!$C:$C, Domestic!AD:AD), _xlfn.XLOOKUP($C13, MENA!$C:$C, MENA!AB:AB), _xlfn.XLOOKUP($C13, Amazon_USA_Air_Shipment!$C:$C, Amazon_USA_Air_Shipment!AB:AB))</f>
        <v>#N/A</v>
      </c>
      <c r="AO13" s="264" t="e">
        <f t="shared" si="9"/>
        <v>#N/A</v>
      </c>
      <c r="AP13" s="263" t="e">
        <f t="shared" si="10"/>
        <v>#N/A</v>
      </c>
      <c r="AQ13" s="265">
        <f t="shared" si="11"/>
        <v>0</v>
      </c>
      <c r="AR13" s="262" t="e">
        <f>SUM(_xlfn.XLOOKUP($C13, 'INT-_Manjiri'!$C:$C, 'INT-_Manjiri'!AC:AC), _xlfn.XLOOKUP($C13, 'USA-_Sea_shipment'!$C:$C, 'USA-_Sea_shipment'!AT:AT), _xlfn.XLOOKUP($C13, UK!$C:$C, UK!AK:AK), _xlfn.XLOOKUP($C13, Domestic!$C:$C, Domestic!AE:AE), _xlfn.XLOOKUP($C13, MENA!$C:$C, MENA!AC:AC), _xlfn.XLOOKUP($C13, Amazon_USA_Air_Shipment!$C:$C, Amazon_USA_Air_Shipment!AC:AC))</f>
        <v>#N/A</v>
      </c>
      <c r="AS13" s="262" t="e">
        <f>SUM(_xlfn.XLOOKUP($C13, 'INT-_Manjiri'!$C:$C, 'INT-_Manjiri'!AD:AD), _xlfn.XLOOKUP($C13, 'USA-_Sea_shipment'!$C:$C, 'USA-_Sea_shipment'!AU:AU), _xlfn.XLOOKUP($C13, UK!$C:$C, UK!AL:AL), _xlfn.XLOOKUP($C13, Domestic!$C:$C, Domestic!AF:AF), _xlfn.XLOOKUP($C13, MENA!$C:$C, MENA!AD:AD), _xlfn.XLOOKUP($C13, Amazon_USA_Air_Shipment!$C:$C, Amazon_USA_Air_Shipment!AD:AD))</f>
        <v>#N/A</v>
      </c>
      <c r="AT13" s="262" t="e">
        <f>SUM(_xlfn.XLOOKUP($C13, 'INT-_Manjiri'!$C:$C, 'INT-_Manjiri'!AE:AE), _xlfn.XLOOKUP($C13, 'USA-_Sea_shipment'!$C:$C, 'USA-_Sea_shipment'!AV:AV), _xlfn.XLOOKUP($C13, UK!$C:$C, UK!AM:AM), _xlfn.XLOOKUP($C13, Domestic!$C:$C, Domestic!AG:AG), _xlfn.XLOOKUP($C13, MENA!$C:$C, MENA!AE:AE), _xlfn.XLOOKUP($C13, Amazon_USA_Air_Shipment!$C:$C, Amazon_USA_Air_Shipment!AE:AE))</f>
        <v>#N/A</v>
      </c>
      <c r="AU13" s="262" t="e">
        <f>SUM(_xlfn.XLOOKUP($C13, 'INT-_Manjiri'!$C:$C, 'INT-_Manjiri'!AF:AF), _xlfn.XLOOKUP($C13, 'USA-_Sea_shipment'!$C:$C, 'USA-_Sea_shipment'!AW:AW), _xlfn.XLOOKUP($C13, UK!$C:$C, UK!AN:AN), _xlfn.XLOOKUP($C13, Domestic!$C:$C, Domestic!AH:AH), _xlfn.XLOOKUP($C13, MENA!$C:$C, MENA!AF:AF), _xlfn.XLOOKUP($C13, Amazon_USA_Air_Shipment!$C:$C, Amazon_USA_Air_Shipment!AF:AF))</f>
        <v>#N/A</v>
      </c>
      <c r="AV13" s="262" t="e">
        <f>SUM(_xlfn.XLOOKUP($C13, 'INT-_Manjiri'!$C:$C, 'INT-_Manjiri'!AG:AG), _xlfn.XLOOKUP($C13, 'USA-_Sea_shipment'!$C:$C, 'USA-_Sea_shipment'!AX:AX), _xlfn.XLOOKUP($C13, UK!$C:$C, UK!AO:AO), _xlfn.XLOOKUP($C13, Domestic!$C:$C, Domestic!AI:AI), _xlfn.XLOOKUP($C13, MENA!$C:$C, MENA!AG:AG), _xlfn.XLOOKUP($C13, Amazon_USA_Air_Shipment!$C:$C, Amazon_USA_Air_Shipment!AG:AG))</f>
        <v>#N/A</v>
      </c>
      <c r="AW13" s="262" t="e">
        <f>SUM(_xlfn.XLOOKUP($C13, 'INT-_Manjiri'!$C:$C, 'INT-_Manjiri'!AH:AH), _xlfn.XLOOKUP($C13, 'USA-_Sea_shipment'!$C:$C, 'USA-_Sea_shipment'!AY:AY), _xlfn.XLOOKUP($C13, UK!$C:$C, UK!AP:AP), _xlfn.XLOOKUP($C13, Domestic!$C:$C, Domestic!AJ:AJ), _xlfn.XLOOKUP($C13, MENA!$C:$C, MENA!AH:AH), _xlfn.XLOOKUP($C13, Amazon_USA_Air_Shipment!$C:$C, Amazon_USA_Air_Shipment!AH:AH))</f>
        <v>#N/A</v>
      </c>
      <c r="AX13" s="262" t="e">
        <f>SUM(_xlfn.XLOOKUP($C13, 'INT-_Manjiri'!$C:$C, 'INT-_Manjiri'!AI:AI), _xlfn.XLOOKUP($C13, 'USA-_Sea_shipment'!$C:$C, 'USA-_Sea_shipment'!#REF!), _xlfn.XLOOKUP($C13, UK!$C:$C, UK!AQ:AQ), _xlfn.XLOOKUP($C13, Domestic!$C:$C, Domestic!AK:AK), _xlfn.XLOOKUP($C13, MENA!$C:$C, MENA!AI:AI), _xlfn.XLOOKUP($C13, Amazon_USA_Air_Shipment!$C:$C, Amazon_USA_Air_Shipment!AI:AI))</f>
        <v>#REF!</v>
      </c>
      <c r="AY13" s="262" t="e">
        <f>SUM(_xlfn.XLOOKUP($C13, 'INT-_Manjiri'!$C:$C, 'INT-_Manjiri'!AJ:AJ), _xlfn.XLOOKUP($C13, 'USA-_Sea_shipment'!$C:$C, 'USA-_Sea_shipment'!#REF!), _xlfn.XLOOKUP($C13, UK!$C:$C, UK!AR:AR), _xlfn.XLOOKUP($C13, Domestic!$C:$C, Domestic!AL:AL), _xlfn.XLOOKUP($C13, MENA!$C:$C, MENA!AJ:AJ), _xlfn.XLOOKUP($C13, Amazon_USA_Air_Shipment!$C:$C, Amazon_USA_Air_Shipment!AJ:AJ))</f>
        <v>#REF!</v>
      </c>
      <c r="AZ13" s="262" t="e">
        <f>SUM(_xlfn.XLOOKUP($C13, 'INT-_Manjiri'!$C:$C, 'INT-_Manjiri'!AK:AK), _xlfn.XLOOKUP($C13, 'USA-_Sea_shipment'!$C:$C, 'USA-_Sea_shipment'!#REF!), _xlfn.XLOOKUP($C13, UK!$C:$C, UK!AS:AS), _xlfn.XLOOKUP($C13, Domestic!$C:$C, Domestic!AM:AM), _xlfn.XLOOKUP($C13, MENA!$C:$C, MENA!AK:AK), _xlfn.XLOOKUP($C13, Amazon_USA_Air_Shipment!$C:$C, Amazon_USA_Air_Shipment!AK:AK))</f>
        <v>#REF!</v>
      </c>
      <c r="BA13" s="263" t="e">
        <f t="shared" si="12"/>
        <v>#N/A</v>
      </c>
      <c r="BB13" s="264" t="e">
        <f t="shared" si="13"/>
        <v>#N/A</v>
      </c>
      <c r="BC13" s="265">
        <f t="shared" si="14"/>
        <v>0</v>
      </c>
      <c r="BD13" s="263" t="e">
        <f t="shared" si="15"/>
        <v>#N/A</v>
      </c>
      <c r="BE13" s="264" t="e">
        <f t="shared" si="16"/>
        <v>#N/A</v>
      </c>
      <c r="BF13" s="264" t="e">
        <f t="shared" si="17"/>
        <v>#N/A</v>
      </c>
      <c r="BG13" s="266">
        <f t="shared" si="18"/>
        <v>0</v>
      </c>
      <c r="BH13" s="267"/>
      <c r="BI13" s="267"/>
      <c r="BJ13" s="268"/>
      <c r="BK13" s="269"/>
      <c r="BL13" s="270" t="e">
        <f t="shared" si="19"/>
        <v>#DIV/0!</v>
      </c>
      <c r="BM13" s="110"/>
      <c r="BN13" s="110"/>
      <c r="BO13" s="110"/>
      <c r="BP13" s="110"/>
      <c r="BQ13" s="110"/>
      <c r="BR13" s="110"/>
      <c r="BS13" s="110"/>
      <c r="BT13" s="110"/>
    </row>
    <row r="14" spans="1:72" ht="18">
      <c r="A14" s="93">
        <v>12</v>
      </c>
      <c r="B14" s="94" t="s">
        <v>12</v>
      </c>
      <c r="C14" s="95" t="s">
        <v>68</v>
      </c>
      <c r="D14" s="95" t="s">
        <v>13</v>
      </c>
      <c r="E14" s="96">
        <v>0.2</v>
      </c>
      <c r="F14" s="259"/>
      <c r="G14" s="259"/>
      <c r="H14" s="259"/>
      <c r="I14" s="260"/>
      <c r="J14" s="260"/>
      <c r="K14" s="260"/>
      <c r="L14" s="260"/>
      <c r="M14" s="261">
        <f t="shared" si="2"/>
        <v>0</v>
      </c>
      <c r="N14" s="262">
        <v>0</v>
      </c>
      <c r="O14" s="262">
        <v>0</v>
      </c>
      <c r="P14" s="262">
        <v>0</v>
      </c>
      <c r="Q14" s="262">
        <v>0</v>
      </c>
      <c r="R14" s="262">
        <v>0</v>
      </c>
      <c r="S14" s="262">
        <v>0</v>
      </c>
      <c r="T14" s="262">
        <v>0</v>
      </c>
      <c r="U14" s="263">
        <f t="shared" si="3"/>
        <v>0</v>
      </c>
      <c r="V14" s="264">
        <f t="shared" si="4"/>
        <v>0</v>
      </c>
      <c r="W14" s="192">
        <f t="shared" si="5"/>
        <v>0</v>
      </c>
      <c r="X14" s="262">
        <f>SUM(_xlfn.XLOOKUP($C14, 'INT-_Manjiri'!$C:$C, 'INT-_Manjiri'!O:O), _xlfn.XLOOKUP($C14, 'USA-_Sea_shipment'!$C:$C, 'USA-_Sea_shipment'!S:S), _xlfn.XLOOKUP($C14, UK!$C:$C, UK!Q:Q), _xlfn.XLOOKUP($C14, Domestic!$C:$C, Domestic!Q:Q), _xlfn.XLOOKUP($C14, MENA!$C:$C, MENA!O:O), _xlfn.XLOOKUP($C14, Amazon_USA_Air_Shipment!$C:$C, Amazon_USA_Air_Shipment!O:O))</f>
        <v>0</v>
      </c>
      <c r="Y14" s="262">
        <f>SUM(_xlfn.XLOOKUP($C14, 'INT-_Manjiri'!$C:$C, 'INT-_Manjiri'!P:P), _xlfn.XLOOKUP($C14, 'USA-_Sea_shipment'!$C:$C, 'USA-_Sea_shipment'!T:T), _xlfn.XLOOKUP($C14, UK!$C:$C, UK!R:R), _xlfn.XLOOKUP($C14, Domestic!$C:$C, Domestic!R:R), _xlfn.XLOOKUP($C14, MENA!$C:$C, MENA!P:P), _xlfn.XLOOKUP($C14, Amazon_USA_Air_Shipment!$C:$C, Amazon_USA_Air_Shipment!P:P))</f>
        <v>0</v>
      </c>
      <c r="Z14" s="262">
        <f>SUM(_xlfn.XLOOKUP($C14, 'INT-_Manjiri'!$C:$C, 'INT-_Manjiri'!Q:Q), _xlfn.XLOOKUP($C14, 'USA-_Sea_shipment'!$C:$C, 'USA-_Sea_shipment'!U:U), _xlfn.XLOOKUP($C14, UK!$C:$C, UK!S:S), _xlfn.XLOOKUP($C14, Domestic!$C:$C, Domestic!S:S), _xlfn.XLOOKUP($C14, MENA!$C:$C, MENA!Q:Q), _xlfn.XLOOKUP($C14, Amazon_USA_Air_Shipment!$C:$C, Amazon_USA_Air_Shipment!Q:Q))</f>
        <v>0</v>
      </c>
      <c r="AA14" s="262">
        <f>SUM(_xlfn.XLOOKUP($C14, 'INT-_Manjiri'!$C:$C, 'INT-_Manjiri'!R:R), _xlfn.XLOOKUP($C14, 'USA-_Sea_shipment'!$C:$C, 'USA-_Sea_shipment'!V:V), _xlfn.XLOOKUP($C14, UK!$C:$C, UK!T:T), _xlfn.XLOOKUP($C14, Domestic!$C:$C, Domestic!T:T), _xlfn.XLOOKUP($C14, MENA!$C:$C, MENA!R:R), _xlfn.XLOOKUP($C14, Amazon_USA_Air_Shipment!$C:$C, Amazon_USA_Air_Shipment!R:R))</f>
        <v>0</v>
      </c>
      <c r="AB14" s="262">
        <f>SUM(_xlfn.XLOOKUP($C14, 'INT-_Manjiri'!$C:$C, 'INT-_Manjiri'!S:S), _xlfn.XLOOKUP($C14, 'USA-_Sea_shipment'!$C:$C, 'USA-_Sea_shipment'!W:W), _xlfn.XLOOKUP($C14, UK!$C:$C, UK!U:U), _xlfn.XLOOKUP($C14, Domestic!$C:$C, Domestic!U:U), _xlfn.XLOOKUP($C14, MENA!$C:$C, MENA!S:S), _xlfn.XLOOKUP($C14, Amazon_USA_Air_Shipment!$C:$C, Amazon_USA_Air_Shipment!S:S))</f>
        <v>0</v>
      </c>
      <c r="AC14" s="262">
        <f>SUM(_xlfn.XLOOKUP($C14, 'INT-_Manjiri'!$C:$C, 'INT-_Manjiri'!T:T), _xlfn.XLOOKUP($C14, 'USA-_Sea_shipment'!$C:$C, 'USA-_Sea_shipment'!X:X), _xlfn.XLOOKUP($C14, UK!$C:$C, UK!V:V), _xlfn.XLOOKUP($C14, Domestic!$C:$C, Domestic!V:V), _xlfn.XLOOKUP($C14, MENA!$C:$C, MENA!T:T), _xlfn.XLOOKUP($C14, Amazon_USA_Air_Shipment!$C:$C, Amazon_USA_Air_Shipment!T:T))</f>
        <v>0</v>
      </c>
      <c r="AD14" s="262">
        <f>SUM(_xlfn.XLOOKUP($C14, 'INT-_Manjiri'!$C:$C, 'INT-_Manjiri'!U:U), _xlfn.XLOOKUP($C14, 'USA-_Sea_shipment'!$C:$C, 'USA-_Sea_shipment'!Y:Y), _xlfn.XLOOKUP($C14, UK!$C:$C, UK!W:W), _xlfn.XLOOKUP($C14, Domestic!$C:$C, Domestic!W:W), _xlfn.XLOOKUP($C14, MENA!$C:$C, MENA!U:U), _xlfn.XLOOKUP($C14, Amazon_USA_Air_Shipment!$C:$C, Amazon_USA_Air_Shipment!U:U))</f>
        <v>0</v>
      </c>
      <c r="AE14" s="263">
        <f t="shared" si="6"/>
        <v>0</v>
      </c>
      <c r="AF14" s="264">
        <f t="shared" si="7"/>
        <v>0</v>
      </c>
      <c r="AG14" s="265">
        <f t="shared" si="8"/>
        <v>0</v>
      </c>
      <c r="AH14" s="262">
        <f>SUM(_xlfn.XLOOKUP($C14, 'INT-_Manjiri'!$C:$C, 'INT-_Manjiri'!V:V), _xlfn.XLOOKUP($C14, 'USA-_Sea_shipment'!$C:$C, 'USA-_Sea_shipment'!AC:AC), _xlfn.XLOOKUP($C14, UK!$C:$C, UK!AA:AA), _xlfn.XLOOKUP($C14, Domestic!$C:$C, Domestic!X:X), _xlfn.XLOOKUP($C14, MENA!$C:$C, MENA!V:V), _xlfn.XLOOKUP($C14, Amazon_USA_Air_Shipment!$C:$C, Amazon_USA_Air_Shipment!V:V))</f>
        <v>0</v>
      </c>
      <c r="AI14" s="262">
        <f>SUM(_xlfn.XLOOKUP($C14, 'INT-_Manjiri'!$C:$C, 'INT-_Manjiri'!W:W), _xlfn.XLOOKUP($C14, 'USA-_Sea_shipment'!$C:$C, 'USA-_Sea_shipment'!AD:AD), _xlfn.XLOOKUP($C14, UK!$C:$C, UK!AB:AB), _xlfn.XLOOKUP($C14, Domestic!$C:$C, Domestic!Y:Y), _xlfn.XLOOKUP($C14, MENA!$C:$C, MENA!W:W), _xlfn.XLOOKUP($C14, Amazon_USA_Air_Shipment!$C:$C, Amazon_USA_Air_Shipment!W:W))</f>
        <v>0</v>
      </c>
      <c r="AJ14" s="262">
        <f>SUM(_xlfn.XLOOKUP($C14, 'INT-_Manjiri'!$C:$C, 'INT-_Manjiri'!X:X), _xlfn.XLOOKUP($C14, 'USA-_Sea_shipment'!$C:$C, 'USA-_Sea_shipment'!AE:AE), _xlfn.XLOOKUP($C14, UK!$C:$C, UK!AC:AC), _xlfn.XLOOKUP($C14, Domestic!$C:$C, Domestic!Z:Z), _xlfn.XLOOKUP($C14, MENA!$C:$C, MENA!X:X), _xlfn.XLOOKUP($C14, Amazon_USA_Air_Shipment!$C:$C, Amazon_USA_Air_Shipment!X:X))</f>
        <v>0</v>
      </c>
      <c r="AK14" s="262">
        <f>SUM(_xlfn.XLOOKUP($C14, 'INT-_Manjiri'!$C:$C, 'INT-_Manjiri'!Y:Y), _xlfn.XLOOKUP($C14, 'USA-_Sea_shipment'!$C:$C, 'USA-_Sea_shipment'!AF:AF), _xlfn.XLOOKUP($C14, UK!$C:$C, UK!AD:AD), _xlfn.XLOOKUP($C14, Domestic!$C:$C, Domestic!AA:AA), _xlfn.XLOOKUP($C14, MENA!$C:$C, MENA!Y:Y), _xlfn.XLOOKUP($C14, Amazon_USA_Air_Shipment!$C:$C, Amazon_USA_Air_Shipment!Y:Y))</f>
        <v>0</v>
      </c>
      <c r="AL14" s="262">
        <f>SUM(_xlfn.XLOOKUP($C14, 'INT-_Manjiri'!$C:$C, 'INT-_Manjiri'!Z:Z), _xlfn.XLOOKUP($C14, 'USA-_Sea_shipment'!$C:$C, 'USA-_Sea_shipment'!AG:AG), _xlfn.XLOOKUP($C14, UK!$C:$C, UK!AE:AE), _xlfn.XLOOKUP($C14, Domestic!$C:$C, Domestic!AB:AB), _xlfn.XLOOKUP($C14, MENA!$C:$C, MENA!Z:Z), _xlfn.XLOOKUP($C14, Amazon_USA_Air_Shipment!$C:$C, Amazon_USA_Air_Shipment!Z:Z))</f>
        <v>0</v>
      </c>
      <c r="AM14" s="262">
        <f>SUM(_xlfn.XLOOKUP($C14, 'INT-_Manjiri'!$C:$C, 'INT-_Manjiri'!AA:AA), _xlfn.XLOOKUP($C14, 'USA-_Sea_shipment'!$C:$C, 'USA-_Sea_shipment'!AH:AH), _xlfn.XLOOKUP($C14, UK!$C:$C, UK!AF:AF), _xlfn.XLOOKUP($C14, Domestic!$C:$C, Domestic!AC:AC), _xlfn.XLOOKUP($C14, MENA!$C:$C, MENA!AA:AA), _xlfn.XLOOKUP($C14, Amazon_USA_Air_Shipment!$C:$C, Amazon_USA_Air_Shipment!AA:AA))</f>
        <v>7</v>
      </c>
      <c r="AN14" s="262">
        <f>SUM(_xlfn.XLOOKUP($C14, 'INT-_Manjiri'!$C:$C, 'INT-_Manjiri'!AB:AB), _xlfn.XLOOKUP($C14, 'USA-_Sea_shipment'!$C:$C, 'USA-_Sea_shipment'!AI:AI), _xlfn.XLOOKUP($C14, UK!$C:$C, UK!AG:AG), _xlfn.XLOOKUP($C14, Domestic!$C:$C, Domestic!AD:AD), _xlfn.XLOOKUP($C14, MENA!$C:$C, MENA!AB:AB), _xlfn.XLOOKUP($C14, Amazon_USA_Air_Shipment!$C:$C, Amazon_USA_Air_Shipment!AB:AB))</f>
        <v>0</v>
      </c>
      <c r="AO14" s="264">
        <f t="shared" si="9"/>
        <v>1.4000000000000001</v>
      </c>
      <c r="AP14" s="263">
        <f t="shared" si="10"/>
        <v>7</v>
      </c>
      <c r="AQ14" s="265">
        <f t="shared" si="11"/>
        <v>0</v>
      </c>
      <c r="AR14" s="262">
        <f>SUM(_xlfn.XLOOKUP($C14, 'INT-_Manjiri'!$C:$C, 'INT-_Manjiri'!AC:AC), _xlfn.XLOOKUP($C14, 'USA-_Sea_shipment'!$C:$C, 'USA-_Sea_shipment'!AT:AT), _xlfn.XLOOKUP($C14, UK!$C:$C, UK!AK:AK), _xlfn.XLOOKUP($C14, Domestic!$C:$C, Domestic!AE:AE), _xlfn.XLOOKUP($C14, MENA!$C:$C, MENA!AC:AC), _xlfn.XLOOKUP($C14, Amazon_USA_Air_Shipment!$C:$C, Amazon_USA_Air_Shipment!AC:AC))</f>
        <v>47</v>
      </c>
      <c r="AS14" s="262">
        <f>SUM(_xlfn.XLOOKUP($C14, 'INT-_Manjiri'!$C:$C, 'INT-_Manjiri'!AD:AD), _xlfn.XLOOKUP($C14, 'USA-_Sea_shipment'!$C:$C, 'USA-_Sea_shipment'!AU:AU), _xlfn.XLOOKUP($C14, UK!$C:$C, UK!AL:AL), _xlfn.XLOOKUP($C14, Domestic!$C:$C, Domestic!AF:AF), _xlfn.XLOOKUP($C14, MENA!$C:$C, MENA!AD:AD), _xlfn.XLOOKUP($C14, Amazon_USA_Air_Shipment!$C:$C, Amazon_USA_Air_Shipment!AD:AD))</f>
        <v>9.4</v>
      </c>
      <c r="AT14" s="262">
        <f>SUM(_xlfn.XLOOKUP($C14, 'INT-_Manjiri'!$C:$C, 'INT-_Manjiri'!AE:AE), _xlfn.XLOOKUP($C14, 'USA-_Sea_shipment'!$C:$C, 'USA-_Sea_shipment'!AV:AV), _xlfn.XLOOKUP($C14, UK!$C:$C, UK!AM:AM), _xlfn.XLOOKUP($C14, Domestic!$C:$C, Domestic!AG:AG), _xlfn.XLOOKUP($C14, MENA!$C:$C, MENA!AE:AE), _xlfn.XLOOKUP($C14, Amazon_USA_Air_Shipment!$C:$C, Amazon_USA_Air_Shipment!AE:AE))</f>
        <v>-12</v>
      </c>
      <c r="AU14" s="262">
        <f>SUM(_xlfn.XLOOKUP($C14, 'INT-_Manjiri'!$C:$C, 'INT-_Manjiri'!AF:AF), _xlfn.XLOOKUP($C14, 'USA-_Sea_shipment'!$C:$C, 'USA-_Sea_shipment'!AW:AW), _xlfn.XLOOKUP($C14, UK!$C:$C, UK!AN:AN), _xlfn.XLOOKUP($C14, Domestic!$C:$C, Domestic!AH:AH), _xlfn.XLOOKUP($C14, MENA!$C:$C, MENA!AF:AF), _xlfn.XLOOKUP($C14, Amazon_USA_Air_Shipment!$C:$C, Amazon_USA_Air_Shipment!AF:AF))</f>
        <v>-2.4000000000000004</v>
      </c>
      <c r="AV14" s="262">
        <f>SUM(_xlfn.XLOOKUP($C14, 'INT-_Manjiri'!$C:$C, 'INT-_Manjiri'!AG:AG), _xlfn.XLOOKUP($C14, 'USA-_Sea_shipment'!$C:$C, 'USA-_Sea_shipment'!AX:AX), _xlfn.XLOOKUP($C14, UK!$C:$C, UK!AO:AO), _xlfn.XLOOKUP($C14, Domestic!$C:$C, Domestic!AI:AI), _xlfn.XLOOKUP($C14, MENA!$C:$C, MENA!AG:AG), _xlfn.XLOOKUP($C14, Amazon_USA_Air_Shipment!$C:$C, Amazon_USA_Air_Shipment!AG:AG))</f>
        <v>1.3428571428571427</v>
      </c>
      <c r="AW14" s="262">
        <f>SUM(_xlfn.XLOOKUP($C14, 'INT-_Manjiri'!$C:$C, 'INT-_Manjiri'!AH:AH), _xlfn.XLOOKUP($C14, 'USA-_Sea_shipment'!$C:$C, 'USA-_Sea_shipment'!AY:AY), _xlfn.XLOOKUP($C14, UK!$C:$C, UK!AP:AP), _xlfn.XLOOKUP($C14, Domestic!$C:$C, Domestic!AJ:AJ), _xlfn.XLOOKUP($C14, MENA!$C:$C, MENA!AH:AH), _xlfn.XLOOKUP($C14, Amazon_USA_Air_Shipment!$C:$C, Amazon_USA_Air_Shipment!AH:AH))</f>
        <v>0</v>
      </c>
      <c r="AX14" s="262" t="e">
        <f>SUM(_xlfn.XLOOKUP($C14, 'INT-_Manjiri'!$C:$C, 'INT-_Manjiri'!AI:AI), _xlfn.XLOOKUP($C14, 'USA-_Sea_shipment'!$C:$C, 'USA-_Sea_shipment'!#REF!), _xlfn.XLOOKUP($C14, UK!$C:$C, UK!AQ:AQ), _xlfn.XLOOKUP($C14, Domestic!$C:$C, Domestic!AK:AK), _xlfn.XLOOKUP($C14, MENA!$C:$C, MENA!AI:AI), _xlfn.XLOOKUP($C14, Amazon_USA_Air_Shipment!$C:$C, Amazon_USA_Air_Shipment!AI:AI))</f>
        <v>#REF!</v>
      </c>
      <c r="AY14" s="262" t="e">
        <f>SUM(_xlfn.XLOOKUP($C14, 'INT-_Manjiri'!$C:$C, 'INT-_Manjiri'!AJ:AJ), _xlfn.XLOOKUP($C14, 'USA-_Sea_shipment'!$C:$C, 'USA-_Sea_shipment'!#REF!), _xlfn.XLOOKUP($C14, UK!$C:$C, UK!AR:AR), _xlfn.XLOOKUP($C14, Domestic!$C:$C, Domestic!AL:AL), _xlfn.XLOOKUP($C14, MENA!$C:$C, MENA!AJ:AJ), _xlfn.XLOOKUP($C14, Amazon_USA_Air_Shipment!$C:$C, Amazon_USA_Air_Shipment!AJ:AJ))</f>
        <v>#REF!</v>
      </c>
      <c r="AZ14" s="262" t="e">
        <f>SUM(_xlfn.XLOOKUP($C14, 'INT-_Manjiri'!$C:$C, 'INT-_Manjiri'!AK:AK), _xlfn.XLOOKUP($C14, 'USA-_Sea_shipment'!$C:$C, 'USA-_Sea_shipment'!#REF!), _xlfn.XLOOKUP($C14, UK!$C:$C, UK!AS:AS), _xlfn.XLOOKUP($C14, Domestic!$C:$C, Domestic!AM:AM), _xlfn.XLOOKUP($C14, MENA!$C:$C, MENA!AK:AK), _xlfn.XLOOKUP($C14, Amazon_USA_Air_Shipment!$C:$C, Amazon_USA_Air_Shipment!AK:AK))</f>
        <v>#REF!</v>
      </c>
      <c r="BA14" s="263" t="e">
        <f t="shared" si="12"/>
        <v>#REF!</v>
      </c>
      <c r="BB14" s="264" t="e">
        <f t="shared" si="13"/>
        <v>#REF!</v>
      </c>
      <c r="BC14" s="265">
        <f t="shared" si="14"/>
        <v>0</v>
      </c>
      <c r="BD14" s="263" t="e">
        <f t="shared" si="15"/>
        <v>#REF!</v>
      </c>
      <c r="BE14" s="264" t="e">
        <f t="shared" si="16"/>
        <v>#REF!</v>
      </c>
      <c r="BF14" s="264" t="e">
        <f t="shared" si="17"/>
        <v>#REF!</v>
      </c>
      <c r="BG14" s="266">
        <f t="shared" si="18"/>
        <v>0</v>
      </c>
      <c r="BH14" s="267"/>
      <c r="BI14" s="267"/>
      <c r="BJ14" s="268"/>
      <c r="BK14" s="269"/>
      <c r="BL14" s="270" t="e">
        <f t="shared" si="19"/>
        <v>#DIV/0!</v>
      </c>
      <c r="BM14" s="110"/>
      <c r="BN14" s="110"/>
      <c r="BO14" s="110"/>
      <c r="BP14" s="110"/>
      <c r="BQ14" s="110"/>
      <c r="BR14" s="110"/>
      <c r="BS14" s="110"/>
      <c r="BT14" s="110"/>
    </row>
    <row r="15" spans="1:72" ht="18">
      <c r="A15" s="188">
        <v>13</v>
      </c>
      <c r="B15" s="94" t="s">
        <v>12</v>
      </c>
      <c r="C15" s="95" t="s">
        <v>78</v>
      </c>
      <c r="D15" s="95" t="s">
        <v>35</v>
      </c>
      <c r="E15" s="96">
        <v>0.2</v>
      </c>
      <c r="F15" s="259"/>
      <c r="G15" s="259"/>
      <c r="H15" s="259"/>
      <c r="I15" s="260"/>
      <c r="J15" s="260"/>
      <c r="K15" s="260"/>
      <c r="L15" s="260"/>
      <c r="M15" s="261">
        <f t="shared" si="2"/>
        <v>0</v>
      </c>
      <c r="N15" s="262">
        <v>0</v>
      </c>
      <c r="O15" s="262">
        <v>0</v>
      </c>
      <c r="P15" s="262">
        <v>0</v>
      </c>
      <c r="Q15" s="262">
        <v>0</v>
      </c>
      <c r="R15" s="262">
        <v>0</v>
      </c>
      <c r="S15" s="262">
        <v>0</v>
      </c>
      <c r="T15" s="262">
        <v>0</v>
      </c>
      <c r="U15" s="263">
        <f t="shared" si="3"/>
        <v>0</v>
      </c>
      <c r="V15" s="264">
        <f t="shared" si="4"/>
        <v>0</v>
      </c>
      <c r="W15" s="192">
        <f t="shared" si="5"/>
        <v>0</v>
      </c>
      <c r="X15" s="262">
        <f>SUM(_xlfn.XLOOKUP($C15, 'INT-_Manjiri'!$C:$C, 'INT-_Manjiri'!O:O), _xlfn.XLOOKUP($C15, 'USA-_Sea_shipment'!$C:$C, 'USA-_Sea_shipment'!S:S), _xlfn.XLOOKUP($C15, UK!$C:$C, UK!Q:Q), _xlfn.XLOOKUP($C15, Domestic!$C:$C, Domestic!Q:Q), _xlfn.XLOOKUP($C15, MENA!$C:$C, MENA!O:O), _xlfn.XLOOKUP($C15, Amazon_USA_Air_Shipment!$C:$C, Amazon_USA_Air_Shipment!O:O))</f>
        <v>0</v>
      </c>
      <c r="Y15" s="262">
        <f>SUM(_xlfn.XLOOKUP($C15, 'INT-_Manjiri'!$C:$C, 'INT-_Manjiri'!P:P), _xlfn.XLOOKUP($C15, 'USA-_Sea_shipment'!$C:$C, 'USA-_Sea_shipment'!T:T), _xlfn.XLOOKUP($C15, UK!$C:$C, UK!R:R), _xlfn.XLOOKUP($C15, Domestic!$C:$C, Domestic!R:R), _xlfn.XLOOKUP($C15, MENA!$C:$C, MENA!P:P), _xlfn.XLOOKUP($C15, Amazon_USA_Air_Shipment!$C:$C, Amazon_USA_Air_Shipment!P:P))</f>
        <v>0</v>
      </c>
      <c r="Z15" s="262">
        <f>SUM(_xlfn.XLOOKUP($C15, 'INT-_Manjiri'!$C:$C, 'INT-_Manjiri'!Q:Q), _xlfn.XLOOKUP($C15, 'USA-_Sea_shipment'!$C:$C, 'USA-_Sea_shipment'!U:U), _xlfn.XLOOKUP($C15, UK!$C:$C, UK!S:S), _xlfn.XLOOKUP($C15, Domestic!$C:$C, Domestic!S:S), _xlfn.XLOOKUP($C15, MENA!$C:$C, MENA!Q:Q), _xlfn.XLOOKUP($C15, Amazon_USA_Air_Shipment!$C:$C, Amazon_USA_Air_Shipment!Q:Q))</f>
        <v>0</v>
      </c>
      <c r="AA15" s="262">
        <f>SUM(_xlfn.XLOOKUP($C15, 'INT-_Manjiri'!$C:$C, 'INT-_Manjiri'!R:R), _xlfn.XLOOKUP($C15, 'USA-_Sea_shipment'!$C:$C, 'USA-_Sea_shipment'!V:V), _xlfn.XLOOKUP($C15, UK!$C:$C, UK!T:T), _xlfn.XLOOKUP($C15, Domestic!$C:$C, Domestic!T:T), _xlfn.XLOOKUP($C15, MENA!$C:$C, MENA!R:R), _xlfn.XLOOKUP($C15, Amazon_USA_Air_Shipment!$C:$C, Amazon_USA_Air_Shipment!R:R))</f>
        <v>60</v>
      </c>
      <c r="AB15" s="262">
        <f>SUM(_xlfn.XLOOKUP($C15, 'INT-_Manjiri'!$C:$C, 'INT-_Manjiri'!S:S), _xlfn.XLOOKUP($C15, 'USA-_Sea_shipment'!$C:$C, 'USA-_Sea_shipment'!W:W), _xlfn.XLOOKUP($C15, UK!$C:$C, UK!U:U), _xlfn.XLOOKUP($C15, Domestic!$C:$C, Domestic!U:U), _xlfn.XLOOKUP($C15, MENA!$C:$C, MENA!S:S), _xlfn.XLOOKUP($C15, Amazon_USA_Air_Shipment!$C:$C, Amazon_USA_Air_Shipment!S:S))</f>
        <v>0</v>
      </c>
      <c r="AC15" s="262">
        <f>SUM(_xlfn.XLOOKUP($C15, 'INT-_Manjiri'!$C:$C, 'INT-_Manjiri'!T:T), _xlfn.XLOOKUP($C15, 'USA-_Sea_shipment'!$C:$C, 'USA-_Sea_shipment'!X:X), _xlfn.XLOOKUP($C15, UK!$C:$C, UK!V:V), _xlfn.XLOOKUP($C15, Domestic!$C:$C, Domestic!V:V), _xlfn.XLOOKUP($C15, MENA!$C:$C, MENA!T:T), _xlfn.XLOOKUP($C15, Amazon_USA_Air_Shipment!$C:$C, Amazon_USA_Air_Shipment!T:T))</f>
        <v>0</v>
      </c>
      <c r="AD15" s="262">
        <f>SUM(_xlfn.XLOOKUP($C15, 'INT-_Manjiri'!$C:$C, 'INT-_Manjiri'!U:U), _xlfn.XLOOKUP($C15, 'USA-_Sea_shipment'!$C:$C, 'USA-_Sea_shipment'!Y:Y), _xlfn.XLOOKUP($C15, UK!$C:$C, UK!W:W), _xlfn.XLOOKUP($C15, Domestic!$C:$C, Domestic!W:W), _xlfn.XLOOKUP($C15, MENA!$C:$C, MENA!U:U), _xlfn.XLOOKUP($C15, Amazon_USA_Air_Shipment!$C:$C, Amazon_USA_Air_Shipment!U:U))</f>
        <v>0</v>
      </c>
      <c r="AE15" s="263">
        <f t="shared" si="6"/>
        <v>60</v>
      </c>
      <c r="AF15" s="264">
        <f t="shared" si="7"/>
        <v>12</v>
      </c>
      <c r="AG15" s="265">
        <f t="shared" si="8"/>
        <v>0</v>
      </c>
      <c r="AH15" s="262">
        <f>SUM(_xlfn.XLOOKUP($C15, 'INT-_Manjiri'!$C:$C, 'INT-_Manjiri'!V:V), _xlfn.XLOOKUP($C15, 'USA-_Sea_shipment'!$C:$C, 'USA-_Sea_shipment'!AC:AC), _xlfn.XLOOKUP($C15, UK!$C:$C, UK!AA:AA), _xlfn.XLOOKUP($C15, Domestic!$C:$C, Domestic!X:X), _xlfn.XLOOKUP($C15, MENA!$C:$C, MENA!V:V), _xlfn.XLOOKUP($C15, Amazon_USA_Air_Shipment!$C:$C, Amazon_USA_Air_Shipment!V:V))</f>
        <v>0</v>
      </c>
      <c r="AI15" s="262">
        <f>SUM(_xlfn.XLOOKUP($C15, 'INT-_Manjiri'!$C:$C, 'INT-_Manjiri'!W:W), _xlfn.XLOOKUP($C15, 'USA-_Sea_shipment'!$C:$C, 'USA-_Sea_shipment'!AD:AD), _xlfn.XLOOKUP($C15, UK!$C:$C, UK!AB:AB), _xlfn.XLOOKUP($C15, Domestic!$C:$C, Domestic!Y:Y), _xlfn.XLOOKUP($C15, MENA!$C:$C, MENA!W:W), _xlfn.XLOOKUP($C15, Amazon_USA_Air_Shipment!$C:$C, Amazon_USA_Air_Shipment!W:W))</f>
        <v>43</v>
      </c>
      <c r="AJ15" s="262">
        <f>SUM(_xlfn.XLOOKUP($C15, 'INT-_Manjiri'!$C:$C, 'INT-_Manjiri'!X:X), _xlfn.XLOOKUP($C15, 'USA-_Sea_shipment'!$C:$C, 'USA-_Sea_shipment'!AE:AE), _xlfn.XLOOKUP($C15, UK!$C:$C, UK!AC:AC), _xlfn.XLOOKUP($C15, Domestic!$C:$C, Domestic!Z:Z), _xlfn.XLOOKUP($C15, MENA!$C:$C, MENA!X:X), _xlfn.XLOOKUP($C15, Amazon_USA_Air_Shipment!$C:$C, Amazon_USA_Air_Shipment!X:X))</f>
        <v>0</v>
      </c>
      <c r="AK15" s="262">
        <f>SUM(_xlfn.XLOOKUP($C15, 'INT-_Manjiri'!$C:$C, 'INT-_Manjiri'!Y:Y), _xlfn.XLOOKUP($C15, 'USA-_Sea_shipment'!$C:$C, 'USA-_Sea_shipment'!AF:AF), _xlfn.XLOOKUP($C15, UK!$C:$C, UK!AD:AD), _xlfn.XLOOKUP($C15, Domestic!$C:$C, Domestic!AA:AA), _xlfn.XLOOKUP($C15, MENA!$C:$C, MENA!Y:Y), _xlfn.XLOOKUP($C15, Amazon_USA_Air_Shipment!$C:$C, Amazon_USA_Air_Shipment!Y:Y))</f>
        <v>0</v>
      </c>
      <c r="AL15" s="262">
        <f>SUM(_xlfn.XLOOKUP($C15, 'INT-_Manjiri'!$C:$C, 'INT-_Manjiri'!Z:Z), _xlfn.XLOOKUP($C15, 'USA-_Sea_shipment'!$C:$C, 'USA-_Sea_shipment'!AG:AG), _xlfn.XLOOKUP($C15, UK!$C:$C, UK!AE:AE), _xlfn.XLOOKUP($C15, Domestic!$C:$C, Domestic!AB:AB), _xlfn.XLOOKUP($C15, MENA!$C:$C, MENA!Z:Z), _xlfn.XLOOKUP($C15, Amazon_USA_Air_Shipment!$C:$C, Amazon_USA_Air_Shipment!Z:Z))</f>
        <v>0</v>
      </c>
      <c r="AM15" s="262">
        <f>SUM(_xlfn.XLOOKUP($C15, 'INT-_Manjiri'!$C:$C, 'INT-_Manjiri'!AA:AA), _xlfn.XLOOKUP($C15, 'USA-_Sea_shipment'!$C:$C, 'USA-_Sea_shipment'!AH:AH), _xlfn.XLOOKUP($C15, UK!$C:$C, UK!AF:AF), _xlfn.XLOOKUP($C15, Domestic!$C:$C, Domestic!AC:AC), _xlfn.XLOOKUP($C15, MENA!$C:$C, MENA!AA:AA), _xlfn.XLOOKUP($C15, Amazon_USA_Air_Shipment!$C:$C, Amazon_USA_Air_Shipment!AA:AA))</f>
        <v>0</v>
      </c>
      <c r="AN15" s="262">
        <f>SUM(_xlfn.XLOOKUP($C15, 'INT-_Manjiri'!$C:$C, 'INT-_Manjiri'!AB:AB), _xlfn.XLOOKUP($C15, 'USA-_Sea_shipment'!$C:$C, 'USA-_Sea_shipment'!AI:AI), _xlfn.XLOOKUP($C15, UK!$C:$C, UK!AG:AG), _xlfn.XLOOKUP($C15, Domestic!$C:$C, Domestic!AD:AD), _xlfn.XLOOKUP($C15, MENA!$C:$C, MENA!AB:AB), _xlfn.XLOOKUP($C15, Amazon_USA_Air_Shipment!$C:$C, Amazon_USA_Air_Shipment!AB:AB))</f>
        <v>0</v>
      </c>
      <c r="AO15" s="264">
        <f t="shared" si="9"/>
        <v>8.6</v>
      </c>
      <c r="AP15" s="263">
        <f t="shared" si="10"/>
        <v>43</v>
      </c>
      <c r="AQ15" s="265">
        <f t="shared" si="11"/>
        <v>0</v>
      </c>
      <c r="AR15" s="262">
        <f>SUM(_xlfn.XLOOKUP($C15, 'INT-_Manjiri'!$C:$C, 'INT-_Manjiri'!AC:AC), _xlfn.XLOOKUP($C15, 'USA-_Sea_shipment'!$C:$C, 'USA-_Sea_shipment'!AT:AT), _xlfn.XLOOKUP($C15, UK!$C:$C, UK!AK:AK), _xlfn.XLOOKUP($C15, Domestic!$C:$C, Domestic!AE:AE), _xlfn.XLOOKUP($C15, MENA!$C:$C, MENA!AC:AC), _xlfn.XLOOKUP($C15, Amazon_USA_Air_Shipment!$C:$C, Amazon_USA_Air_Shipment!AC:AC))</f>
        <v>40</v>
      </c>
      <c r="AS15" s="262">
        <f>SUM(_xlfn.XLOOKUP($C15, 'INT-_Manjiri'!$C:$C, 'INT-_Manjiri'!AD:AD), _xlfn.XLOOKUP($C15, 'USA-_Sea_shipment'!$C:$C, 'USA-_Sea_shipment'!AU:AU), _xlfn.XLOOKUP($C15, UK!$C:$C, UK!AL:AL), _xlfn.XLOOKUP($C15, Domestic!$C:$C, Domestic!AF:AF), _xlfn.XLOOKUP($C15, MENA!$C:$C, MENA!AD:AD), _xlfn.XLOOKUP($C15, Amazon_USA_Air_Shipment!$C:$C, Amazon_USA_Air_Shipment!AD:AD))</f>
        <v>53</v>
      </c>
      <c r="AT15" s="262">
        <f>SUM(_xlfn.XLOOKUP($C15, 'INT-_Manjiri'!$C:$C, 'INT-_Manjiri'!AE:AE), _xlfn.XLOOKUP($C15, 'USA-_Sea_shipment'!$C:$C, 'USA-_Sea_shipment'!AV:AV), _xlfn.XLOOKUP($C15, UK!$C:$C, UK!AM:AM), _xlfn.XLOOKUP($C15, Domestic!$C:$C, Domestic!AG:AG), _xlfn.XLOOKUP($C15, MENA!$C:$C, MENA!AE:AE), _xlfn.XLOOKUP($C15, Amazon_USA_Air_Shipment!$C:$C, Amazon_USA_Air_Shipment!AE:AE))</f>
        <v>-5</v>
      </c>
      <c r="AU15" s="262">
        <f>SUM(_xlfn.XLOOKUP($C15, 'INT-_Manjiri'!$C:$C, 'INT-_Manjiri'!AF:AF), _xlfn.XLOOKUP($C15, 'USA-_Sea_shipment'!$C:$C, 'USA-_Sea_shipment'!AW:AW), _xlfn.XLOOKUP($C15, UK!$C:$C, UK!AN:AN), _xlfn.XLOOKUP($C15, Domestic!$C:$C, Domestic!AH:AH), _xlfn.XLOOKUP($C15, MENA!$C:$C, MENA!AF:AF), _xlfn.XLOOKUP($C15, Amazon_USA_Air_Shipment!$C:$C, Amazon_USA_Air_Shipment!AF:AF))</f>
        <v>-1</v>
      </c>
      <c r="AV15" s="262">
        <f>SUM(_xlfn.XLOOKUP($C15, 'INT-_Manjiri'!$C:$C, 'INT-_Manjiri'!AG:AG), _xlfn.XLOOKUP($C15, 'USA-_Sea_shipment'!$C:$C, 'USA-_Sea_shipment'!AX:AX), _xlfn.XLOOKUP($C15, UK!$C:$C, UK!AO:AO), _xlfn.XLOOKUP($C15, Domestic!$C:$C, Domestic!AI:AI), _xlfn.XLOOKUP($C15, MENA!$C:$C, MENA!AG:AG), _xlfn.XLOOKUP($C15, Amazon_USA_Air_Shipment!$C:$C, Amazon_USA_Air_Shipment!AG:AG))</f>
        <v>1.1428571428571428</v>
      </c>
      <c r="AW15" s="262">
        <f>SUM(_xlfn.XLOOKUP($C15, 'INT-_Manjiri'!$C:$C, 'INT-_Manjiri'!AH:AH), _xlfn.XLOOKUP($C15, 'USA-_Sea_shipment'!$C:$C, 'USA-_Sea_shipment'!AY:AY), _xlfn.XLOOKUP($C15, UK!$C:$C, UK!AP:AP), _xlfn.XLOOKUP($C15, Domestic!$C:$C, Domestic!AJ:AJ), _xlfn.XLOOKUP($C15, MENA!$C:$C, MENA!AH:AH), _xlfn.XLOOKUP($C15, Amazon_USA_Air_Shipment!$C:$C, Amazon_USA_Air_Shipment!AH:AH))</f>
        <v>0</v>
      </c>
      <c r="AX15" s="262" t="e">
        <f>SUM(_xlfn.XLOOKUP($C15, 'INT-_Manjiri'!$C:$C, 'INT-_Manjiri'!AI:AI), _xlfn.XLOOKUP($C15, 'USA-_Sea_shipment'!$C:$C, 'USA-_Sea_shipment'!#REF!), _xlfn.XLOOKUP($C15, UK!$C:$C, UK!AQ:AQ), _xlfn.XLOOKUP($C15, Domestic!$C:$C, Domestic!AK:AK), _xlfn.XLOOKUP($C15, MENA!$C:$C, MENA!AI:AI), _xlfn.XLOOKUP($C15, Amazon_USA_Air_Shipment!$C:$C, Amazon_USA_Air_Shipment!AI:AI))</f>
        <v>#REF!</v>
      </c>
      <c r="AY15" s="262" t="e">
        <f>SUM(_xlfn.XLOOKUP($C15, 'INT-_Manjiri'!$C:$C, 'INT-_Manjiri'!AJ:AJ), _xlfn.XLOOKUP($C15, 'USA-_Sea_shipment'!$C:$C, 'USA-_Sea_shipment'!#REF!), _xlfn.XLOOKUP($C15, UK!$C:$C, UK!AR:AR), _xlfn.XLOOKUP($C15, Domestic!$C:$C, Domestic!AL:AL), _xlfn.XLOOKUP($C15, MENA!$C:$C, MENA!AJ:AJ), _xlfn.XLOOKUP($C15, Amazon_USA_Air_Shipment!$C:$C, Amazon_USA_Air_Shipment!AJ:AJ))</f>
        <v>#REF!</v>
      </c>
      <c r="AZ15" s="262" t="e">
        <f>SUM(_xlfn.XLOOKUP($C15, 'INT-_Manjiri'!$C:$C, 'INT-_Manjiri'!AK:AK), _xlfn.XLOOKUP($C15, 'USA-_Sea_shipment'!$C:$C, 'USA-_Sea_shipment'!#REF!), _xlfn.XLOOKUP($C15, UK!$C:$C, UK!AS:AS), _xlfn.XLOOKUP($C15, Domestic!$C:$C, Domestic!AM:AM), _xlfn.XLOOKUP($C15, MENA!$C:$C, MENA!AK:AK), _xlfn.XLOOKUP($C15, Amazon_USA_Air_Shipment!$C:$C, Amazon_USA_Air_Shipment!AK:AK))</f>
        <v>#REF!</v>
      </c>
      <c r="BA15" s="263" t="e">
        <f t="shared" si="12"/>
        <v>#REF!</v>
      </c>
      <c r="BB15" s="264" t="e">
        <f t="shared" si="13"/>
        <v>#REF!</v>
      </c>
      <c r="BC15" s="265">
        <f t="shared" si="14"/>
        <v>0</v>
      </c>
      <c r="BD15" s="263" t="e">
        <f t="shared" si="15"/>
        <v>#REF!</v>
      </c>
      <c r="BE15" s="264" t="e">
        <f t="shared" si="16"/>
        <v>#REF!</v>
      </c>
      <c r="BF15" s="264" t="e">
        <f t="shared" si="17"/>
        <v>#REF!</v>
      </c>
      <c r="BG15" s="266">
        <f t="shared" si="18"/>
        <v>0</v>
      </c>
      <c r="BH15" s="267"/>
      <c r="BI15" s="267"/>
      <c r="BJ15" s="268"/>
      <c r="BK15" s="269"/>
      <c r="BL15" s="270" t="s">
        <v>139</v>
      </c>
      <c r="BM15" s="110"/>
      <c r="BN15" s="110"/>
      <c r="BO15" s="110"/>
      <c r="BP15" s="110"/>
      <c r="BQ15" s="110"/>
      <c r="BR15" s="110"/>
      <c r="BS15" s="110"/>
      <c r="BT15" s="110"/>
    </row>
    <row r="16" spans="1:72" ht="18">
      <c r="A16" s="93">
        <v>14</v>
      </c>
      <c r="B16" s="94" t="s">
        <v>12</v>
      </c>
      <c r="C16" s="95" t="s">
        <v>71</v>
      </c>
      <c r="D16" s="95" t="s">
        <v>21</v>
      </c>
      <c r="E16" s="96">
        <v>0.2</v>
      </c>
      <c r="F16" s="259"/>
      <c r="G16" s="259"/>
      <c r="H16" s="259"/>
      <c r="I16" s="260"/>
      <c r="J16" s="260"/>
      <c r="K16" s="260"/>
      <c r="L16" s="260"/>
      <c r="M16" s="261">
        <f t="shared" si="2"/>
        <v>0</v>
      </c>
      <c r="N16" s="262">
        <v>0</v>
      </c>
      <c r="O16" s="262">
        <v>0</v>
      </c>
      <c r="P16" s="262">
        <v>0</v>
      </c>
      <c r="Q16" s="262">
        <v>0</v>
      </c>
      <c r="R16" s="262">
        <v>0</v>
      </c>
      <c r="S16" s="262">
        <v>0</v>
      </c>
      <c r="T16" s="262">
        <v>0</v>
      </c>
      <c r="U16" s="263">
        <f t="shared" si="3"/>
        <v>0</v>
      </c>
      <c r="V16" s="264">
        <f t="shared" si="4"/>
        <v>0</v>
      </c>
      <c r="W16" s="192">
        <f t="shared" si="5"/>
        <v>0</v>
      </c>
      <c r="X16" s="262">
        <f>SUM(_xlfn.XLOOKUP($C16, 'INT-_Manjiri'!$C:$C, 'INT-_Manjiri'!O:O), _xlfn.XLOOKUP($C16, 'USA-_Sea_shipment'!$C:$C, 'USA-_Sea_shipment'!S:S), _xlfn.XLOOKUP($C16, UK!$C:$C, UK!Q:Q), _xlfn.XLOOKUP($C16, Domestic!$C:$C, Domestic!Q:Q), _xlfn.XLOOKUP($C16, MENA!$C:$C, MENA!O:O), _xlfn.XLOOKUP($C16, Amazon_USA_Air_Shipment!$C:$C, Amazon_USA_Air_Shipment!O:O))</f>
        <v>0</v>
      </c>
      <c r="Y16" s="262">
        <f>SUM(_xlfn.XLOOKUP($C16, 'INT-_Manjiri'!$C:$C, 'INT-_Manjiri'!P:P), _xlfn.XLOOKUP($C16, 'USA-_Sea_shipment'!$C:$C, 'USA-_Sea_shipment'!T:T), _xlfn.XLOOKUP($C16, UK!$C:$C, UK!R:R), _xlfn.XLOOKUP($C16, Domestic!$C:$C, Domestic!R:R), _xlfn.XLOOKUP($C16, MENA!$C:$C, MENA!P:P), _xlfn.XLOOKUP($C16, Amazon_USA_Air_Shipment!$C:$C, Amazon_USA_Air_Shipment!P:P))</f>
        <v>0</v>
      </c>
      <c r="Z16" s="262">
        <f>SUM(_xlfn.XLOOKUP($C16, 'INT-_Manjiri'!$C:$C, 'INT-_Manjiri'!Q:Q), _xlfn.XLOOKUP($C16, 'USA-_Sea_shipment'!$C:$C, 'USA-_Sea_shipment'!U:U), _xlfn.XLOOKUP($C16, UK!$C:$C, UK!S:S), _xlfn.XLOOKUP($C16, Domestic!$C:$C, Domestic!S:S), _xlfn.XLOOKUP($C16, MENA!$C:$C, MENA!Q:Q), _xlfn.XLOOKUP($C16, Amazon_USA_Air_Shipment!$C:$C, Amazon_USA_Air_Shipment!Q:Q))</f>
        <v>0</v>
      </c>
      <c r="AA16" s="262">
        <f>SUM(_xlfn.XLOOKUP($C16, 'INT-_Manjiri'!$C:$C, 'INT-_Manjiri'!R:R), _xlfn.XLOOKUP($C16, 'USA-_Sea_shipment'!$C:$C, 'USA-_Sea_shipment'!V:V), _xlfn.XLOOKUP($C16, UK!$C:$C, UK!T:T), _xlfn.XLOOKUP($C16, Domestic!$C:$C, Domestic!T:T), _xlfn.XLOOKUP($C16, MENA!$C:$C, MENA!R:R), _xlfn.XLOOKUP($C16, Amazon_USA_Air_Shipment!$C:$C, Amazon_USA_Air_Shipment!R:R))</f>
        <v>0</v>
      </c>
      <c r="AB16" s="262">
        <f>SUM(_xlfn.XLOOKUP($C16, 'INT-_Manjiri'!$C:$C, 'INT-_Manjiri'!S:S), _xlfn.XLOOKUP($C16, 'USA-_Sea_shipment'!$C:$C, 'USA-_Sea_shipment'!W:W), _xlfn.XLOOKUP($C16, UK!$C:$C, UK!U:U), _xlfn.XLOOKUP($C16, Domestic!$C:$C, Domestic!U:U), _xlfn.XLOOKUP($C16, MENA!$C:$C, MENA!S:S), _xlfn.XLOOKUP($C16, Amazon_USA_Air_Shipment!$C:$C, Amazon_USA_Air_Shipment!S:S))</f>
        <v>0</v>
      </c>
      <c r="AC16" s="262">
        <f>SUM(_xlfn.XLOOKUP($C16, 'INT-_Manjiri'!$C:$C, 'INT-_Manjiri'!T:T), _xlfn.XLOOKUP($C16, 'USA-_Sea_shipment'!$C:$C, 'USA-_Sea_shipment'!X:X), _xlfn.XLOOKUP($C16, UK!$C:$C, UK!V:V), _xlfn.XLOOKUP($C16, Domestic!$C:$C, Domestic!V:V), _xlfn.XLOOKUP($C16, MENA!$C:$C, MENA!T:T), _xlfn.XLOOKUP($C16, Amazon_USA_Air_Shipment!$C:$C, Amazon_USA_Air_Shipment!T:T))</f>
        <v>0</v>
      </c>
      <c r="AD16" s="262">
        <f>SUM(_xlfn.XLOOKUP($C16, 'INT-_Manjiri'!$C:$C, 'INT-_Manjiri'!U:U), _xlfn.XLOOKUP($C16, 'USA-_Sea_shipment'!$C:$C, 'USA-_Sea_shipment'!Y:Y), _xlfn.XLOOKUP($C16, UK!$C:$C, UK!W:W), _xlfn.XLOOKUP($C16, Domestic!$C:$C, Domestic!W:W), _xlfn.XLOOKUP($C16, MENA!$C:$C, MENA!U:U), _xlfn.XLOOKUP($C16, Amazon_USA_Air_Shipment!$C:$C, Amazon_USA_Air_Shipment!U:U))</f>
        <v>0</v>
      </c>
      <c r="AE16" s="263">
        <f t="shared" si="6"/>
        <v>0</v>
      </c>
      <c r="AF16" s="264">
        <f t="shared" si="7"/>
        <v>0</v>
      </c>
      <c r="AG16" s="265">
        <f t="shared" si="8"/>
        <v>0</v>
      </c>
      <c r="AH16" s="262">
        <f>SUM(_xlfn.XLOOKUP($C16, 'INT-_Manjiri'!$C:$C, 'INT-_Manjiri'!V:V), _xlfn.XLOOKUP($C16, 'USA-_Sea_shipment'!$C:$C, 'USA-_Sea_shipment'!AC:AC), _xlfn.XLOOKUP($C16, UK!$C:$C, UK!AA:AA), _xlfn.XLOOKUP($C16, Domestic!$C:$C, Domestic!X:X), _xlfn.XLOOKUP($C16, MENA!$C:$C, MENA!V:V), _xlfn.XLOOKUP($C16, Amazon_USA_Air_Shipment!$C:$C, Amazon_USA_Air_Shipment!V:V))</f>
        <v>0</v>
      </c>
      <c r="AI16" s="262">
        <f>SUM(_xlfn.XLOOKUP($C16, 'INT-_Manjiri'!$C:$C, 'INT-_Manjiri'!W:W), _xlfn.XLOOKUP($C16, 'USA-_Sea_shipment'!$C:$C, 'USA-_Sea_shipment'!AD:AD), _xlfn.XLOOKUP($C16, UK!$C:$C, UK!AB:AB), _xlfn.XLOOKUP($C16, Domestic!$C:$C, Domestic!Y:Y), _xlfn.XLOOKUP($C16, MENA!$C:$C, MENA!W:W), _xlfn.XLOOKUP($C16, Amazon_USA_Air_Shipment!$C:$C, Amazon_USA_Air_Shipment!W:W))</f>
        <v>0</v>
      </c>
      <c r="AJ16" s="262">
        <f>SUM(_xlfn.XLOOKUP($C16, 'INT-_Manjiri'!$C:$C, 'INT-_Manjiri'!X:X), _xlfn.XLOOKUP($C16, 'USA-_Sea_shipment'!$C:$C, 'USA-_Sea_shipment'!AE:AE), _xlfn.XLOOKUP($C16, UK!$C:$C, UK!AC:AC), _xlfn.XLOOKUP($C16, Domestic!$C:$C, Domestic!Z:Z), _xlfn.XLOOKUP($C16, MENA!$C:$C, MENA!X:X), _xlfn.XLOOKUP($C16, Amazon_USA_Air_Shipment!$C:$C, Amazon_USA_Air_Shipment!X:X))</f>
        <v>0</v>
      </c>
      <c r="AK16" s="262">
        <f>SUM(_xlfn.XLOOKUP($C16, 'INT-_Manjiri'!$C:$C, 'INT-_Manjiri'!Y:Y), _xlfn.XLOOKUP($C16, 'USA-_Sea_shipment'!$C:$C, 'USA-_Sea_shipment'!AF:AF), _xlfn.XLOOKUP($C16, UK!$C:$C, UK!AD:AD), _xlfn.XLOOKUP($C16, Domestic!$C:$C, Domestic!AA:AA), _xlfn.XLOOKUP($C16, MENA!$C:$C, MENA!Y:Y), _xlfn.XLOOKUP($C16, Amazon_USA_Air_Shipment!$C:$C, Amazon_USA_Air_Shipment!Y:Y))</f>
        <v>0</v>
      </c>
      <c r="AL16" s="262">
        <f>SUM(_xlfn.XLOOKUP($C16, 'INT-_Manjiri'!$C:$C, 'INT-_Manjiri'!Z:Z), _xlfn.XLOOKUP($C16, 'USA-_Sea_shipment'!$C:$C, 'USA-_Sea_shipment'!AG:AG), _xlfn.XLOOKUP($C16, UK!$C:$C, UK!AE:AE), _xlfn.XLOOKUP($C16, Domestic!$C:$C, Domestic!AB:AB), _xlfn.XLOOKUP($C16, MENA!$C:$C, MENA!Z:Z), _xlfn.XLOOKUP($C16, Amazon_USA_Air_Shipment!$C:$C, Amazon_USA_Air_Shipment!Z:Z))</f>
        <v>0</v>
      </c>
      <c r="AM16" s="262">
        <f>SUM(_xlfn.XLOOKUP($C16, 'INT-_Manjiri'!$C:$C, 'INT-_Manjiri'!AA:AA), _xlfn.XLOOKUP($C16, 'USA-_Sea_shipment'!$C:$C, 'USA-_Sea_shipment'!AH:AH), _xlfn.XLOOKUP($C16, UK!$C:$C, UK!AF:AF), _xlfn.XLOOKUP($C16, Domestic!$C:$C, Domestic!AC:AC), _xlfn.XLOOKUP($C16, MENA!$C:$C, MENA!AA:AA), _xlfn.XLOOKUP($C16, Amazon_USA_Air_Shipment!$C:$C, Amazon_USA_Air_Shipment!AA:AA))</f>
        <v>0</v>
      </c>
      <c r="AN16" s="262">
        <f>SUM(_xlfn.XLOOKUP($C16, 'INT-_Manjiri'!$C:$C, 'INT-_Manjiri'!AB:AB), _xlfn.XLOOKUP($C16, 'USA-_Sea_shipment'!$C:$C, 'USA-_Sea_shipment'!AI:AI), _xlfn.XLOOKUP($C16, UK!$C:$C, UK!AG:AG), _xlfn.XLOOKUP($C16, Domestic!$C:$C, Domestic!AD:AD), _xlfn.XLOOKUP($C16, MENA!$C:$C, MENA!AB:AB), _xlfn.XLOOKUP($C16, Amazon_USA_Air_Shipment!$C:$C, Amazon_USA_Air_Shipment!AB:AB))</f>
        <v>0</v>
      </c>
      <c r="AO16" s="264">
        <f t="shared" si="9"/>
        <v>0</v>
      </c>
      <c r="AP16" s="263">
        <f t="shared" si="10"/>
        <v>0</v>
      </c>
      <c r="AQ16" s="265">
        <f t="shared" si="11"/>
        <v>0</v>
      </c>
      <c r="AR16" s="262">
        <f>SUM(_xlfn.XLOOKUP($C16, 'INT-_Manjiri'!$C:$C, 'INT-_Manjiri'!AC:AC), _xlfn.XLOOKUP($C16, 'USA-_Sea_shipment'!$C:$C, 'USA-_Sea_shipment'!AT:AT), _xlfn.XLOOKUP($C16, UK!$C:$C, UK!AK:AK), _xlfn.XLOOKUP($C16, Domestic!$C:$C, Domestic!AE:AE), _xlfn.XLOOKUP($C16, MENA!$C:$C, MENA!AC:AC), _xlfn.XLOOKUP($C16, Amazon_USA_Air_Shipment!$C:$C, Amazon_USA_Air_Shipment!AC:AC))</f>
        <v>44</v>
      </c>
      <c r="AS16" s="262">
        <f>SUM(_xlfn.XLOOKUP($C16, 'INT-_Manjiri'!$C:$C, 'INT-_Manjiri'!AD:AD), _xlfn.XLOOKUP($C16, 'USA-_Sea_shipment'!$C:$C, 'USA-_Sea_shipment'!AU:AU), _xlfn.XLOOKUP($C16, UK!$C:$C, UK!AL:AL), _xlfn.XLOOKUP($C16, Domestic!$C:$C, Domestic!AF:AF), _xlfn.XLOOKUP($C16, MENA!$C:$C, MENA!AD:AD), _xlfn.XLOOKUP($C16, Amazon_USA_Air_Shipment!$C:$C, Amazon_USA_Air_Shipment!AD:AD))</f>
        <v>8.8000000000000007</v>
      </c>
      <c r="AT16" s="262">
        <f>SUM(_xlfn.XLOOKUP($C16, 'INT-_Manjiri'!$C:$C, 'INT-_Manjiri'!AE:AE), _xlfn.XLOOKUP($C16, 'USA-_Sea_shipment'!$C:$C, 'USA-_Sea_shipment'!AV:AV), _xlfn.XLOOKUP($C16, UK!$C:$C, UK!AM:AM), _xlfn.XLOOKUP($C16, Domestic!$C:$C, Domestic!AG:AG), _xlfn.XLOOKUP($C16, MENA!$C:$C, MENA!AE:AE), _xlfn.XLOOKUP($C16, Amazon_USA_Air_Shipment!$C:$C, Amazon_USA_Air_Shipment!AE:AE))</f>
        <v>49</v>
      </c>
      <c r="AU16" s="262">
        <f>SUM(_xlfn.XLOOKUP($C16, 'INT-_Manjiri'!$C:$C, 'INT-_Manjiri'!AF:AF), _xlfn.XLOOKUP($C16, 'USA-_Sea_shipment'!$C:$C, 'USA-_Sea_shipment'!AW:AW), _xlfn.XLOOKUP($C16, UK!$C:$C, UK!AN:AN), _xlfn.XLOOKUP($C16, Domestic!$C:$C, Domestic!AH:AH), _xlfn.XLOOKUP($C16, MENA!$C:$C, MENA!AF:AF), _xlfn.XLOOKUP($C16, Amazon_USA_Air_Shipment!$C:$C, Amazon_USA_Air_Shipment!AF:AF))</f>
        <v>9.8000000000000007</v>
      </c>
      <c r="AV16" s="262">
        <f>SUM(_xlfn.XLOOKUP($C16, 'INT-_Manjiri'!$C:$C, 'INT-_Manjiri'!AG:AG), _xlfn.XLOOKUP($C16, 'USA-_Sea_shipment'!$C:$C, 'USA-_Sea_shipment'!AX:AX), _xlfn.XLOOKUP($C16, UK!$C:$C, UK!AO:AO), _xlfn.XLOOKUP($C16, Domestic!$C:$C, Domestic!AI:AI), _xlfn.XLOOKUP($C16, MENA!$C:$C, MENA!AG:AG), _xlfn.XLOOKUP($C16, Amazon_USA_Air_Shipment!$C:$C, Amazon_USA_Air_Shipment!AG:AG))</f>
        <v>0.4731182795698925</v>
      </c>
      <c r="AW16" s="262">
        <f>SUM(_xlfn.XLOOKUP($C16, 'INT-_Manjiri'!$C:$C, 'INT-_Manjiri'!AH:AH), _xlfn.XLOOKUP($C16, 'USA-_Sea_shipment'!$C:$C, 'USA-_Sea_shipment'!AY:AY), _xlfn.XLOOKUP($C16, UK!$C:$C, UK!AP:AP), _xlfn.XLOOKUP($C16, Domestic!$C:$C, Domestic!AJ:AJ), _xlfn.XLOOKUP($C16, MENA!$C:$C, MENA!AH:AH), _xlfn.XLOOKUP($C16, Amazon_USA_Air_Shipment!$C:$C, Amazon_USA_Air_Shipment!AH:AH))</f>
        <v>0</v>
      </c>
      <c r="AX16" s="262" t="e">
        <f>SUM(_xlfn.XLOOKUP($C16, 'INT-_Manjiri'!$C:$C, 'INT-_Manjiri'!AI:AI), _xlfn.XLOOKUP($C16, 'USA-_Sea_shipment'!$C:$C, 'USA-_Sea_shipment'!#REF!), _xlfn.XLOOKUP($C16, UK!$C:$C, UK!AQ:AQ), _xlfn.XLOOKUP($C16, Domestic!$C:$C, Domestic!AK:AK), _xlfn.XLOOKUP($C16, MENA!$C:$C, MENA!AI:AI), _xlfn.XLOOKUP($C16, Amazon_USA_Air_Shipment!$C:$C, Amazon_USA_Air_Shipment!AI:AI))</f>
        <v>#REF!</v>
      </c>
      <c r="AY16" s="262" t="e">
        <f>SUM(_xlfn.XLOOKUP($C16, 'INT-_Manjiri'!$C:$C, 'INT-_Manjiri'!AJ:AJ), _xlfn.XLOOKUP($C16, 'USA-_Sea_shipment'!$C:$C, 'USA-_Sea_shipment'!#REF!), _xlfn.XLOOKUP($C16, UK!$C:$C, UK!AR:AR), _xlfn.XLOOKUP($C16, Domestic!$C:$C, Domestic!AL:AL), _xlfn.XLOOKUP($C16, MENA!$C:$C, MENA!AJ:AJ), _xlfn.XLOOKUP($C16, Amazon_USA_Air_Shipment!$C:$C, Amazon_USA_Air_Shipment!AJ:AJ))</f>
        <v>#REF!</v>
      </c>
      <c r="AZ16" s="262" t="e">
        <f>SUM(_xlfn.XLOOKUP($C16, 'INT-_Manjiri'!$C:$C, 'INT-_Manjiri'!AK:AK), _xlfn.XLOOKUP($C16, 'USA-_Sea_shipment'!$C:$C, 'USA-_Sea_shipment'!#REF!), _xlfn.XLOOKUP($C16, UK!$C:$C, UK!AS:AS), _xlfn.XLOOKUP($C16, Domestic!$C:$C, Domestic!AM:AM), _xlfn.XLOOKUP($C16, MENA!$C:$C, MENA!AK:AK), _xlfn.XLOOKUP($C16, Amazon_USA_Air_Shipment!$C:$C, Amazon_USA_Air_Shipment!AK:AK))</f>
        <v>#REF!</v>
      </c>
      <c r="BA16" s="263" t="e">
        <f t="shared" si="12"/>
        <v>#REF!</v>
      </c>
      <c r="BB16" s="264" t="e">
        <f t="shared" si="13"/>
        <v>#REF!</v>
      </c>
      <c r="BC16" s="265">
        <f t="shared" si="14"/>
        <v>0</v>
      </c>
      <c r="BD16" s="263" t="e">
        <f t="shared" si="15"/>
        <v>#REF!</v>
      </c>
      <c r="BE16" s="264" t="e">
        <f t="shared" si="16"/>
        <v>#REF!</v>
      </c>
      <c r="BF16" s="264" t="e">
        <f t="shared" si="17"/>
        <v>#REF!</v>
      </c>
      <c r="BG16" s="266">
        <f t="shared" si="18"/>
        <v>0</v>
      </c>
      <c r="BH16" s="267"/>
      <c r="BI16" s="267"/>
      <c r="BJ16" s="268"/>
      <c r="BK16" s="269"/>
      <c r="BL16" s="270" t="s">
        <v>139</v>
      </c>
      <c r="BM16" s="110"/>
      <c r="BN16" s="110"/>
      <c r="BO16" s="110"/>
      <c r="BP16" s="110"/>
      <c r="BQ16" s="110"/>
      <c r="BR16" s="110"/>
      <c r="BS16" s="110"/>
      <c r="BT16" s="110"/>
    </row>
    <row r="17" spans="1:72" ht="18">
      <c r="A17" s="188">
        <v>15</v>
      </c>
      <c r="B17" s="94" t="s">
        <v>12</v>
      </c>
      <c r="C17" s="95" t="s">
        <v>72</v>
      </c>
      <c r="D17" s="95" t="s">
        <v>22</v>
      </c>
      <c r="E17" s="96">
        <v>0.2</v>
      </c>
      <c r="F17" s="259"/>
      <c r="G17" s="259"/>
      <c r="H17" s="259"/>
      <c r="I17" s="260"/>
      <c r="J17" s="260"/>
      <c r="K17" s="260"/>
      <c r="L17" s="260"/>
      <c r="M17" s="261">
        <f t="shared" si="2"/>
        <v>0</v>
      </c>
      <c r="N17" s="262">
        <v>0</v>
      </c>
      <c r="O17" s="262">
        <v>0</v>
      </c>
      <c r="P17" s="262">
        <v>0</v>
      </c>
      <c r="Q17" s="262">
        <v>0</v>
      </c>
      <c r="R17" s="262">
        <v>0</v>
      </c>
      <c r="S17" s="262">
        <v>0</v>
      </c>
      <c r="T17" s="262">
        <v>0</v>
      </c>
      <c r="U17" s="263">
        <f t="shared" si="3"/>
        <v>0</v>
      </c>
      <c r="V17" s="264">
        <f t="shared" si="4"/>
        <v>0</v>
      </c>
      <c r="W17" s="192">
        <f t="shared" si="5"/>
        <v>0</v>
      </c>
      <c r="X17" s="262">
        <f>SUM(_xlfn.XLOOKUP($C17, 'INT-_Manjiri'!$C:$C, 'INT-_Manjiri'!O:O), _xlfn.XLOOKUP($C17, 'USA-_Sea_shipment'!$C:$C, 'USA-_Sea_shipment'!S:S), _xlfn.XLOOKUP($C17, UK!$C:$C, UK!Q:Q), _xlfn.XLOOKUP($C17, Domestic!$C:$C, Domestic!Q:Q), _xlfn.XLOOKUP($C17, MENA!$C:$C, MENA!O:O), _xlfn.XLOOKUP($C17, Amazon_USA_Air_Shipment!$C:$C, Amazon_USA_Air_Shipment!O:O))</f>
        <v>0</v>
      </c>
      <c r="Y17" s="262">
        <f>SUM(_xlfn.XLOOKUP($C17, 'INT-_Manjiri'!$C:$C, 'INT-_Manjiri'!P:P), _xlfn.XLOOKUP($C17, 'USA-_Sea_shipment'!$C:$C, 'USA-_Sea_shipment'!T:T), _xlfn.XLOOKUP($C17, UK!$C:$C, UK!R:R), _xlfn.XLOOKUP($C17, Domestic!$C:$C, Domestic!R:R), _xlfn.XLOOKUP($C17, MENA!$C:$C, MENA!P:P), _xlfn.XLOOKUP($C17, Amazon_USA_Air_Shipment!$C:$C, Amazon_USA_Air_Shipment!P:P))</f>
        <v>0</v>
      </c>
      <c r="Z17" s="262">
        <f>SUM(_xlfn.XLOOKUP($C17, 'INT-_Manjiri'!$C:$C, 'INT-_Manjiri'!Q:Q), _xlfn.XLOOKUP($C17, 'USA-_Sea_shipment'!$C:$C, 'USA-_Sea_shipment'!U:U), _xlfn.XLOOKUP($C17, UK!$C:$C, UK!S:S), _xlfn.XLOOKUP($C17, Domestic!$C:$C, Domestic!S:S), _xlfn.XLOOKUP($C17, MENA!$C:$C, MENA!Q:Q), _xlfn.XLOOKUP($C17, Amazon_USA_Air_Shipment!$C:$C, Amazon_USA_Air_Shipment!Q:Q))</f>
        <v>0</v>
      </c>
      <c r="AA17" s="262">
        <f>SUM(_xlfn.XLOOKUP($C17, 'INT-_Manjiri'!$C:$C, 'INT-_Manjiri'!R:R), _xlfn.XLOOKUP($C17, 'USA-_Sea_shipment'!$C:$C, 'USA-_Sea_shipment'!V:V), _xlfn.XLOOKUP($C17, UK!$C:$C, UK!T:T), _xlfn.XLOOKUP($C17, Domestic!$C:$C, Domestic!T:T), _xlfn.XLOOKUP($C17, MENA!$C:$C, MENA!R:R), _xlfn.XLOOKUP($C17, Amazon_USA_Air_Shipment!$C:$C, Amazon_USA_Air_Shipment!R:R))</f>
        <v>0</v>
      </c>
      <c r="AB17" s="262">
        <f>SUM(_xlfn.XLOOKUP($C17, 'INT-_Manjiri'!$C:$C, 'INT-_Manjiri'!S:S), _xlfn.XLOOKUP($C17, 'USA-_Sea_shipment'!$C:$C, 'USA-_Sea_shipment'!W:W), _xlfn.XLOOKUP($C17, UK!$C:$C, UK!U:U), _xlfn.XLOOKUP($C17, Domestic!$C:$C, Domestic!U:U), _xlfn.XLOOKUP($C17, MENA!$C:$C, MENA!S:S), _xlfn.XLOOKUP($C17, Amazon_USA_Air_Shipment!$C:$C, Amazon_USA_Air_Shipment!S:S))</f>
        <v>0</v>
      </c>
      <c r="AC17" s="262">
        <f>SUM(_xlfn.XLOOKUP($C17, 'INT-_Manjiri'!$C:$C, 'INT-_Manjiri'!T:T), _xlfn.XLOOKUP($C17, 'USA-_Sea_shipment'!$C:$C, 'USA-_Sea_shipment'!X:X), _xlfn.XLOOKUP($C17, UK!$C:$C, UK!V:V), _xlfn.XLOOKUP($C17, Domestic!$C:$C, Domestic!V:V), _xlfn.XLOOKUP($C17, MENA!$C:$C, MENA!T:T), _xlfn.XLOOKUP($C17, Amazon_USA_Air_Shipment!$C:$C, Amazon_USA_Air_Shipment!T:T))</f>
        <v>0</v>
      </c>
      <c r="AD17" s="262">
        <f>SUM(_xlfn.XLOOKUP($C17, 'INT-_Manjiri'!$C:$C, 'INT-_Manjiri'!U:U), _xlfn.XLOOKUP($C17, 'USA-_Sea_shipment'!$C:$C, 'USA-_Sea_shipment'!Y:Y), _xlfn.XLOOKUP($C17, UK!$C:$C, UK!W:W), _xlfn.XLOOKUP($C17, Domestic!$C:$C, Domestic!W:W), _xlfn.XLOOKUP($C17, MENA!$C:$C, MENA!U:U), _xlfn.XLOOKUP($C17, Amazon_USA_Air_Shipment!$C:$C, Amazon_USA_Air_Shipment!U:U))</f>
        <v>0</v>
      </c>
      <c r="AE17" s="263">
        <f t="shared" si="6"/>
        <v>0</v>
      </c>
      <c r="AF17" s="264">
        <f t="shared" si="7"/>
        <v>0</v>
      </c>
      <c r="AG17" s="265">
        <f t="shared" si="8"/>
        <v>0</v>
      </c>
      <c r="AH17" s="262">
        <f>SUM(_xlfn.XLOOKUP($C17, 'INT-_Manjiri'!$C:$C, 'INT-_Manjiri'!V:V), _xlfn.XLOOKUP($C17, 'USA-_Sea_shipment'!$C:$C, 'USA-_Sea_shipment'!AC:AC), _xlfn.XLOOKUP($C17, UK!$C:$C, UK!AA:AA), _xlfn.XLOOKUP($C17, Domestic!$C:$C, Domestic!X:X), _xlfn.XLOOKUP($C17, MENA!$C:$C, MENA!V:V), _xlfn.XLOOKUP($C17, Amazon_USA_Air_Shipment!$C:$C, Amazon_USA_Air_Shipment!V:V))</f>
        <v>0</v>
      </c>
      <c r="AI17" s="262">
        <f>SUM(_xlfn.XLOOKUP($C17, 'INT-_Manjiri'!$C:$C, 'INT-_Manjiri'!W:W), _xlfn.XLOOKUP($C17, 'USA-_Sea_shipment'!$C:$C, 'USA-_Sea_shipment'!AD:AD), _xlfn.XLOOKUP($C17, UK!$C:$C, UK!AB:AB), _xlfn.XLOOKUP($C17, Domestic!$C:$C, Domestic!Y:Y), _xlfn.XLOOKUP($C17, MENA!$C:$C, MENA!W:W), _xlfn.XLOOKUP($C17, Amazon_USA_Air_Shipment!$C:$C, Amazon_USA_Air_Shipment!W:W))</f>
        <v>0</v>
      </c>
      <c r="AJ17" s="262">
        <f>SUM(_xlfn.XLOOKUP($C17, 'INT-_Manjiri'!$C:$C, 'INT-_Manjiri'!X:X), _xlfn.XLOOKUP($C17, 'USA-_Sea_shipment'!$C:$C, 'USA-_Sea_shipment'!AE:AE), _xlfn.XLOOKUP($C17, UK!$C:$C, UK!AC:AC), _xlfn.XLOOKUP($C17, Domestic!$C:$C, Domestic!Z:Z), _xlfn.XLOOKUP($C17, MENA!$C:$C, MENA!X:X), _xlfn.XLOOKUP($C17, Amazon_USA_Air_Shipment!$C:$C, Amazon_USA_Air_Shipment!X:X))</f>
        <v>0</v>
      </c>
      <c r="AK17" s="262">
        <f>SUM(_xlfn.XLOOKUP($C17, 'INT-_Manjiri'!$C:$C, 'INT-_Manjiri'!Y:Y), _xlfn.XLOOKUP($C17, 'USA-_Sea_shipment'!$C:$C, 'USA-_Sea_shipment'!AF:AF), _xlfn.XLOOKUP($C17, UK!$C:$C, UK!AD:AD), _xlfn.XLOOKUP($C17, Domestic!$C:$C, Domestic!AA:AA), _xlfn.XLOOKUP($C17, MENA!$C:$C, MENA!Y:Y), _xlfn.XLOOKUP($C17, Amazon_USA_Air_Shipment!$C:$C, Amazon_USA_Air_Shipment!Y:Y))</f>
        <v>0</v>
      </c>
      <c r="AL17" s="262">
        <f>SUM(_xlfn.XLOOKUP($C17, 'INT-_Manjiri'!$C:$C, 'INT-_Manjiri'!Z:Z), _xlfn.XLOOKUP($C17, 'USA-_Sea_shipment'!$C:$C, 'USA-_Sea_shipment'!AG:AG), _xlfn.XLOOKUP($C17, UK!$C:$C, UK!AE:AE), _xlfn.XLOOKUP($C17, Domestic!$C:$C, Domestic!AB:AB), _xlfn.XLOOKUP($C17, MENA!$C:$C, MENA!Z:Z), _xlfn.XLOOKUP($C17, Amazon_USA_Air_Shipment!$C:$C, Amazon_USA_Air_Shipment!Z:Z))</f>
        <v>0</v>
      </c>
      <c r="AM17" s="262">
        <f>SUM(_xlfn.XLOOKUP($C17, 'INT-_Manjiri'!$C:$C, 'INT-_Manjiri'!AA:AA), _xlfn.XLOOKUP($C17, 'USA-_Sea_shipment'!$C:$C, 'USA-_Sea_shipment'!AH:AH), _xlfn.XLOOKUP($C17, UK!$C:$C, UK!AF:AF), _xlfn.XLOOKUP($C17, Domestic!$C:$C, Domestic!AC:AC), _xlfn.XLOOKUP($C17, MENA!$C:$C, MENA!AA:AA), _xlfn.XLOOKUP($C17, Amazon_USA_Air_Shipment!$C:$C, Amazon_USA_Air_Shipment!AA:AA))</f>
        <v>0</v>
      </c>
      <c r="AN17" s="262">
        <f>SUM(_xlfn.XLOOKUP($C17, 'INT-_Manjiri'!$C:$C, 'INT-_Manjiri'!AB:AB), _xlfn.XLOOKUP($C17, 'USA-_Sea_shipment'!$C:$C, 'USA-_Sea_shipment'!AI:AI), _xlfn.XLOOKUP($C17, UK!$C:$C, UK!AG:AG), _xlfn.XLOOKUP($C17, Domestic!$C:$C, Domestic!AD:AD), _xlfn.XLOOKUP($C17, MENA!$C:$C, MENA!AB:AB), _xlfn.XLOOKUP($C17, Amazon_USA_Air_Shipment!$C:$C, Amazon_USA_Air_Shipment!AB:AB))</f>
        <v>0</v>
      </c>
      <c r="AO17" s="264">
        <f t="shared" si="9"/>
        <v>0</v>
      </c>
      <c r="AP17" s="263">
        <f t="shared" si="10"/>
        <v>0</v>
      </c>
      <c r="AQ17" s="265">
        <f t="shared" si="11"/>
        <v>0</v>
      </c>
      <c r="AR17" s="262">
        <f>SUM(_xlfn.XLOOKUP($C17, 'INT-_Manjiri'!$C:$C, 'INT-_Manjiri'!AC:AC), _xlfn.XLOOKUP($C17, 'USA-_Sea_shipment'!$C:$C, 'USA-_Sea_shipment'!AT:AT), _xlfn.XLOOKUP($C17, UK!$C:$C, UK!AK:AK), _xlfn.XLOOKUP($C17, Domestic!$C:$C, Domestic!AE:AE), _xlfn.XLOOKUP($C17, MENA!$C:$C, MENA!AC:AC), _xlfn.XLOOKUP($C17, Amazon_USA_Air_Shipment!$C:$C, Amazon_USA_Air_Shipment!AC:AC))</f>
        <v>7</v>
      </c>
      <c r="AS17" s="262">
        <f>SUM(_xlfn.XLOOKUP($C17, 'INT-_Manjiri'!$C:$C, 'INT-_Manjiri'!AD:AD), _xlfn.XLOOKUP($C17, 'USA-_Sea_shipment'!$C:$C, 'USA-_Sea_shipment'!AU:AU), _xlfn.XLOOKUP($C17, UK!$C:$C, UK!AL:AL), _xlfn.XLOOKUP($C17, Domestic!$C:$C, Domestic!AF:AF), _xlfn.XLOOKUP($C17, MENA!$C:$C, MENA!AD:AD), _xlfn.XLOOKUP($C17, Amazon_USA_Air_Shipment!$C:$C, Amazon_USA_Air_Shipment!AD:AD))</f>
        <v>124.4</v>
      </c>
      <c r="AT17" s="262">
        <f>SUM(_xlfn.XLOOKUP($C17, 'INT-_Manjiri'!$C:$C, 'INT-_Manjiri'!AE:AE), _xlfn.XLOOKUP($C17, 'USA-_Sea_shipment'!$C:$C, 'USA-_Sea_shipment'!AV:AV), _xlfn.XLOOKUP($C17, UK!$C:$C, UK!AM:AM), _xlfn.XLOOKUP($C17, Domestic!$C:$C, Domestic!AG:AG), _xlfn.XLOOKUP($C17, MENA!$C:$C, MENA!AE:AE), _xlfn.XLOOKUP($C17, Amazon_USA_Air_Shipment!$C:$C, Amazon_USA_Air_Shipment!AE:AE))</f>
        <v>24</v>
      </c>
      <c r="AU17" s="262">
        <f>SUM(_xlfn.XLOOKUP($C17, 'INT-_Manjiri'!$C:$C, 'INT-_Manjiri'!AF:AF), _xlfn.XLOOKUP($C17, 'USA-_Sea_shipment'!$C:$C, 'USA-_Sea_shipment'!AW:AW), _xlfn.XLOOKUP($C17, UK!$C:$C, UK!AN:AN), _xlfn.XLOOKUP($C17, Domestic!$C:$C, Domestic!AH:AH), _xlfn.XLOOKUP($C17, MENA!$C:$C, MENA!AF:AF), _xlfn.XLOOKUP($C17, Amazon_USA_Air_Shipment!$C:$C, Amazon_USA_Air_Shipment!AF:AF))</f>
        <v>4.8000000000000007</v>
      </c>
      <c r="AV17" s="262">
        <f>SUM(_xlfn.XLOOKUP($C17, 'INT-_Manjiri'!$C:$C, 'INT-_Manjiri'!AG:AG), _xlfn.XLOOKUP($C17, 'USA-_Sea_shipment'!$C:$C, 'USA-_Sea_shipment'!AX:AX), _xlfn.XLOOKUP($C17, UK!$C:$C, UK!AO:AO), _xlfn.XLOOKUP($C17, Domestic!$C:$C, Domestic!AI:AI), _xlfn.XLOOKUP($C17, MENA!$C:$C, MENA!AG:AG), _xlfn.XLOOKUP($C17, Amazon_USA_Air_Shipment!$C:$C, Amazon_USA_Air_Shipment!AG:AG))</f>
        <v>0.22580645161290322</v>
      </c>
      <c r="AW17" s="262">
        <f>SUM(_xlfn.XLOOKUP($C17, 'INT-_Manjiri'!$C:$C, 'INT-_Manjiri'!AH:AH), _xlfn.XLOOKUP($C17, 'USA-_Sea_shipment'!$C:$C, 'USA-_Sea_shipment'!AY:AY), _xlfn.XLOOKUP($C17, UK!$C:$C, UK!AP:AP), _xlfn.XLOOKUP($C17, Domestic!$C:$C, Domestic!AJ:AJ), _xlfn.XLOOKUP($C17, MENA!$C:$C, MENA!AH:AH), _xlfn.XLOOKUP($C17, Amazon_USA_Air_Shipment!$C:$C, Amazon_USA_Air_Shipment!AH:AH))</f>
        <v>0</v>
      </c>
      <c r="AX17" s="262" t="e">
        <f>SUM(_xlfn.XLOOKUP($C17, 'INT-_Manjiri'!$C:$C, 'INT-_Manjiri'!AI:AI), _xlfn.XLOOKUP($C17, 'USA-_Sea_shipment'!$C:$C, 'USA-_Sea_shipment'!#REF!), _xlfn.XLOOKUP($C17, UK!$C:$C, UK!AQ:AQ), _xlfn.XLOOKUP($C17, Domestic!$C:$C, Domestic!AK:AK), _xlfn.XLOOKUP($C17, MENA!$C:$C, MENA!AI:AI), _xlfn.XLOOKUP($C17, Amazon_USA_Air_Shipment!$C:$C, Amazon_USA_Air_Shipment!AI:AI))</f>
        <v>#REF!</v>
      </c>
      <c r="AY17" s="262" t="e">
        <f>SUM(_xlfn.XLOOKUP($C17, 'INT-_Manjiri'!$C:$C, 'INT-_Manjiri'!AJ:AJ), _xlfn.XLOOKUP($C17, 'USA-_Sea_shipment'!$C:$C, 'USA-_Sea_shipment'!#REF!), _xlfn.XLOOKUP($C17, UK!$C:$C, UK!AR:AR), _xlfn.XLOOKUP($C17, Domestic!$C:$C, Domestic!AL:AL), _xlfn.XLOOKUP($C17, MENA!$C:$C, MENA!AJ:AJ), _xlfn.XLOOKUP($C17, Amazon_USA_Air_Shipment!$C:$C, Amazon_USA_Air_Shipment!AJ:AJ))</f>
        <v>#REF!</v>
      </c>
      <c r="AZ17" s="262" t="e">
        <f>SUM(_xlfn.XLOOKUP($C17, 'INT-_Manjiri'!$C:$C, 'INT-_Manjiri'!AK:AK), _xlfn.XLOOKUP($C17, 'USA-_Sea_shipment'!$C:$C, 'USA-_Sea_shipment'!#REF!), _xlfn.XLOOKUP($C17, UK!$C:$C, UK!AS:AS), _xlfn.XLOOKUP($C17, Domestic!$C:$C, Domestic!AM:AM), _xlfn.XLOOKUP($C17, MENA!$C:$C, MENA!AK:AK), _xlfn.XLOOKUP($C17, Amazon_USA_Air_Shipment!$C:$C, Amazon_USA_Air_Shipment!AK:AK))</f>
        <v>#REF!</v>
      </c>
      <c r="BA17" s="263" t="e">
        <f t="shared" si="12"/>
        <v>#REF!</v>
      </c>
      <c r="BB17" s="264" t="e">
        <f t="shared" si="13"/>
        <v>#REF!</v>
      </c>
      <c r="BC17" s="265">
        <f t="shared" si="14"/>
        <v>0</v>
      </c>
      <c r="BD17" s="263" t="e">
        <f t="shared" si="15"/>
        <v>#REF!</v>
      </c>
      <c r="BE17" s="264" t="e">
        <f t="shared" si="16"/>
        <v>#REF!</v>
      </c>
      <c r="BF17" s="264" t="e">
        <f t="shared" si="17"/>
        <v>#REF!</v>
      </c>
      <c r="BG17" s="266">
        <f t="shared" si="18"/>
        <v>0</v>
      </c>
      <c r="BH17" s="267"/>
      <c r="BI17" s="267"/>
      <c r="BJ17" s="268"/>
      <c r="BK17" s="269"/>
      <c r="BL17" s="270" t="e">
        <f>M17/BK17</f>
        <v>#DIV/0!</v>
      </c>
      <c r="BM17" s="110"/>
      <c r="BN17" s="110"/>
      <c r="BO17" s="110"/>
      <c r="BP17" s="110"/>
      <c r="BQ17" s="110"/>
      <c r="BR17" s="110"/>
      <c r="BS17" s="110"/>
      <c r="BT17" s="110"/>
    </row>
    <row r="18" spans="1:72" ht="18">
      <c r="A18" s="93">
        <v>16</v>
      </c>
      <c r="B18" s="94" t="s">
        <v>12</v>
      </c>
      <c r="C18" s="95" t="s">
        <v>70</v>
      </c>
      <c r="D18" s="95" t="s">
        <v>14</v>
      </c>
      <c r="E18" s="96">
        <v>0.2</v>
      </c>
      <c r="F18" s="259"/>
      <c r="G18" s="259"/>
      <c r="H18" s="259"/>
      <c r="I18" s="260"/>
      <c r="J18" s="260"/>
      <c r="K18" s="260"/>
      <c r="L18" s="260"/>
      <c r="M18" s="261">
        <f t="shared" si="2"/>
        <v>0</v>
      </c>
      <c r="N18" s="262">
        <v>0</v>
      </c>
      <c r="O18" s="262">
        <v>0</v>
      </c>
      <c r="P18" s="262">
        <v>0</v>
      </c>
      <c r="Q18" s="262">
        <v>0</v>
      </c>
      <c r="R18" s="262">
        <v>0</v>
      </c>
      <c r="S18" s="262">
        <v>0</v>
      </c>
      <c r="T18" s="262">
        <v>0</v>
      </c>
      <c r="U18" s="263">
        <f t="shared" si="3"/>
        <v>0</v>
      </c>
      <c r="V18" s="264">
        <f t="shared" si="4"/>
        <v>0</v>
      </c>
      <c r="W18" s="192">
        <f t="shared" si="5"/>
        <v>0</v>
      </c>
      <c r="X18" s="262">
        <f>SUM(_xlfn.XLOOKUP($C18, 'INT-_Manjiri'!$C:$C, 'INT-_Manjiri'!O:O), _xlfn.XLOOKUP($C18, 'USA-_Sea_shipment'!$C:$C, 'USA-_Sea_shipment'!S:S), _xlfn.XLOOKUP($C18, UK!$C:$C, UK!Q:Q), _xlfn.XLOOKUP($C18, Domestic!$C:$C, Domestic!Q:Q), _xlfn.XLOOKUP($C18, MENA!$C:$C, MENA!O:O), _xlfn.XLOOKUP($C18, Amazon_USA_Air_Shipment!$C:$C, Amazon_USA_Air_Shipment!O:O))</f>
        <v>0</v>
      </c>
      <c r="Y18" s="262">
        <f>SUM(_xlfn.XLOOKUP($C18, 'INT-_Manjiri'!$C:$C, 'INT-_Manjiri'!P:P), _xlfn.XLOOKUP($C18, 'USA-_Sea_shipment'!$C:$C, 'USA-_Sea_shipment'!T:T), _xlfn.XLOOKUP($C18, UK!$C:$C, UK!R:R), _xlfn.XLOOKUP($C18, Domestic!$C:$C, Domestic!R:R), _xlfn.XLOOKUP($C18, MENA!$C:$C, MENA!P:P), _xlfn.XLOOKUP($C18, Amazon_USA_Air_Shipment!$C:$C, Amazon_USA_Air_Shipment!P:P))</f>
        <v>0</v>
      </c>
      <c r="Z18" s="262">
        <f>SUM(_xlfn.XLOOKUP($C18, 'INT-_Manjiri'!$C:$C, 'INT-_Manjiri'!Q:Q), _xlfn.XLOOKUP($C18, 'USA-_Sea_shipment'!$C:$C, 'USA-_Sea_shipment'!U:U), _xlfn.XLOOKUP($C18, UK!$C:$C, UK!S:S), _xlfn.XLOOKUP($C18, Domestic!$C:$C, Domestic!S:S), _xlfn.XLOOKUP($C18, MENA!$C:$C, MENA!Q:Q), _xlfn.XLOOKUP($C18, Amazon_USA_Air_Shipment!$C:$C, Amazon_USA_Air_Shipment!Q:Q))</f>
        <v>0</v>
      </c>
      <c r="AA18" s="262">
        <f>SUM(_xlfn.XLOOKUP($C18, 'INT-_Manjiri'!$C:$C, 'INT-_Manjiri'!R:R), _xlfn.XLOOKUP($C18, 'USA-_Sea_shipment'!$C:$C, 'USA-_Sea_shipment'!V:V), _xlfn.XLOOKUP($C18, UK!$C:$C, UK!T:T), _xlfn.XLOOKUP($C18, Domestic!$C:$C, Domestic!T:T), _xlfn.XLOOKUP($C18, MENA!$C:$C, MENA!R:R), _xlfn.XLOOKUP($C18, Amazon_USA_Air_Shipment!$C:$C, Amazon_USA_Air_Shipment!R:R))</f>
        <v>0</v>
      </c>
      <c r="AB18" s="262">
        <f>SUM(_xlfn.XLOOKUP($C18, 'INT-_Manjiri'!$C:$C, 'INT-_Manjiri'!S:S), _xlfn.XLOOKUP($C18, 'USA-_Sea_shipment'!$C:$C, 'USA-_Sea_shipment'!W:W), _xlfn.XLOOKUP($C18, UK!$C:$C, UK!U:U), _xlfn.XLOOKUP($C18, Domestic!$C:$C, Domestic!U:U), _xlfn.XLOOKUP($C18, MENA!$C:$C, MENA!S:S), _xlfn.XLOOKUP($C18, Amazon_USA_Air_Shipment!$C:$C, Amazon_USA_Air_Shipment!S:S))</f>
        <v>0</v>
      </c>
      <c r="AC18" s="262">
        <f>SUM(_xlfn.XLOOKUP($C18, 'INT-_Manjiri'!$C:$C, 'INT-_Manjiri'!T:T), _xlfn.XLOOKUP($C18, 'USA-_Sea_shipment'!$C:$C, 'USA-_Sea_shipment'!X:X), _xlfn.XLOOKUP($C18, UK!$C:$C, UK!V:V), _xlfn.XLOOKUP($C18, Domestic!$C:$C, Domestic!V:V), _xlfn.XLOOKUP($C18, MENA!$C:$C, MENA!T:T), _xlfn.XLOOKUP($C18, Amazon_USA_Air_Shipment!$C:$C, Amazon_USA_Air_Shipment!T:T))</f>
        <v>0</v>
      </c>
      <c r="AD18" s="262">
        <f>SUM(_xlfn.XLOOKUP($C18, 'INT-_Manjiri'!$C:$C, 'INT-_Manjiri'!U:U), _xlfn.XLOOKUP($C18, 'USA-_Sea_shipment'!$C:$C, 'USA-_Sea_shipment'!Y:Y), _xlfn.XLOOKUP($C18, UK!$C:$C, UK!W:W), _xlfn.XLOOKUP($C18, Domestic!$C:$C, Domestic!W:W), _xlfn.XLOOKUP($C18, MENA!$C:$C, MENA!U:U), _xlfn.XLOOKUP($C18, Amazon_USA_Air_Shipment!$C:$C, Amazon_USA_Air_Shipment!U:U))</f>
        <v>0</v>
      </c>
      <c r="AE18" s="263">
        <f t="shared" si="6"/>
        <v>0</v>
      </c>
      <c r="AF18" s="264">
        <f t="shared" si="7"/>
        <v>0</v>
      </c>
      <c r="AG18" s="265">
        <f t="shared" si="8"/>
        <v>0</v>
      </c>
      <c r="AH18" s="262">
        <f>SUM(_xlfn.XLOOKUP($C18, 'INT-_Manjiri'!$C:$C, 'INT-_Manjiri'!V:V), _xlfn.XLOOKUP($C18, 'USA-_Sea_shipment'!$C:$C, 'USA-_Sea_shipment'!AC:AC), _xlfn.XLOOKUP($C18, UK!$C:$C, UK!AA:AA), _xlfn.XLOOKUP($C18, Domestic!$C:$C, Domestic!X:X), _xlfn.XLOOKUP($C18, MENA!$C:$C, MENA!V:V), _xlfn.XLOOKUP($C18, Amazon_USA_Air_Shipment!$C:$C, Amazon_USA_Air_Shipment!V:V))</f>
        <v>0</v>
      </c>
      <c r="AI18" s="262">
        <f>SUM(_xlfn.XLOOKUP($C18, 'INT-_Manjiri'!$C:$C, 'INT-_Manjiri'!W:W), _xlfn.XLOOKUP($C18, 'USA-_Sea_shipment'!$C:$C, 'USA-_Sea_shipment'!AD:AD), _xlfn.XLOOKUP($C18, UK!$C:$C, UK!AB:AB), _xlfn.XLOOKUP($C18, Domestic!$C:$C, Domestic!Y:Y), _xlfn.XLOOKUP($C18, MENA!$C:$C, MENA!W:W), _xlfn.XLOOKUP($C18, Amazon_USA_Air_Shipment!$C:$C, Amazon_USA_Air_Shipment!W:W))</f>
        <v>0</v>
      </c>
      <c r="AJ18" s="262">
        <f>SUM(_xlfn.XLOOKUP($C18, 'INT-_Manjiri'!$C:$C, 'INT-_Manjiri'!X:X), _xlfn.XLOOKUP($C18, 'USA-_Sea_shipment'!$C:$C, 'USA-_Sea_shipment'!AE:AE), _xlfn.XLOOKUP($C18, UK!$C:$C, UK!AC:AC), _xlfn.XLOOKUP($C18, Domestic!$C:$C, Domestic!Z:Z), _xlfn.XLOOKUP($C18, MENA!$C:$C, MENA!X:X), _xlfn.XLOOKUP($C18, Amazon_USA_Air_Shipment!$C:$C, Amazon_USA_Air_Shipment!X:X))</f>
        <v>0</v>
      </c>
      <c r="AK18" s="262">
        <f>SUM(_xlfn.XLOOKUP($C18, 'INT-_Manjiri'!$C:$C, 'INT-_Manjiri'!Y:Y), _xlfn.XLOOKUP($C18, 'USA-_Sea_shipment'!$C:$C, 'USA-_Sea_shipment'!AF:AF), _xlfn.XLOOKUP($C18, UK!$C:$C, UK!AD:AD), _xlfn.XLOOKUP($C18, Domestic!$C:$C, Domestic!AA:AA), _xlfn.XLOOKUP($C18, MENA!$C:$C, MENA!Y:Y), _xlfn.XLOOKUP($C18, Amazon_USA_Air_Shipment!$C:$C, Amazon_USA_Air_Shipment!Y:Y))</f>
        <v>0</v>
      </c>
      <c r="AL18" s="262">
        <f>SUM(_xlfn.XLOOKUP($C18, 'INT-_Manjiri'!$C:$C, 'INT-_Manjiri'!Z:Z), _xlfn.XLOOKUP($C18, 'USA-_Sea_shipment'!$C:$C, 'USA-_Sea_shipment'!AG:AG), _xlfn.XLOOKUP($C18, UK!$C:$C, UK!AE:AE), _xlfn.XLOOKUP($C18, Domestic!$C:$C, Domestic!AB:AB), _xlfn.XLOOKUP($C18, MENA!$C:$C, MENA!Z:Z), _xlfn.XLOOKUP($C18, Amazon_USA_Air_Shipment!$C:$C, Amazon_USA_Air_Shipment!Z:Z))</f>
        <v>0</v>
      </c>
      <c r="AM18" s="262">
        <f>SUM(_xlfn.XLOOKUP($C18, 'INT-_Manjiri'!$C:$C, 'INT-_Manjiri'!AA:AA), _xlfn.XLOOKUP($C18, 'USA-_Sea_shipment'!$C:$C, 'USA-_Sea_shipment'!AH:AH), _xlfn.XLOOKUP($C18, UK!$C:$C, UK!AF:AF), _xlfn.XLOOKUP($C18, Domestic!$C:$C, Domestic!AC:AC), _xlfn.XLOOKUP($C18, MENA!$C:$C, MENA!AA:AA), _xlfn.XLOOKUP($C18, Amazon_USA_Air_Shipment!$C:$C, Amazon_USA_Air_Shipment!AA:AA))</f>
        <v>0</v>
      </c>
      <c r="AN18" s="262">
        <f>SUM(_xlfn.XLOOKUP($C18, 'INT-_Manjiri'!$C:$C, 'INT-_Manjiri'!AB:AB), _xlfn.XLOOKUP($C18, 'USA-_Sea_shipment'!$C:$C, 'USA-_Sea_shipment'!AI:AI), _xlfn.XLOOKUP($C18, UK!$C:$C, UK!AG:AG), _xlfn.XLOOKUP($C18, Domestic!$C:$C, Domestic!AD:AD), _xlfn.XLOOKUP($C18, MENA!$C:$C, MENA!AB:AB), _xlfn.XLOOKUP($C18, Amazon_USA_Air_Shipment!$C:$C, Amazon_USA_Air_Shipment!AB:AB))</f>
        <v>0</v>
      </c>
      <c r="AO18" s="264">
        <f t="shared" si="9"/>
        <v>0</v>
      </c>
      <c r="AP18" s="263">
        <f t="shared" si="10"/>
        <v>0</v>
      </c>
      <c r="AQ18" s="265">
        <f t="shared" si="11"/>
        <v>0</v>
      </c>
      <c r="AR18" s="262">
        <f>SUM(_xlfn.XLOOKUP($C18, 'INT-_Manjiri'!$C:$C, 'INT-_Manjiri'!AC:AC), _xlfn.XLOOKUP($C18, 'USA-_Sea_shipment'!$C:$C, 'USA-_Sea_shipment'!AT:AT), _xlfn.XLOOKUP($C18, UK!$C:$C, UK!AK:AK), _xlfn.XLOOKUP($C18, Domestic!$C:$C, Domestic!AE:AE), _xlfn.XLOOKUP($C18, MENA!$C:$C, MENA!AC:AC), _xlfn.XLOOKUP($C18, Amazon_USA_Air_Shipment!$C:$C, Amazon_USA_Air_Shipment!AC:AC))</f>
        <v>46</v>
      </c>
      <c r="AS18" s="262">
        <f>SUM(_xlfn.XLOOKUP($C18, 'INT-_Manjiri'!$C:$C, 'INT-_Manjiri'!AD:AD), _xlfn.XLOOKUP($C18, 'USA-_Sea_shipment'!$C:$C, 'USA-_Sea_shipment'!AU:AU), _xlfn.XLOOKUP($C18, UK!$C:$C, UK!AL:AL), _xlfn.XLOOKUP($C18, Domestic!$C:$C, Domestic!AF:AF), _xlfn.XLOOKUP($C18, MENA!$C:$C, MENA!AD:AD), _xlfn.XLOOKUP($C18, Amazon_USA_Air_Shipment!$C:$C, Amazon_USA_Air_Shipment!AD:AD))</f>
        <v>0</v>
      </c>
      <c r="AT18" s="262">
        <f>SUM(_xlfn.XLOOKUP($C18, 'INT-_Manjiri'!$C:$C, 'INT-_Manjiri'!AE:AE), _xlfn.XLOOKUP($C18, 'USA-_Sea_shipment'!$C:$C, 'USA-_Sea_shipment'!AV:AV), _xlfn.XLOOKUP($C18, UK!$C:$C, UK!AM:AM), _xlfn.XLOOKUP($C18, Domestic!$C:$C, Domestic!AG:AG), _xlfn.XLOOKUP($C18, MENA!$C:$C, MENA!AE:AE), _xlfn.XLOOKUP($C18, Amazon_USA_Air_Shipment!$C:$C, Amazon_USA_Air_Shipment!AE:AE))</f>
        <v>0</v>
      </c>
      <c r="AU18" s="262">
        <f>SUM(_xlfn.XLOOKUP($C18, 'INT-_Manjiri'!$C:$C, 'INT-_Manjiri'!AF:AF), _xlfn.XLOOKUP($C18, 'USA-_Sea_shipment'!$C:$C, 'USA-_Sea_shipment'!AW:AW), _xlfn.XLOOKUP($C18, UK!$C:$C, UK!AN:AN), _xlfn.XLOOKUP($C18, Domestic!$C:$C, Domestic!AH:AH), _xlfn.XLOOKUP($C18, MENA!$C:$C, MENA!AF:AF), _xlfn.XLOOKUP($C18, Amazon_USA_Air_Shipment!$C:$C, Amazon_USA_Air_Shipment!AF:AF))</f>
        <v>0</v>
      </c>
      <c r="AV18" s="262">
        <f>SUM(_xlfn.XLOOKUP($C18, 'INT-_Manjiri'!$C:$C, 'INT-_Manjiri'!AG:AG), _xlfn.XLOOKUP($C18, 'USA-_Sea_shipment'!$C:$C, 'USA-_Sea_shipment'!AX:AX), _xlfn.XLOOKUP($C18, UK!$C:$C, UK!AO:AO), _xlfn.XLOOKUP($C18, Domestic!$C:$C, Domestic!AI:AI), _xlfn.XLOOKUP($C18, MENA!$C:$C, MENA!AG:AG), _xlfn.XLOOKUP($C18, Amazon_USA_Air_Shipment!$C:$C, Amazon_USA_Air_Shipment!AG:AG))</f>
        <v>0</v>
      </c>
      <c r="AW18" s="262">
        <f>SUM(_xlfn.XLOOKUP($C18, 'INT-_Manjiri'!$C:$C, 'INT-_Manjiri'!AH:AH), _xlfn.XLOOKUP($C18, 'USA-_Sea_shipment'!$C:$C, 'USA-_Sea_shipment'!AY:AY), _xlfn.XLOOKUP($C18, UK!$C:$C, UK!AP:AP), _xlfn.XLOOKUP($C18, Domestic!$C:$C, Domestic!AJ:AJ), _xlfn.XLOOKUP($C18, MENA!$C:$C, MENA!AH:AH), _xlfn.XLOOKUP($C18, Amazon_USA_Air_Shipment!$C:$C, Amazon_USA_Air_Shipment!AH:AH))</f>
        <v>0</v>
      </c>
      <c r="AX18" s="262" t="e">
        <f>SUM(_xlfn.XLOOKUP($C18, 'INT-_Manjiri'!$C:$C, 'INT-_Manjiri'!AI:AI), _xlfn.XLOOKUP($C18, 'USA-_Sea_shipment'!$C:$C, 'USA-_Sea_shipment'!#REF!), _xlfn.XLOOKUP($C18, UK!$C:$C, UK!AQ:AQ), _xlfn.XLOOKUP($C18, Domestic!$C:$C, Domestic!AK:AK), _xlfn.XLOOKUP($C18, MENA!$C:$C, MENA!AI:AI), _xlfn.XLOOKUP($C18, Amazon_USA_Air_Shipment!$C:$C, Amazon_USA_Air_Shipment!AI:AI))</f>
        <v>#REF!</v>
      </c>
      <c r="AY18" s="262" t="e">
        <f>SUM(_xlfn.XLOOKUP($C18, 'INT-_Manjiri'!$C:$C, 'INT-_Manjiri'!AJ:AJ), _xlfn.XLOOKUP($C18, 'USA-_Sea_shipment'!$C:$C, 'USA-_Sea_shipment'!#REF!), _xlfn.XLOOKUP($C18, UK!$C:$C, UK!AR:AR), _xlfn.XLOOKUP($C18, Domestic!$C:$C, Domestic!AL:AL), _xlfn.XLOOKUP($C18, MENA!$C:$C, MENA!AJ:AJ), _xlfn.XLOOKUP($C18, Amazon_USA_Air_Shipment!$C:$C, Amazon_USA_Air_Shipment!AJ:AJ))</f>
        <v>#REF!</v>
      </c>
      <c r="AZ18" s="262" t="e">
        <f>SUM(_xlfn.XLOOKUP($C18, 'INT-_Manjiri'!$C:$C, 'INT-_Manjiri'!AK:AK), _xlfn.XLOOKUP($C18, 'USA-_Sea_shipment'!$C:$C, 'USA-_Sea_shipment'!#REF!), _xlfn.XLOOKUP($C18, UK!$C:$C, UK!AS:AS), _xlfn.XLOOKUP($C18, Domestic!$C:$C, Domestic!AM:AM), _xlfn.XLOOKUP($C18, MENA!$C:$C, MENA!AK:AK), _xlfn.XLOOKUP($C18, Amazon_USA_Air_Shipment!$C:$C, Amazon_USA_Air_Shipment!AK:AK))</f>
        <v>#REF!</v>
      </c>
      <c r="BA18" s="263" t="e">
        <f t="shared" si="12"/>
        <v>#REF!</v>
      </c>
      <c r="BB18" s="264" t="e">
        <f t="shared" si="13"/>
        <v>#REF!</v>
      </c>
      <c r="BC18" s="265">
        <f t="shared" si="14"/>
        <v>0</v>
      </c>
      <c r="BD18" s="263" t="e">
        <f t="shared" si="15"/>
        <v>#REF!</v>
      </c>
      <c r="BE18" s="264" t="e">
        <f t="shared" si="16"/>
        <v>#REF!</v>
      </c>
      <c r="BF18" s="264" t="e">
        <f t="shared" si="17"/>
        <v>#REF!</v>
      </c>
      <c r="BG18" s="266">
        <f t="shared" si="18"/>
        <v>0</v>
      </c>
      <c r="BH18" s="267"/>
      <c r="BI18" s="267"/>
      <c r="BJ18" s="268"/>
      <c r="BK18" s="269"/>
      <c r="BL18" s="270" t="s">
        <v>139</v>
      </c>
      <c r="BM18" s="110"/>
      <c r="BN18" s="110"/>
      <c r="BO18" s="110"/>
      <c r="BP18" s="110"/>
      <c r="BQ18" s="110"/>
      <c r="BR18" s="110"/>
      <c r="BS18" s="110"/>
      <c r="BT18" s="110"/>
    </row>
    <row r="19" spans="1:72" ht="18">
      <c r="A19" s="188">
        <v>17</v>
      </c>
      <c r="B19" s="94" t="s">
        <v>12</v>
      </c>
      <c r="C19" s="95" t="s">
        <v>67</v>
      </c>
      <c r="D19" s="95" t="s">
        <v>9</v>
      </c>
      <c r="E19" s="96">
        <v>0.2</v>
      </c>
      <c r="F19" s="259"/>
      <c r="G19" s="259"/>
      <c r="H19" s="259"/>
      <c r="I19" s="260"/>
      <c r="J19" s="260"/>
      <c r="K19" s="260"/>
      <c r="L19" s="260"/>
      <c r="M19" s="261">
        <f t="shared" si="2"/>
        <v>0</v>
      </c>
      <c r="N19" s="262">
        <v>0</v>
      </c>
      <c r="O19" s="262">
        <v>0</v>
      </c>
      <c r="P19" s="262">
        <v>0</v>
      </c>
      <c r="Q19" s="262">
        <v>0</v>
      </c>
      <c r="R19" s="262">
        <v>0</v>
      </c>
      <c r="S19" s="262">
        <v>0</v>
      </c>
      <c r="T19" s="262">
        <v>0</v>
      </c>
      <c r="U19" s="263">
        <f t="shared" si="3"/>
        <v>0</v>
      </c>
      <c r="V19" s="264">
        <f t="shared" si="4"/>
        <v>0</v>
      </c>
      <c r="W19" s="192">
        <f t="shared" si="5"/>
        <v>0</v>
      </c>
      <c r="X19" s="262">
        <f>SUM(_xlfn.XLOOKUP($C19, 'INT-_Manjiri'!$C:$C, 'INT-_Manjiri'!O:O), _xlfn.XLOOKUP($C19, 'USA-_Sea_shipment'!$C:$C, 'USA-_Sea_shipment'!S:S), _xlfn.XLOOKUP($C19, UK!$C:$C, UK!Q:Q), _xlfn.XLOOKUP($C19, Domestic!$C:$C, Domestic!Q:Q), _xlfn.XLOOKUP($C19, MENA!$C:$C, MENA!O:O), _xlfn.XLOOKUP($C19, Amazon_USA_Air_Shipment!$C:$C, Amazon_USA_Air_Shipment!O:O))</f>
        <v>0</v>
      </c>
      <c r="Y19" s="262">
        <f>SUM(_xlfn.XLOOKUP($C19, 'INT-_Manjiri'!$C:$C, 'INT-_Manjiri'!P:P), _xlfn.XLOOKUP($C19, 'USA-_Sea_shipment'!$C:$C, 'USA-_Sea_shipment'!T:T), _xlfn.XLOOKUP($C19, UK!$C:$C, UK!R:R), _xlfn.XLOOKUP($C19, Domestic!$C:$C, Domestic!R:R), _xlfn.XLOOKUP($C19, MENA!$C:$C, MENA!P:P), _xlfn.XLOOKUP($C19, Amazon_USA_Air_Shipment!$C:$C, Amazon_USA_Air_Shipment!P:P))</f>
        <v>0</v>
      </c>
      <c r="Z19" s="262">
        <f>SUM(_xlfn.XLOOKUP($C19, 'INT-_Manjiri'!$C:$C, 'INT-_Manjiri'!Q:Q), _xlfn.XLOOKUP($C19, 'USA-_Sea_shipment'!$C:$C, 'USA-_Sea_shipment'!U:U), _xlfn.XLOOKUP($C19, UK!$C:$C, UK!S:S), _xlfn.XLOOKUP($C19, Domestic!$C:$C, Domestic!S:S), _xlfn.XLOOKUP($C19, MENA!$C:$C, MENA!Q:Q), _xlfn.XLOOKUP($C19, Amazon_USA_Air_Shipment!$C:$C, Amazon_USA_Air_Shipment!Q:Q))</f>
        <v>0</v>
      </c>
      <c r="AA19" s="262">
        <f>SUM(_xlfn.XLOOKUP($C19, 'INT-_Manjiri'!$C:$C, 'INT-_Manjiri'!R:R), _xlfn.XLOOKUP($C19, 'USA-_Sea_shipment'!$C:$C, 'USA-_Sea_shipment'!V:V), _xlfn.XLOOKUP($C19, UK!$C:$C, UK!T:T), _xlfn.XLOOKUP($C19, Domestic!$C:$C, Domestic!T:T), _xlfn.XLOOKUP($C19, MENA!$C:$C, MENA!R:R), _xlfn.XLOOKUP($C19, Amazon_USA_Air_Shipment!$C:$C, Amazon_USA_Air_Shipment!R:R))</f>
        <v>0</v>
      </c>
      <c r="AB19" s="262">
        <f>SUM(_xlfn.XLOOKUP($C19, 'INT-_Manjiri'!$C:$C, 'INT-_Manjiri'!S:S), _xlfn.XLOOKUP($C19, 'USA-_Sea_shipment'!$C:$C, 'USA-_Sea_shipment'!W:W), _xlfn.XLOOKUP($C19, UK!$C:$C, UK!U:U), _xlfn.XLOOKUP($C19, Domestic!$C:$C, Domestic!U:U), _xlfn.XLOOKUP($C19, MENA!$C:$C, MENA!S:S), _xlfn.XLOOKUP($C19, Amazon_USA_Air_Shipment!$C:$C, Amazon_USA_Air_Shipment!S:S))</f>
        <v>0</v>
      </c>
      <c r="AC19" s="262">
        <f>SUM(_xlfn.XLOOKUP($C19, 'INT-_Manjiri'!$C:$C, 'INT-_Manjiri'!T:T), _xlfn.XLOOKUP($C19, 'USA-_Sea_shipment'!$C:$C, 'USA-_Sea_shipment'!X:X), _xlfn.XLOOKUP($C19, UK!$C:$C, UK!V:V), _xlfn.XLOOKUP($C19, Domestic!$C:$C, Domestic!V:V), _xlfn.XLOOKUP($C19, MENA!$C:$C, MENA!T:T), _xlfn.XLOOKUP($C19, Amazon_USA_Air_Shipment!$C:$C, Amazon_USA_Air_Shipment!T:T))</f>
        <v>0</v>
      </c>
      <c r="AD19" s="262">
        <f>SUM(_xlfn.XLOOKUP($C19, 'INT-_Manjiri'!$C:$C, 'INT-_Manjiri'!U:U), _xlfn.XLOOKUP($C19, 'USA-_Sea_shipment'!$C:$C, 'USA-_Sea_shipment'!Y:Y), _xlfn.XLOOKUP($C19, UK!$C:$C, UK!W:W), _xlfn.XLOOKUP($C19, Domestic!$C:$C, Domestic!W:W), _xlfn.XLOOKUP($C19, MENA!$C:$C, MENA!U:U), _xlfn.XLOOKUP($C19, Amazon_USA_Air_Shipment!$C:$C, Amazon_USA_Air_Shipment!U:U))</f>
        <v>0</v>
      </c>
      <c r="AE19" s="263">
        <f t="shared" si="6"/>
        <v>0</v>
      </c>
      <c r="AF19" s="264">
        <f t="shared" si="7"/>
        <v>0</v>
      </c>
      <c r="AG19" s="265">
        <f t="shared" si="8"/>
        <v>0</v>
      </c>
      <c r="AH19" s="262">
        <f>SUM(_xlfn.XLOOKUP($C19, 'INT-_Manjiri'!$C:$C, 'INT-_Manjiri'!V:V), _xlfn.XLOOKUP($C19, 'USA-_Sea_shipment'!$C:$C, 'USA-_Sea_shipment'!AC:AC), _xlfn.XLOOKUP($C19, UK!$C:$C, UK!AA:AA), _xlfn.XLOOKUP($C19, Domestic!$C:$C, Domestic!X:X), _xlfn.XLOOKUP($C19, MENA!$C:$C, MENA!V:V), _xlfn.XLOOKUP($C19, Amazon_USA_Air_Shipment!$C:$C, Amazon_USA_Air_Shipment!V:V))</f>
        <v>0</v>
      </c>
      <c r="AI19" s="262">
        <f>SUM(_xlfn.XLOOKUP($C19, 'INT-_Manjiri'!$C:$C, 'INT-_Manjiri'!W:W), _xlfn.XLOOKUP($C19, 'USA-_Sea_shipment'!$C:$C, 'USA-_Sea_shipment'!AD:AD), _xlfn.XLOOKUP($C19, UK!$C:$C, UK!AB:AB), _xlfn.XLOOKUP($C19, Domestic!$C:$C, Domestic!Y:Y), _xlfn.XLOOKUP($C19, MENA!$C:$C, MENA!W:W), _xlfn.XLOOKUP($C19, Amazon_USA_Air_Shipment!$C:$C, Amazon_USA_Air_Shipment!W:W))</f>
        <v>0</v>
      </c>
      <c r="AJ19" s="262">
        <f>SUM(_xlfn.XLOOKUP($C19, 'INT-_Manjiri'!$C:$C, 'INT-_Manjiri'!X:X), _xlfn.XLOOKUP($C19, 'USA-_Sea_shipment'!$C:$C, 'USA-_Sea_shipment'!AE:AE), _xlfn.XLOOKUP($C19, UK!$C:$C, UK!AC:AC), _xlfn.XLOOKUP($C19, Domestic!$C:$C, Domestic!Z:Z), _xlfn.XLOOKUP($C19, MENA!$C:$C, MENA!X:X), _xlfn.XLOOKUP($C19, Amazon_USA_Air_Shipment!$C:$C, Amazon_USA_Air_Shipment!X:X))</f>
        <v>0</v>
      </c>
      <c r="AK19" s="262">
        <f>SUM(_xlfn.XLOOKUP($C19, 'INT-_Manjiri'!$C:$C, 'INT-_Manjiri'!Y:Y), _xlfn.XLOOKUP($C19, 'USA-_Sea_shipment'!$C:$C, 'USA-_Sea_shipment'!AF:AF), _xlfn.XLOOKUP($C19, UK!$C:$C, UK!AD:AD), _xlfn.XLOOKUP($C19, Domestic!$C:$C, Domestic!AA:AA), _xlfn.XLOOKUP($C19, MENA!$C:$C, MENA!Y:Y), _xlfn.XLOOKUP($C19, Amazon_USA_Air_Shipment!$C:$C, Amazon_USA_Air_Shipment!Y:Y))</f>
        <v>0</v>
      </c>
      <c r="AL19" s="262">
        <f>SUM(_xlfn.XLOOKUP($C19, 'INT-_Manjiri'!$C:$C, 'INT-_Manjiri'!Z:Z), _xlfn.XLOOKUP($C19, 'USA-_Sea_shipment'!$C:$C, 'USA-_Sea_shipment'!AG:AG), _xlfn.XLOOKUP($C19, UK!$C:$C, UK!AE:AE), _xlfn.XLOOKUP($C19, Domestic!$C:$C, Domestic!AB:AB), _xlfn.XLOOKUP($C19, MENA!$C:$C, MENA!Z:Z), _xlfn.XLOOKUP($C19, Amazon_USA_Air_Shipment!$C:$C, Amazon_USA_Air_Shipment!Z:Z))</f>
        <v>0</v>
      </c>
      <c r="AM19" s="262">
        <f>SUM(_xlfn.XLOOKUP($C19, 'INT-_Manjiri'!$C:$C, 'INT-_Manjiri'!AA:AA), _xlfn.XLOOKUP($C19, 'USA-_Sea_shipment'!$C:$C, 'USA-_Sea_shipment'!AH:AH), _xlfn.XLOOKUP($C19, UK!$C:$C, UK!AF:AF), _xlfn.XLOOKUP($C19, Domestic!$C:$C, Domestic!AC:AC), _xlfn.XLOOKUP($C19, MENA!$C:$C, MENA!AA:AA), _xlfn.XLOOKUP($C19, Amazon_USA_Air_Shipment!$C:$C, Amazon_USA_Air_Shipment!AA:AA))</f>
        <v>0</v>
      </c>
      <c r="AN19" s="262">
        <f>SUM(_xlfn.XLOOKUP($C19, 'INT-_Manjiri'!$C:$C, 'INT-_Manjiri'!AB:AB), _xlfn.XLOOKUP($C19, 'USA-_Sea_shipment'!$C:$C, 'USA-_Sea_shipment'!AI:AI), _xlfn.XLOOKUP($C19, UK!$C:$C, UK!AG:AG), _xlfn.XLOOKUP($C19, Domestic!$C:$C, Domestic!AD:AD), _xlfn.XLOOKUP($C19, MENA!$C:$C, MENA!AB:AB), _xlfn.XLOOKUP($C19, Amazon_USA_Air_Shipment!$C:$C, Amazon_USA_Air_Shipment!AB:AB))</f>
        <v>0</v>
      </c>
      <c r="AO19" s="264">
        <f t="shared" si="9"/>
        <v>0</v>
      </c>
      <c r="AP19" s="263">
        <f t="shared" si="10"/>
        <v>0</v>
      </c>
      <c r="AQ19" s="265">
        <f t="shared" si="11"/>
        <v>0</v>
      </c>
      <c r="AR19" s="262">
        <f>SUM(_xlfn.XLOOKUP($C19, 'INT-_Manjiri'!$C:$C, 'INT-_Manjiri'!AC:AC), _xlfn.XLOOKUP($C19, 'USA-_Sea_shipment'!$C:$C, 'USA-_Sea_shipment'!AT:AT), _xlfn.XLOOKUP($C19, UK!$C:$C, UK!AK:AK), _xlfn.XLOOKUP($C19, Domestic!$C:$C, Domestic!AE:AE), _xlfn.XLOOKUP($C19, MENA!$C:$C, MENA!AC:AC), _xlfn.XLOOKUP($C19, Amazon_USA_Air_Shipment!$C:$C, Amazon_USA_Air_Shipment!AC:AC))</f>
        <v>0</v>
      </c>
      <c r="AS19" s="262">
        <f>SUM(_xlfn.XLOOKUP($C19, 'INT-_Manjiri'!$C:$C, 'INT-_Manjiri'!AD:AD), _xlfn.XLOOKUP($C19, 'USA-_Sea_shipment'!$C:$C, 'USA-_Sea_shipment'!AU:AU), _xlfn.XLOOKUP($C19, UK!$C:$C, UK!AL:AL), _xlfn.XLOOKUP($C19, Domestic!$C:$C, Domestic!AF:AF), _xlfn.XLOOKUP($C19, MENA!$C:$C, MENA!AD:AD), _xlfn.XLOOKUP($C19, Amazon_USA_Air_Shipment!$C:$C, Amazon_USA_Air_Shipment!AD:AD))</f>
        <v>0</v>
      </c>
      <c r="AT19" s="262">
        <f>SUM(_xlfn.XLOOKUP($C19, 'INT-_Manjiri'!$C:$C, 'INT-_Manjiri'!AE:AE), _xlfn.XLOOKUP($C19, 'USA-_Sea_shipment'!$C:$C, 'USA-_Sea_shipment'!AV:AV), _xlfn.XLOOKUP($C19, UK!$C:$C, UK!AM:AM), _xlfn.XLOOKUP($C19, Domestic!$C:$C, Domestic!AG:AG), _xlfn.XLOOKUP($C19, MENA!$C:$C, MENA!AE:AE), _xlfn.XLOOKUP($C19, Amazon_USA_Air_Shipment!$C:$C, Amazon_USA_Air_Shipment!AE:AE))</f>
        <v>0</v>
      </c>
      <c r="AU19" s="262">
        <f>SUM(_xlfn.XLOOKUP($C19, 'INT-_Manjiri'!$C:$C, 'INT-_Manjiri'!AF:AF), _xlfn.XLOOKUP($C19, 'USA-_Sea_shipment'!$C:$C, 'USA-_Sea_shipment'!AW:AW), _xlfn.XLOOKUP($C19, UK!$C:$C, UK!AN:AN), _xlfn.XLOOKUP($C19, Domestic!$C:$C, Domestic!AH:AH), _xlfn.XLOOKUP($C19, MENA!$C:$C, MENA!AF:AF), _xlfn.XLOOKUP($C19, Amazon_USA_Air_Shipment!$C:$C, Amazon_USA_Air_Shipment!AF:AF))</f>
        <v>0</v>
      </c>
      <c r="AV19" s="262">
        <f>SUM(_xlfn.XLOOKUP($C19, 'INT-_Manjiri'!$C:$C, 'INT-_Manjiri'!AG:AG), _xlfn.XLOOKUP($C19, 'USA-_Sea_shipment'!$C:$C, 'USA-_Sea_shipment'!AX:AX), _xlfn.XLOOKUP($C19, UK!$C:$C, UK!AO:AO), _xlfn.XLOOKUP($C19, Domestic!$C:$C, Domestic!AI:AI), _xlfn.XLOOKUP($C19, MENA!$C:$C, MENA!AG:AG), _xlfn.XLOOKUP($C19, Amazon_USA_Air_Shipment!$C:$C, Amazon_USA_Air_Shipment!AG:AG))</f>
        <v>0</v>
      </c>
      <c r="AW19" s="262">
        <f>SUM(_xlfn.XLOOKUP($C19, 'INT-_Manjiri'!$C:$C, 'INT-_Manjiri'!AH:AH), _xlfn.XLOOKUP($C19, 'USA-_Sea_shipment'!$C:$C, 'USA-_Sea_shipment'!AY:AY), _xlfn.XLOOKUP($C19, UK!$C:$C, UK!AP:AP), _xlfn.XLOOKUP($C19, Domestic!$C:$C, Domestic!AJ:AJ), _xlfn.XLOOKUP($C19, MENA!$C:$C, MENA!AH:AH), _xlfn.XLOOKUP($C19, Amazon_USA_Air_Shipment!$C:$C, Amazon_USA_Air_Shipment!AH:AH))</f>
        <v>0</v>
      </c>
      <c r="AX19" s="262" t="e">
        <f>SUM(_xlfn.XLOOKUP($C19, 'INT-_Manjiri'!$C:$C, 'INT-_Manjiri'!AI:AI), _xlfn.XLOOKUP($C19, 'USA-_Sea_shipment'!$C:$C, 'USA-_Sea_shipment'!#REF!), _xlfn.XLOOKUP($C19, UK!$C:$C, UK!AQ:AQ), _xlfn.XLOOKUP($C19, Domestic!$C:$C, Domestic!AK:AK), _xlfn.XLOOKUP($C19, MENA!$C:$C, MENA!AI:AI), _xlfn.XLOOKUP($C19, Amazon_USA_Air_Shipment!$C:$C, Amazon_USA_Air_Shipment!AI:AI))</f>
        <v>#REF!</v>
      </c>
      <c r="AY19" s="262" t="e">
        <f>SUM(_xlfn.XLOOKUP($C19, 'INT-_Manjiri'!$C:$C, 'INT-_Manjiri'!AJ:AJ), _xlfn.XLOOKUP($C19, 'USA-_Sea_shipment'!$C:$C, 'USA-_Sea_shipment'!#REF!), _xlfn.XLOOKUP($C19, UK!$C:$C, UK!AR:AR), _xlfn.XLOOKUP($C19, Domestic!$C:$C, Domestic!AL:AL), _xlfn.XLOOKUP($C19, MENA!$C:$C, MENA!AJ:AJ), _xlfn.XLOOKUP($C19, Amazon_USA_Air_Shipment!$C:$C, Amazon_USA_Air_Shipment!AJ:AJ))</f>
        <v>#REF!</v>
      </c>
      <c r="AZ19" s="262" t="e">
        <f>SUM(_xlfn.XLOOKUP($C19, 'INT-_Manjiri'!$C:$C, 'INT-_Manjiri'!AK:AK), _xlfn.XLOOKUP($C19, 'USA-_Sea_shipment'!$C:$C, 'USA-_Sea_shipment'!#REF!), _xlfn.XLOOKUP($C19, UK!$C:$C, UK!AS:AS), _xlfn.XLOOKUP($C19, Domestic!$C:$C, Domestic!AM:AM), _xlfn.XLOOKUP($C19, MENA!$C:$C, MENA!AK:AK), _xlfn.XLOOKUP($C19, Amazon_USA_Air_Shipment!$C:$C, Amazon_USA_Air_Shipment!AK:AK))</f>
        <v>#REF!</v>
      </c>
      <c r="BA19" s="263" t="e">
        <f t="shared" si="12"/>
        <v>#REF!</v>
      </c>
      <c r="BB19" s="264" t="e">
        <f t="shared" si="13"/>
        <v>#REF!</v>
      </c>
      <c r="BC19" s="265">
        <f t="shared" si="14"/>
        <v>0</v>
      </c>
      <c r="BD19" s="263" t="e">
        <f t="shared" si="15"/>
        <v>#REF!</v>
      </c>
      <c r="BE19" s="264" t="e">
        <f t="shared" si="16"/>
        <v>#REF!</v>
      </c>
      <c r="BF19" s="264" t="e">
        <f t="shared" si="17"/>
        <v>#REF!</v>
      </c>
      <c r="BG19" s="266">
        <f t="shared" si="18"/>
        <v>0</v>
      </c>
      <c r="BH19" s="267"/>
      <c r="BI19" s="271"/>
      <c r="BJ19" s="268"/>
      <c r="BK19" s="269"/>
      <c r="BL19" s="270" t="e">
        <f>M19/BK19</f>
        <v>#DIV/0!</v>
      </c>
      <c r="BM19" s="110"/>
      <c r="BN19" s="110"/>
      <c r="BO19" s="110"/>
      <c r="BP19" s="110"/>
      <c r="BQ19" s="110"/>
      <c r="BR19" s="110"/>
      <c r="BS19" s="110"/>
      <c r="BT19" s="110"/>
    </row>
    <row r="20" spans="1:72" ht="30" customHeight="1">
      <c r="A20" s="272">
        <v>18</v>
      </c>
      <c r="B20" s="94" t="s">
        <v>12</v>
      </c>
      <c r="C20" s="273" t="s">
        <v>77</v>
      </c>
      <c r="D20" s="95" t="s">
        <v>140</v>
      </c>
      <c r="E20" s="274">
        <v>1</v>
      </c>
      <c r="F20" s="259"/>
      <c r="G20" s="275"/>
      <c r="H20" s="275"/>
      <c r="I20" s="260"/>
      <c r="J20" s="260"/>
      <c r="K20" s="260"/>
      <c r="L20" s="260"/>
      <c r="M20" s="261">
        <f t="shared" si="2"/>
        <v>0</v>
      </c>
      <c r="N20" s="262">
        <v>0</v>
      </c>
      <c r="O20" s="262">
        <v>0</v>
      </c>
      <c r="P20" s="262">
        <v>0</v>
      </c>
      <c r="Q20" s="262">
        <v>0</v>
      </c>
      <c r="R20" s="262">
        <v>0</v>
      </c>
      <c r="S20" s="262">
        <v>0</v>
      </c>
      <c r="T20" s="262">
        <v>0</v>
      </c>
      <c r="U20" s="263">
        <f t="shared" si="3"/>
        <v>0</v>
      </c>
      <c r="V20" s="264">
        <f t="shared" si="4"/>
        <v>0</v>
      </c>
      <c r="W20" s="192">
        <f t="shared" si="5"/>
        <v>0</v>
      </c>
      <c r="X20" s="276">
        <f>SUM(_xlfn.XLOOKUP($C20, 'INT-_Manjiri'!$C:$C, 'INT-_Manjiri'!O:O), _xlfn.XLOOKUP($C20, 'USA-_Sea_shipment'!$C:$C, 'USA-_Sea_shipment'!S:S), _xlfn.XLOOKUP($C20, UK!$C:$C, UK!Q:Q), _xlfn.XLOOKUP($C20, Domestic!$C:$C, Domestic!Q:Q), _xlfn.XLOOKUP($C20, MENA!$C:$C, MENA!O:O), _xlfn.XLOOKUP($C20, Amazon_USA_Air_Shipment!$C:$C, Amazon_USA_Air_Shipment!O:O))</f>
        <v>192</v>
      </c>
      <c r="Y20" s="276">
        <f>SUM(_xlfn.XLOOKUP($C20, 'INT-_Manjiri'!$C:$C, 'INT-_Manjiri'!P:P), _xlfn.XLOOKUP($C20, 'USA-_Sea_shipment'!$C:$C, 'USA-_Sea_shipment'!T:T), _xlfn.XLOOKUP($C20, UK!$C:$C, UK!R:R), _xlfn.XLOOKUP($C20, Domestic!$C:$C, Domestic!R:R), _xlfn.XLOOKUP($C20, MENA!$C:$C, MENA!P:P), _xlfn.XLOOKUP($C20, Amazon_USA_Air_Shipment!$C:$C, Amazon_USA_Air_Shipment!P:P))</f>
        <v>0</v>
      </c>
      <c r="Z20" s="276">
        <f>SUM(_xlfn.XLOOKUP($C20, 'INT-_Manjiri'!$C:$C, 'INT-_Manjiri'!Q:Q), _xlfn.XLOOKUP($C20, 'USA-_Sea_shipment'!$C:$C, 'USA-_Sea_shipment'!U:U), _xlfn.XLOOKUP($C20, UK!$C:$C, UK!S:S), _xlfn.XLOOKUP($C20, Domestic!$C:$C, Domestic!S:S), _xlfn.XLOOKUP($C20, MENA!$C:$C, MENA!Q:Q), _xlfn.XLOOKUP($C20, Amazon_USA_Air_Shipment!$C:$C, Amazon_USA_Air_Shipment!Q:Q))</f>
        <v>0</v>
      </c>
      <c r="AA20" s="276">
        <f>SUM(_xlfn.XLOOKUP($C20, 'INT-_Manjiri'!$C:$C, 'INT-_Manjiri'!R:R), _xlfn.XLOOKUP($C20, 'USA-_Sea_shipment'!$C:$C, 'USA-_Sea_shipment'!V:V), _xlfn.XLOOKUP($C20, UK!$C:$C, UK!T:T), _xlfn.XLOOKUP($C20, Domestic!$C:$C, Domestic!T:T), _xlfn.XLOOKUP($C20, MENA!$C:$C, MENA!R:R), _xlfn.XLOOKUP($C20, Amazon_USA_Air_Shipment!$C:$C, Amazon_USA_Air_Shipment!R:R))</f>
        <v>0</v>
      </c>
      <c r="AB20" s="276">
        <f>SUM(_xlfn.XLOOKUP($C20, 'INT-_Manjiri'!$C:$C, 'INT-_Manjiri'!S:S), _xlfn.XLOOKUP($C20, 'USA-_Sea_shipment'!$C:$C, 'USA-_Sea_shipment'!W:W), _xlfn.XLOOKUP($C20, UK!$C:$C, UK!U:U), _xlfn.XLOOKUP($C20, Domestic!$C:$C, Domestic!U:U), _xlfn.XLOOKUP($C20, MENA!$C:$C, MENA!S:S), _xlfn.XLOOKUP($C20, Amazon_USA_Air_Shipment!$C:$C, Amazon_USA_Air_Shipment!S:S))</f>
        <v>576</v>
      </c>
      <c r="AC20" s="276">
        <f>SUM(_xlfn.XLOOKUP($C20, 'INT-_Manjiri'!$C:$C, 'INT-_Manjiri'!T:T), _xlfn.XLOOKUP($C20, 'USA-_Sea_shipment'!$C:$C, 'USA-_Sea_shipment'!X:X), _xlfn.XLOOKUP($C20, UK!$C:$C, UK!V:V), _xlfn.XLOOKUP($C20, Domestic!$C:$C, Domestic!V:V), _xlfn.XLOOKUP($C20, MENA!$C:$C, MENA!T:T), _xlfn.XLOOKUP($C20, Amazon_USA_Air_Shipment!$C:$C, Amazon_USA_Air_Shipment!T:T))</f>
        <v>0</v>
      </c>
      <c r="AD20" s="276">
        <f>SUM(_xlfn.XLOOKUP($C20, 'INT-_Manjiri'!$C:$C, 'INT-_Manjiri'!U:U), _xlfn.XLOOKUP($C20, 'USA-_Sea_shipment'!$C:$C, 'USA-_Sea_shipment'!Y:Y), _xlfn.XLOOKUP($C20, UK!$C:$C, UK!W:W), _xlfn.XLOOKUP($C20, Domestic!$C:$C, Domestic!W:W), _xlfn.XLOOKUP($C20, MENA!$C:$C, MENA!U:U), _xlfn.XLOOKUP($C20, Amazon_USA_Air_Shipment!$C:$C, Amazon_USA_Air_Shipment!U:U))</f>
        <v>69</v>
      </c>
      <c r="AE20" s="264">
        <f t="shared" si="6"/>
        <v>837</v>
      </c>
      <c r="AF20" s="264">
        <f t="shared" si="7"/>
        <v>837</v>
      </c>
      <c r="AG20" s="265">
        <f t="shared" si="8"/>
        <v>0</v>
      </c>
      <c r="AH20" s="276">
        <f>SUM(_xlfn.XLOOKUP($C20, 'INT-_Manjiri'!$C:$C, 'INT-_Manjiri'!V:V), _xlfn.XLOOKUP($C20, 'USA-_Sea_shipment'!$C:$C, 'USA-_Sea_shipment'!AC:AC), _xlfn.XLOOKUP($C20, UK!$C:$C, UK!AA:AA), _xlfn.XLOOKUP($C20, Domestic!$C:$C, Domestic!X:X), _xlfn.XLOOKUP($C20, MENA!$C:$C, MENA!V:V), _xlfn.XLOOKUP($C20, Amazon_USA_Air_Shipment!$C:$C, Amazon_USA_Air_Shipment!V:V))</f>
        <v>0</v>
      </c>
      <c r="AI20" s="276">
        <f>SUM(_xlfn.XLOOKUP($C20, 'INT-_Manjiri'!$C:$C, 'INT-_Manjiri'!W:W), _xlfn.XLOOKUP($C20, 'USA-_Sea_shipment'!$C:$C, 'USA-_Sea_shipment'!AD:AD), _xlfn.XLOOKUP($C20, UK!$C:$C, UK!AB:AB), _xlfn.XLOOKUP($C20, Domestic!$C:$C, Domestic!Y:Y), _xlfn.XLOOKUP($C20, MENA!$C:$C, MENA!W:W), _xlfn.XLOOKUP($C20, Amazon_USA_Air_Shipment!$C:$C, Amazon_USA_Air_Shipment!W:W))</f>
        <v>0</v>
      </c>
      <c r="AJ20" s="276">
        <f>SUM(_xlfn.XLOOKUP($C20, 'INT-_Manjiri'!$C:$C, 'INT-_Manjiri'!X:X), _xlfn.XLOOKUP($C20, 'USA-_Sea_shipment'!$C:$C, 'USA-_Sea_shipment'!AE:AE), _xlfn.XLOOKUP($C20, UK!$C:$C, UK!AC:AC), _xlfn.XLOOKUP($C20, Domestic!$C:$C, Domestic!Z:Z), _xlfn.XLOOKUP($C20, MENA!$C:$C, MENA!X:X), _xlfn.XLOOKUP($C20, Amazon_USA_Air_Shipment!$C:$C, Amazon_USA_Air_Shipment!X:X))</f>
        <v>282</v>
      </c>
      <c r="AK20" s="276">
        <f>SUM(_xlfn.XLOOKUP($C20, 'INT-_Manjiri'!$C:$C, 'INT-_Manjiri'!Y:Y), _xlfn.XLOOKUP($C20, 'USA-_Sea_shipment'!$C:$C, 'USA-_Sea_shipment'!AF:AF), _xlfn.XLOOKUP($C20, UK!$C:$C, UK!AD:AD), _xlfn.XLOOKUP($C20, Domestic!$C:$C, Domestic!AA:AA), _xlfn.XLOOKUP($C20, MENA!$C:$C, MENA!Y:Y), _xlfn.XLOOKUP($C20, Amazon_USA_Air_Shipment!$C:$C, Amazon_USA_Air_Shipment!Y:Y))</f>
        <v>0</v>
      </c>
      <c r="AL20" s="276">
        <f>SUM(_xlfn.XLOOKUP($C20, 'INT-_Manjiri'!$C:$C, 'INT-_Manjiri'!Z:Z), _xlfn.XLOOKUP($C20, 'USA-_Sea_shipment'!$C:$C, 'USA-_Sea_shipment'!AG:AG), _xlfn.XLOOKUP($C20, UK!$C:$C, UK!AE:AE), _xlfn.XLOOKUP($C20, Domestic!$C:$C, Domestic!AB:AB), _xlfn.XLOOKUP($C20, MENA!$C:$C, MENA!Z:Z), _xlfn.XLOOKUP($C20, Amazon_USA_Air_Shipment!$C:$C, Amazon_USA_Air_Shipment!Z:Z))</f>
        <v>280</v>
      </c>
      <c r="AM20" s="276">
        <f>SUM(_xlfn.XLOOKUP($C20, 'INT-_Manjiri'!$C:$C, 'INT-_Manjiri'!AA:AA), _xlfn.XLOOKUP($C20, 'USA-_Sea_shipment'!$C:$C, 'USA-_Sea_shipment'!AH:AH), _xlfn.XLOOKUP($C20, UK!$C:$C, UK!AF:AF), _xlfn.XLOOKUP($C20, Domestic!$C:$C, Domestic!AC:AC), _xlfn.XLOOKUP($C20, MENA!$C:$C, MENA!AA:AA), _xlfn.XLOOKUP($C20, Amazon_USA_Air_Shipment!$C:$C, Amazon_USA_Air_Shipment!AA:AA))</f>
        <v>424</v>
      </c>
      <c r="AN20" s="276">
        <f>SUM(_xlfn.XLOOKUP($C20, 'INT-_Manjiri'!$C:$C, 'INT-_Manjiri'!AB:AB), _xlfn.XLOOKUP($C20, 'USA-_Sea_shipment'!$C:$C, 'USA-_Sea_shipment'!AI:AI), _xlfn.XLOOKUP($C20, UK!$C:$C, UK!AG:AG), _xlfn.XLOOKUP($C20, Domestic!$C:$C, Domestic!AD:AD), _xlfn.XLOOKUP($C20, MENA!$C:$C, MENA!AB:AB), _xlfn.XLOOKUP($C20, Amazon_USA_Air_Shipment!$C:$C, Amazon_USA_Air_Shipment!AB:AB))</f>
        <v>0</v>
      </c>
      <c r="AO20" s="264">
        <f t="shared" si="9"/>
        <v>986</v>
      </c>
      <c r="AP20" s="264">
        <f t="shared" si="10"/>
        <v>986</v>
      </c>
      <c r="AQ20" s="265">
        <f t="shared" si="11"/>
        <v>0</v>
      </c>
      <c r="AR20" s="276">
        <f>SUM(_xlfn.XLOOKUP($C20, 'INT-_Manjiri'!$C:$C, 'INT-_Manjiri'!AC:AC), _xlfn.XLOOKUP($C20, 'USA-_Sea_shipment'!$C:$C, 'USA-_Sea_shipment'!AT:AT), _xlfn.XLOOKUP($C20, UK!$C:$C, UK!AK:AK), _xlfn.XLOOKUP($C20, Domestic!$C:$C, Domestic!AE:AE), _xlfn.XLOOKUP($C20, MENA!$C:$C, MENA!AC:AC), _xlfn.XLOOKUP($C20, Amazon_USA_Air_Shipment!$C:$C, Amazon_USA_Air_Shipment!AC:AC))</f>
        <v>280</v>
      </c>
      <c r="AS20" s="276">
        <f>SUM(_xlfn.XLOOKUP($C20, 'INT-_Manjiri'!$C:$C, 'INT-_Manjiri'!AD:AD), _xlfn.XLOOKUP($C20, 'USA-_Sea_shipment'!$C:$C, 'USA-_Sea_shipment'!AU:AU), _xlfn.XLOOKUP($C20, UK!$C:$C, UK!AL:AL), _xlfn.XLOOKUP($C20, Domestic!$C:$C, Domestic!AF:AF), _xlfn.XLOOKUP($C20, MENA!$C:$C, MENA!AD:AD), _xlfn.XLOOKUP($C20, Amazon_USA_Air_Shipment!$C:$C, Amazon_USA_Air_Shipment!AD:AD))</f>
        <v>0</v>
      </c>
      <c r="AT20" s="276">
        <f>SUM(_xlfn.XLOOKUP($C20, 'INT-_Manjiri'!$C:$C, 'INT-_Manjiri'!AE:AE), _xlfn.XLOOKUP($C20, 'USA-_Sea_shipment'!$C:$C, 'USA-_Sea_shipment'!AV:AV), _xlfn.XLOOKUP($C20, UK!$C:$C, UK!AM:AM), _xlfn.XLOOKUP($C20, Domestic!$C:$C, Domestic!AG:AG), _xlfn.XLOOKUP($C20, MENA!$C:$C, MENA!AE:AE), _xlfn.XLOOKUP($C20, Amazon_USA_Air_Shipment!$C:$C, Amazon_USA_Air_Shipment!AE:AE))</f>
        <v>0</v>
      </c>
      <c r="AU20" s="276">
        <f>SUM(_xlfn.XLOOKUP($C20, 'INT-_Manjiri'!$C:$C, 'INT-_Manjiri'!AF:AF), _xlfn.XLOOKUP($C20, 'USA-_Sea_shipment'!$C:$C, 'USA-_Sea_shipment'!AW:AW), _xlfn.XLOOKUP($C20, UK!$C:$C, UK!AN:AN), _xlfn.XLOOKUP($C20, Domestic!$C:$C, Domestic!AH:AH), _xlfn.XLOOKUP($C20, MENA!$C:$C, MENA!AF:AF), _xlfn.XLOOKUP($C20, Amazon_USA_Air_Shipment!$C:$C, Amazon_USA_Air_Shipment!AF:AF))</f>
        <v>62</v>
      </c>
      <c r="AV20" s="276">
        <f>SUM(_xlfn.XLOOKUP($C20, 'INT-_Manjiri'!$C:$C, 'INT-_Manjiri'!AG:AG), _xlfn.XLOOKUP($C20, 'USA-_Sea_shipment'!$C:$C, 'USA-_Sea_shipment'!AX:AX), _xlfn.XLOOKUP($C20, UK!$C:$C, UK!AO:AO), _xlfn.XLOOKUP($C20, Domestic!$C:$C, Domestic!AI:AI), _xlfn.XLOOKUP($C20, MENA!$C:$C, MENA!AG:AG), _xlfn.XLOOKUP($C20, Amazon_USA_Air_Shipment!$C:$C, Amazon_USA_Air_Shipment!AG:AG))</f>
        <v>61</v>
      </c>
      <c r="AW20" s="276">
        <f>SUM(_xlfn.XLOOKUP($C20, 'INT-_Manjiri'!$C:$C, 'INT-_Manjiri'!AH:AH), _xlfn.XLOOKUP($C20, 'USA-_Sea_shipment'!$C:$C, 'USA-_Sea_shipment'!AY:AY), _xlfn.XLOOKUP($C20, UK!$C:$C, UK!AP:AP), _xlfn.XLOOKUP($C20, Domestic!$C:$C, Domestic!AJ:AJ), _xlfn.XLOOKUP($C20, MENA!$C:$C, MENA!AH:AH), _xlfn.XLOOKUP($C20, Amazon_USA_Air_Shipment!$C:$C, Amazon_USA_Air_Shipment!AH:AH))</f>
        <v>0</v>
      </c>
      <c r="AX20" s="276" t="e">
        <f>SUM(_xlfn.XLOOKUP($C20, 'INT-_Manjiri'!$C:$C, 'INT-_Manjiri'!AI:AI), _xlfn.XLOOKUP($C20, 'USA-_Sea_shipment'!$C:$C, 'USA-_Sea_shipment'!#REF!), _xlfn.XLOOKUP($C20, UK!$C:$C, UK!AQ:AQ), _xlfn.XLOOKUP($C20, Domestic!$C:$C, Domestic!AK:AK), _xlfn.XLOOKUP($C20, MENA!$C:$C, MENA!AI:AI), _xlfn.XLOOKUP($C20, Amazon_USA_Air_Shipment!$C:$C, Amazon_USA_Air_Shipment!AI:AI))</f>
        <v>#REF!</v>
      </c>
      <c r="AY20" s="276" t="e">
        <f>SUM(_xlfn.XLOOKUP($C20, 'INT-_Manjiri'!$C:$C, 'INT-_Manjiri'!AJ:AJ), _xlfn.XLOOKUP($C20, 'USA-_Sea_shipment'!$C:$C, 'USA-_Sea_shipment'!#REF!), _xlfn.XLOOKUP($C20, UK!$C:$C, UK!AR:AR), _xlfn.XLOOKUP($C20, Domestic!$C:$C, Domestic!AL:AL), _xlfn.XLOOKUP($C20, MENA!$C:$C, MENA!AJ:AJ), _xlfn.XLOOKUP($C20, Amazon_USA_Air_Shipment!$C:$C, Amazon_USA_Air_Shipment!AJ:AJ))</f>
        <v>#REF!</v>
      </c>
      <c r="AZ20" s="276" t="e">
        <f>SUM(_xlfn.XLOOKUP($C20, 'INT-_Manjiri'!$C:$C, 'INT-_Manjiri'!AK:AK), _xlfn.XLOOKUP($C20, 'USA-_Sea_shipment'!$C:$C, 'USA-_Sea_shipment'!#REF!), _xlfn.XLOOKUP($C20, UK!$C:$C, UK!AS:AS), _xlfn.XLOOKUP($C20, Domestic!$C:$C, Domestic!AM:AM), _xlfn.XLOOKUP($C20, MENA!$C:$C, MENA!AK:AK), _xlfn.XLOOKUP($C20, Amazon_USA_Air_Shipment!$C:$C, Amazon_USA_Air_Shipment!AK:AK))</f>
        <v>#REF!</v>
      </c>
      <c r="BA20" s="264" t="e">
        <f t="shared" si="12"/>
        <v>#REF!</v>
      </c>
      <c r="BB20" s="264" t="e">
        <f t="shared" si="13"/>
        <v>#REF!</v>
      </c>
      <c r="BC20" s="265">
        <f t="shared" si="14"/>
        <v>0</v>
      </c>
      <c r="BD20" s="264" t="e">
        <f t="shared" si="15"/>
        <v>#REF!</v>
      </c>
      <c r="BE20" s="264" t="e">
        <f t="shared" si="16"/>
        <v>#REF!</v>
      </c>
      <c r="BF20" s="264" t="e">
        <f t="shared" si="17"/>
        <v>#REF!</v>
      </c>
      <c r="BG20" s="266">
        <f t="shared" si="18"/>
        <v>0</v>
      </c>
      <c r="BH20" s="267"/>
      <c r="BI20" s="267"/>
      <c r="BJ20" s="268"/>
      <c r="BK20" s="269"/>
      <c r="BL20" s="270"/>
      <c r="BM20" s="110"/>
      <c r="BN20" s="110"/>
      <c r="BO20" s="110"/>
      <c r="BP20" s="110"/>
      <c r="BQ20" s="110"/>
      <c r="BR20" s="110"/>
      <c r="BS20" s="110"/>
      <c r="BT20" s="110"/>
    </row>
    <row r="21" spans="1:72" ht="30" customHeight="1">
      <c r="A21" s="282" t="s">
        <v>127</v>
      </c>
      <c r="B21" s="282"/>
      <c r="C21" s="282"/>
      <c r="D21" s="282"/>
      <c r="E21" s="274"/>
      <c r="F21" s="277">
        <f>SUM(F3:F19)</f>
        <v>0</v>
      </c>
      <c r="G21" s="277"/>
      <c r="H21" s="277">
        <f>SUM(H3:H19)</f>
        <v>0</v>
      </c>
      <c r="I21" s="277"/>
      <c r="J21" s="277">
        <f>SUM(J3:J19)</f>
        <v>0</v>
      </c>
      <c r="K21" s="277"/>
      <c r="L21" s="277"/>
      <c r="M21" s="277">
        <f t="shared" ref="M21:V21" si="20">SUM(M3:M19)</f>
        <v>0</v>
      </c>
      <c r="N21" s="277">
        <f t="shared" si="20"/>
        <v>0</v>
      </c>
      <c r="O21" s="277">
        <f t="shared" si="20"/>
        <v>0</v>
      </c>
      <c r="P21" s="277">
        <f t="shared" si="20"/>
        <v>0</v>
      </c>
      <c r="Q21" s="277">
        <f t="shared" si="20"/>
        <v>0</v>
      </c>
      <c r="R21" s="277">
        <f t="shared" si="20"/>
        <v>0</v>
      </c>
      <c r="S21" s="277">
        <f t="shared" si="20"/>
        <v>0</v>
      </c>
      <c r="T21" s="277">
        <f t="shared" si="20"/>
        <v>0</v>
      </c>
      <c r="U21" s="278">
        <f t="shared" si="20"/>
        <v>0</v>
      </c>
      <c r="V21" s="279">
        <f t="shared" si="20"/>
        <v>0</v>
      </c>
      <c r="W21" s="192">
        <f t="shared" si="5"/>
        <v>0</v>
      </c>
      <c r="X21" s="277" t="e">
        <f t="shared" ref="X21:BF21" si="21">SUM(X3:X19)</f>
        <v>#N/A</v>
      </c>
      <c r="Y21" s="277" t="e">
        <f t="shared" si="21"/>
        <v>#N/A</v>
      </c>
      <c r="Z21" s="277" t="e">
        <f t="shared" si="21"/>
        <v>#N/A</v>
      </c>
      <c r="AA21" s="277" t="e">
        <f t="shared" si="21"/>
        <v>#N/A</v>
      </c>
      <c r="AB21" s="277" t="e">
        <f t="shared" si="21"/>
        <v>#N/A</v>
      </c>
      <c r="AC21" s="277" t="e">
        <f t="shared" si="21"/>
        <v>#N/A</v>
      </c>
      <c r="AD21" s="277" t="e">
        <f t="shared" si="21"/>
        <v>#N/A</v>
      </c>
      <c r="AE21" s="278" t="e">
        <f t="shared" si="21"/>
        <v>#N/A</v>
      </c>
      <c r="AF21" s="279" t="e">
        <f t="shared" si="21"/>
        <v>#N/A</v>
      </c>
      <c r="AG21" s="279">
        <f t="shared" si="21"/>
        <v>0</v>
      </c>
      <c r="AH21" s="277" t="e">
        <f t="shared" si="21"/>
        <v>#N/A</v>
      </c>
      <c r="AI21" s="277" t="e">
        <f t="shared" si="21"/>
        <v>#N/A</v>
      </c>
      <c r="AJ21" s="277" t="e">
        <f t="shared" si="21"/>
        <v>#N/A</v>
      </c>
      <c r="AK21" s="277" t="e">
        <f t="shared" si="21"/>
        <v>#N/A</v>
      </c>
      <c r="AL21" s="277" t="e">
        <f t="shared" si="21"/>
        <v>#N/A</v>
      </c>
      <c r="AM21" s="277" t="e">
        <f t="shared" si="21"/>
        <v>#N/A</v>
      </c>
      <c r="AN21" s="277" t="e">
        <f t="shared" si="21"/>
        <v>#N/A</v>
      </c>
      <c r="AO21" s="279" t="e">
        <f t="shared" si="21"/>
        <v>#N/A</v>
      </c>
      <c r="AP21" s="278" t="e">
        <f t="shared" si="21"/>
        <v>#N/A</v>
      </c>
      <c r="AQ21" s="279">
        <f t="shared" si="21"/>
        <v>0</v>
      </c>
      <c r="AR21" s="277" t="e">
        <f t="shared" si="21"/>
        <v>#N/A</v>
      </c>
      <c r="AS21" s="277" t="e">
        <f t="shared" si="21"/>
        <v>#N/A</v>
      </c>
      <c r="AT21" s="277" t="e">
        <f t="shared" si="21"/>
        <v>#N/A</v>
      </c>
      <c r="AU21" s="277" t="e">
        <f t="shared" si="21"/>
        <v>#N/A</v>
      </c>
      <c r="AV21" s="277" t="e">
        <f t="shared" si="21"/>
        <v>#N/A</v>
      </c>
      <c r="AW21" s="277" t="e">
        <f t="shared" si="21"/>
        <v>#N/A</v>
      </c>
      <c r="AX21" s="277" t="e">
        <f t="shared" si="21"/>
        <v>#REF!</v>
      </c>
      <c r="AY21" s="277" t="e">
        <f t="shared" si="21"/>
        <v>#REF!</v>
      </c>
      <c r="AZ21" s="277" t="e">
        <f t="shared" si="21"/>
        <v>#REF!</v>
      </c>
      <c r="BA21" s="278" t="e">
        <f t="shared" si="21"/>
        <v>#REF!</v>
      </c>
      <c r="BB21" s="279" t="e">
        <f t="shared" si="21"/>
        <v>#REF!</v>
      </c>
      <c r="BC21" s="279">
        <f t="shared" si="21"/>
        <v>0</v>
      </c>
      <c r="BD21" s="280" t="e">
        <f t="shared" si="21"/>
        <v>#REF!</v>
      </c>
      <c r="BE21" s="281" t="e">
        <f t="shared" si="21"/>
        <v>#REF!</v>
      </c>
      <c r="BF21" s="281" t="e">
        <f t="shared" si="21"/>
        <v>#REF!</v>
      </c>
      <c r="BG21" s="266"/>
      <c r="BH21" s="267"/>
      <c r="BI21" s="267"/>
      <c r="BJ21" s="268"/>
      <c r="BK21" s="269"/>
      <c r="BL21" s="270"/>
      <c r="BM21" s="110"/>
      <c r="BN21" s="110"/>
      <c r="BO21" s="110"/>
      <c r="BP21" s="110"/>
      <c r="BQ21" s="110"/>
      <c r="BR21" s="110"/>
      <c r="BS21" s="110"/>
      <c r="BT21" s="110"/>
    </row>
  </sheetData>
  <mergeCells count="1">
    <mergeCell ref="A21:D21"/>
  </mergeCells>
  <conditionalFormatting sqref="N3:T20 X3:AD20 AH3:AN20 AR3:AZ20">
    <cfRule type="cellIs" dxfId="7" priority="6" stopIfTrue="1" operator="lessThanOrEqual">
      <formula>0</formula>
    </cfRule>
  </conditionalFormatting>
  <printOptions horizontalCentered="1" gridLines="1"/>
  <pageMargins left="0.70000000000000007" right="0.70000000000000007" top="0.75000000000000011" bottom="0.75000000000000011" header="0" footer="0"/>
  <pageSetup paperSize="0" fitToHeight="0" pageOrder="overThenDown" orientation="landscape" cellComments="asDisplayed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FD3B7-7F32-4AB9-9409-A34C5917EEA0}">
  <dimension ref="A1:J18"/>
  <sheetViews>
    <sheetView workbookViewId="0"/>
  </sheetViews>
  <sheetFormatPr defaultRowHeight="12.65"/>
  <cols>
    <col min="1" max="1" width="17" bestFit="1" customWidth="1"/>
    <col min="2" max="2" width="18.6328125" bestFit="1" customWidth="1"/>
    <col min="3" max="3" width="36.36328125" customWidth="1"/>
    <col min="4" max="4" width="4.6328125" bestFit="1" customWidth="1"/>
    <col min="5" max="5" width="7.453125" bestFit="1" customWidth="1"/>
    <col min="6" max="6" width="6.6328125" bestFit="1" customWidth="1"/>
    <col min="7" max="7" width="8" bestFit="1" customWidth="1"/>
    <col min="8" max="8" width="8" style="287" bestFit="1" customWidth="1"/>
    <col min="9" max="9" width="4.90625" style="287" bestFit="1" customWidth="1"/>
    <col min="10" max="10" width="6.54296875" style="287" bestFit="1" customWidth="1"/>
    <col min="11" max="11" width="8.7265625" customWidth="1"/>
  </cols>
  <sheetData>
    <row r="1" spans="1:10" ht="65">
      <c r="A1" s="172" t="s">
        <v>6</v>
      </c>
      <c r="B1" s="172" t="s">
        <v>59</v>
      </c>
      <c r="C1" s="172" t="s">
        <v>108</v>
      </c>
      <c r="D1" s="172" t="s">
        <v>109</v>
      </c>
      <c r="E1" s="172" t="s">
        <v>155</v>
      </c>
      <c r="F1" s="172" t="s">
        <v>209</v>
      </c>
      <c r="G1" s="172" t="s">
        <v>210</v>
      </c>
      <c r="H1" s="283" t="s">
        <v>211</v>
      </c>
      <c r="I1" s="283" t="s">
        <v>212</v>
      </c>
      <c r="J1" s="283" t="s">
        <v>213</v>
      </c>
    </row>
    <row r="2" spans="1:10" ht="13">
      <c r="A2" s="284" t="str">
        <f>Projection_!C4</f>
        <v>Ghee</v>
      </c>
      <c r="B2" s="284" t="str">
        <f>Projection_!A4</f>
        <v>FG00002</v>
      </c>
      <c r="C2" s="284" t="str">
        <f>Projection_!B4</f>
        <v>A2 Cultured Ghee - 500 ml</v>
      </c>
      <c r="D2" s="285">
        <f>Projection_!D4</f>
        <v>0.5</v>
      </c>
      <c r="E2" s="284">
        <f>IFERROR(_xlfn.XLOOKUP(B2,Summary!D:D,Summary!O:O),0)</f>
        <v>37298.25</v>
      </c>
      <c r="F2" s="284" t="str">
        <f>IFERROR(_xlfn.XLOOKUP(B2,Domestic!C:C,Domestic!BI:BI),"")</f>
        <v>10A</v>
      </c>
      <c r="G2" s="284">
        <f>IFERROR(_xlfn.XLOOKUP(B2,Domestic!C:C,Domestic!BJ:BJ),0)</f>
        <v>15</v>
      </c>
      <c r="H2" s="286">
        <f t="shared" ref="H2:H18" si="0">IFERROR(E2/G2,0)</f>
        <v>2486.5500000000002</v>
      </c>
      <c r="I2" s="286">
        <v>0.2</v>
      </c>
      <c r="J2" s="286">
        <f t="shared" ref="J2:J18" si="1">H2*(1+I2)</f>
        <v>2983.86</v>
      </c>
    </row>
    <row r="3" spans="1:10" ht="13">
      <c r="A3" s="284" t="str">
        <f>Projection_!C5</f>
        <v>Ghee</v>
      </c>
      <c r="B3" s="284" t="str">
        <f>Projection_!A5</f>
        <v>FG00562</v>
      </c>
      <c r="C3" s="284" t="str">
        <f>Projection_!B5</f>
        <v>A2 Cultured Ghee - 250 ml</v>
      </c>
      <c r="D3" s="285">
        <f>Projection_!D5</f>
        <v>0.25</v>
      </c>
      <c r="E3" s="284">
        <f>IFERROR(_xlfn.XLOOKUP(B3,Summary!D:D,Summary!O:O),0)</f>
        <v>20236.7</v>
      </c>
      <c r="F3" s="284" t="str">
        <f>IFERROR(_xlfn.XLOOKUP(B3,Domestic!C:C,Domestic!BI:BI),"")</f>
        <v>10A</v>
      </c>
      <c r="G3" s="284">
        <f>IFERROR(_xlfn.XLOOKUP(B3,Domestic!C:C,Domestic!BJ:BJ),0)</f>
        <v>15</v>
      </c>
      <c r="H3" s="286">
        <f t="shared" si="0"/>
        <v>1349.1133333333335</v>
      </c>
      <c r="I3" s="286">
        <v>0.2</v>
      </c>
      <c r="J3" s="286">
        <f t="shared" si="1"/>
        <v>1618.9360000000001</v>
      </c>
    </row>
    <row r="4" spans="1:10" ht="13">
      <c r="A4" s="284" t="str">
        <f>Projection_!C6</f>
        <v>Ghee</v>
      </c>
      <c r="B4" s="284" t="str">
        <f>Projection_!A6</f>
        <v>FG00703</v>
      </c>
      <c r="C4" s="284" t="str">
        <f>Projection_!B6</f>
        <v>A2 Cultured Ghee - 100 ml</v>
      </c>
      <c r="D4" s="285">
        <f>Projection_!D6</f>
        <v>0.1</v>
      </c>
      <c r="E4" s="284">
        <f>IFERROR(_xlfn.XLOOKUP(B4,Summary!D:D,Summary!O:O),0)</f>
        <v>14077.7</v>
      </c>
      <c r="F4" s="284">
        <f>IFERROR(_xlfn.XLOOKUP(B4,Domestic!C:C,Domestic!BI:BI),"")</f>
        <v>11</v>
      </c>
      <c r="G4" s="284">
        <f>IFERROR(_xlfn.XLOOKUP(B4,Domestic!C:C,Domestic!BJ:BJ),0)</f>
        <v>28</v>
      </c>
      <c r="H4" s="286">
        <f t="shared" si="0"/>
        <v>502.77500000000003</v>
      </c>
      <c r="I4" s="286">
        <v>0.2</v>
      </c>
      <c r="J4" s="286">
        <f t="shared" si="1"/>
        <v>603.33000000000004</v>
      </c>
    </row>
    <row r="5" spans="1:10" ht="13">
      <c r="A5" s="284" t="str">
        <f>Projection_!C7</f>
        <v>Ghee</v>
      </c>
      <c r="B5" s="284" t="str">
        <f>Projection_!A7</f>
        <v>FG00563</v>
      </c>
      <c r="C5" s="284" t="str">
        <f>Projection_!B7</f>
        <v>A2 Cultured Ghee - 1000 ml</v>
      </c>
      <c r="D5" s="285">
        <f>Projection_!D7</f>
        <v>1</v>
      </c>
      <c r="E5" s="284">
        <f>IFERROR(_xlfn.XLOOKUP(B5,Summary!D:D,Summary!O:O),0)</f>
        <v>11040.6</v>
      </c>
      <c r="F5" s="284" t="str">
        <f>IFERROR(_xlfn.XLOOKUP(B5,Domestic!C:C,Domestic!BI:BI),"")</f>
        <v>10C</v>
      </c>
      <c r="G5" s="284">
        <f>IFERROR(_xlfn.XLOOKUP(B5,Domestic!C:C,Domestic!BJ:BJ),0)</f>
        <v>10</v>
      </c>
      <c r="H5" s="286">
        <f t="shared" si="0"/>
        <v>1104.06</v>
      </c>
      <c r="I5" s="286">
        <v>0.2</v>
      </c>
      <c r="J5" s="286">
        <f t="shared" si="1"/>
        <v>1324.8719999999998</v>
      </c>
    </row>
    <row r="6" spans="1:10" ht="13">
      <c r="A6" s="284" t="str">
        <f>Projection_!C8</f>
        <v>ghee</v>
      </c>
      <c r="B6" s="284" t="str">
        <f>Projection_!A8</f>
        <v>FG01068</v>
      </c>
      <c r="C6" s="284" t="str">
        <f>Projection_!B8</f>
        <v>Non cultured ghee 1l</v>
      </c>
      <c r="D6" s="285">
        <f>Projection_!D8</f>
        <v>1</v>
      </c>
      <c r="E6" s="284">
        <f>IFERROR(_xlfn.XLOOKUP(B6,Summary!D:D,Summary!O:O),0)</f>
        <v>6049</v>
      </c>
      <c r="F6" s="284">
        <f>IFERROR(_xlfn.XLOOKUP(B6,Domestic!C:C,Domestic!BI:BI),"")</f>
        <v>0</v>
      </c>
      <c r="G6" s="284">
        <f>IFERROR(_xlfn.XLOOKUP(B6,Domestic!C:C,Domestic!BJ:BJ),0)</f>
        <v>0</v>
      </c>
      <c r="H6" s="286">
        <f t="shared" si="0"/>
        <v>0</v>
      </c>
      <c r="I6" s="286">
        <v>0.2</v>
      </c>
      <c r="J6" s="286">
        <f t="shared" si="1"/>
        <v>0</v>
      </c>
    </row>
    <row r="7" spans="1:10" ht="13">
      <c r="A7" s="284" t="str">
        <f>Projection_!C9</f>
        <v>Ghee</v>
      </c>
      <c r="B7" s="284" t="str">
        <f>Projection_!A9</f>
        <v>FG00043</v>
      </c>
      <c r="C7" s="284" t="str">
        <f>Projection_!B9</f>
        <v>Buffalo Ghee - A2 Cultured 500ml</v>
      </c>
      <c r="D7" s="285">
        <f>Projection_!D9</f>
        <v>0.5</v>
      </c>
      <c r="E7" s="284">
        <f>IFERROR(_xlfn.XLOOKUP(B7,Summary!D:D,Summary!O:O),0)</f>
        <v>22881</v>
      </c>
      <c r="F7" s="284" t="str">
        <f>IFERROR(_xlfn.XLOOKUP(B7,Domestic!C:C,Domestic!BI:BI),"")</f>
        <v>10C</v>
      </c>
      <c r="G7" s="284">
        <f>IFERROR(_xlfn.XLOOKUP(B7,Domestic!C:C,Domestic!BJ:BJ),0)</f>
        <v>4</v>
      </c>
      <c r="H7" s="286">
        <f t="shared" si="0"/>
        <v>5720.25</v>
      </c>
      <c r="I7" s="286">
        <v>0.2</v>
      </c>
      <c r="J7" s="286">
        <f t="shared" si="1"/>
        <v>6864.3</v>
      </c>
    </row>
    <row r="8" spans="1:10" ht="13">
      <c r="A8" s="284" t="str">
        <f>Projection_!C10</f>
        <v>Ghee</v>
      </c>
      <c r="B8" s="284" t="str">
        <f>Projection_!A10</f>
        <v>FG00904</v>
      </c>
      <c r="C8" s="284" t="str">
        <f>Projection_!B10</f>
        <v>A2 Desi Cow Ghee - 500ml</v>
      </c>
      <c r="D8" s="285">
        <f>Projection_!D10</f>
        <v>0.5</v>
      </c>
      <c r="E8" s="284">
        <f>IFERROR(_xlfn.XLOOKUP(B8,Summary!D:D,Summary!O:O),0)</f>
        <v>10468.700000000001</v>
      </c>
      <c r="F8" s="284" t="str">
        <f>IFERROR(_xlfn.XLOOKUP(B8,Domestic!C:C,Domestic!BI:BI),"")</f>
        <v>10A</v>
      </c>
      <c r="G8" s="284">
        <f>IFERROR(_xlfn.XLOOKUP(B8,Domestic!C:C,Domestic!BJ:BJ),0)</f>
        <v>15</v>
      </c>
      <c r="H8" s="286">
        <f t="shared" si="0"/>
        <v>697.91333333333341</v>
      </c>
      <c r="I8" s="286">
        <v>0.2</v>
      </c>
      <c r="J8" s="286">
        <f t="shared" si="1"/>
        <v>837.49600000000009</v>
      </c>
    </row>
    <row r="9" spans="1:10" ht="13">
      <c r="A9" s="284" t="str">
        <f>Projection_!C11</f>
        <v>Ghee</v>
      </c>
      <c r="B9" s="284" t="str">
        <f>Projection_!A11</f>
        <v>FG00097</v>
      </c>
      <c r="C9" s="284" t="str">
        <f>Projection_!B11</f>
        <v>Full Moon Cultured Ghee - 500 ml</v>
      </c>
      <c r="D9" s="285">
        <f>Projection_!D11</f>
        <v>0.5</v>
      </c>
      <c r="E9" s="284">
        <f>IFERROR(_xlfn.XLOOKUP(B9,Summary!D:D,Summary!O:O),0)</f>
        <v>3303.3</v>
      </c>
      <c r="F9" s="284" t="str">
        <f>IFERROR(_xlfn.XLOOKUP(B9,Domestic!C:C,Domestic!BI:BI),"")</f>
        <v>10C</v>
      </c>
      <c r="G9" s="284">
        <f>IFERROR(_xlfn.XLOOKUP(B9,Domestic!C:C,Domestic!BJ:BJ),0)</f>
        <v>10</v>
      </c>
      <c r="H9" s="286">
        <f t="shared" si="0"/>
        <v>330.33000000000004</v>
      </c>
      <c r="I9" s="286">
        <v>0.2</v>
      </c>
      <c r="J9" s="286">
        <f t="shared" si="1"/>
        <v>396.39600000000002</v>
      </c>
    </row>
    <row r="10" spans="1:10" ht="13">
      <c r="A10" s="284" t="str">
        <f>Projection_!C12</f>
        <v>Ghee</v>
      </c>
      <c r="B10" s="284" t="str">
        <f>Projection_!A12</f>
        <v>FG00566</v>
      </c>
      <c r="C10" s="284" t="str">
        <f>Projection_!B12</f>
        <v xml:space="preserve">A2 Cultured Ghee - 5 Ltr </v>
      </c>
      <c r="D10" s="285">
        <f>Projection_!D12</f>
        <v>5</v>
      </c>
      <c r="E10" s="284">
        <f>IFERROR(_xlfn.XLOOKUP(B10,Summary!D:D,Summary!O:O),0)</f>
        <v>1035.25</v>
      </c>
      <c r="F10" s="284" t="str">
        <f>IFERROR(_xlfn.XLOOKUP(B10,Domestic!C:C,Domestic!BI:BI),"")</f>
        <v>10C</v>
      </c>
      <c r="G10" s="284">
        <f>IFERROR(_xlfn.XLOOKUP(B10,Domestic!C:C,Domestic!BJ:BJ),0)</f>
        <v>4</v>
      </c>
      <c r="H10" s="286">
        <f t="shared" si="0"/>
        <v>258.8125</v>
      </c>
      <c r="I10" s="286">
        <v>0.2</v>
      </c>
      <c r="J10" s="286">
        <f t="shared" si="1"/>
        <v>310.57499999999999</v>
      </c>
    </row>
    <row r="11" spans="1:10" ht="13">
      <c r="A11" s="284" t="str">
        <f>Projection_!C13</f>
        <v>breakfast and snacks</v>
      </c>
      <c r="B11" s="284" t="str">
        <f>Projection_!A13</f>
        <v>FG00052</v>
      </c>
      <c r="C11" s="284" t="str">
        <f>Projection_!B13</f>
        <v>Colostrum Powder, Desi Gir Cow - 100 gm</v>
      </c>
      <c r="D11" s="285">
        <f>Projection_!D13</f>
        <v>0.1</v>
      </c>
      <c r="E11" s="284">
        <f>IFERROR(_xlfn.XLOOKUP(B11,Summary!D:D,Summary!O:O),0)</f>
        <v>1712</v>
      </c>
      <c r="F11" s="284" t="str">
        <f>IFERROR(_xlfn.XLOOKUP(B11,Domestic!C:C,Domestic!BI:BI),"")</f>
        <v>10A</v>
      </c>
      <c r="G11" s="284">
        <f>IFERROR(_xlfn.XLOOKUP(B11,Domestic!C:C,Domestic!BJ:BJ),0)</f>
        <v>15</v>
      </c>
      <c r="H11" s="286">
        <f t="shared" si="0"/>
        <v>114.13333333333334</v>
      </c>
      <c r="I11" s="286">
        <v>0.2</v>
      </c>
      <c r="J11" s="286">
        <f t="shared" si="1"/>
        <v>136.96</v>
      </c>
    </row>
    <row r="12" spans="1:10" ht="13">
      <c r="A12" s="284" t="str">
        <f>Projection_!C14</f>
        <v>Ghee</v>
      </c>
      <c r="B12" s="284" t="str">
        <f>Projection_!A14</f>
        <v>GHEE1000_STEEL_CAN</v>
      </c>
      <c r="C12" s="284" t="str">
        <f>Projection_!B14</f>
        <v>Steel Can Ghee 1 Ltr</v>
      </c>
      <c r="D12" s="285">
        <f>Projection_!D14</f>
        <v>1</v>
      </c>
      <c r="E12" s="284">
        <f>IFERROR(_xlfn.XLOOKUP(B12,Summary!D:D,Summary!O:O),0)</f>
        <v>413.05</v>
      </c>
      <c r="F12" s="284" t="str">
        <f>IFERROR(_xlfn.XLOOKUP(B12,Domestic!C:C,Domestic!BI:BI),"")</f>
        <v>10C</v>
      </c>
      <c r="G12" s="284">
        <f>IFERROR(_xlfn.XLOOKUP(B12,Domestic!C:C,Domestic!BJ:BJ),0)</f>
        <v>10</v>
      </c>
      <c r="H12" s="286">
        <f t="shared" si="0"/>
        <v>41.305</v>
      </c>
      <c r="I12" s="286">
        <v>0.2</v>
      </c>
      <c r="J12" s="286">
        <f t="shared" si="1"/>
        <v>49.565999999999995</v>
      </c>
    </row>
    <row r="13" spans="1:10" ht="13">
      <c r="A13" s="284" t="str">
        <f>Projection_!C15</f>
        <v>Ghee</v>
      </c>
      <c r="B13" s="284" t="str">
        <f>Projection_!A15</f>
        <v>FG00024</v>
      </c>
      <c r="C13" s="284" t="str">
        <f>Projection_!B15</f>
        <v>Ashwagandha Ghee - 250 gm</v>
      </c>
      <c r="D13" s="285">
        <f>Projection_!D15</f>
        <v>0.25</v>
      </c>
      <c r="E13" s="284">
        <f>IFERROR(_xlfn.XLOOKUP(B13,Summary!D:D,Summary!O:O),0)</f>
        <v>309</v>
      </c>
      <c r="F13" s="284">
        <f>IFERROR(_xlfn.XLOOKUP(B13,Domestic!C:C,Domestic!BI:BI),"")</f>
        <v>0</v>
      </c>
      <c r="G13" s="284">
        <f>IFERROR(_xlfn.XLOOKUP(B13,Domestic!C:C,Domestic!BJ:BJ),0)</f>
        <v>0</v>
      </c>
      <c r="H13" s="286">
        <f t="shared" si="0"/>
        <v>0</v>
      </c>
      <c r="I13" s="286">
        <v>0.2</v>
      </c>
      <c r="J13" s="286">
        <f t="shared" si="1"/>
        <v>0</v>
      </c>
    </row>
    <row r="14" spans="1:10" ht="13">
      <c r="A14" s="284" t="str">
        <f>Projection_!C16</f>
        <v>Others</v>
      </c>
      <c r="B14" s="284" t="str">
        <f>Projection_!A16</f>
        <v>FG00005</v>
      </c>
      <c r="C14" s="284" t="str">
        <f>Projection_!B16</f>
        <v>Butter/Makhan - 200 gm</v>
      </c>
      <c r="D14" s="285">
        <f>Projection_!D16</f>
        <v>0.2</v>
      </c>
      <c r="E14" s="284">
        <f>IFERROR(_xlfn.XLOOKUP(B14,Summary!D:D,Summary!O:O),0)</f>
        <v>186</v>
      </c>
      <c r="F14" s="284" t="str">
        <f>IFERROR(_xlfn.XLOOKUP(B14,Domestic!C:C,Domestic!BI:BI),"")</f>
        <v>10B</v>
      </c>
      <c r="G14" s="284">
        <f>IFERROR(_xlfn.XLOOKUP(B14,Domestic!C:C,Domestic!BJ:BJ),0)</f>
        <v>24</v>
      </c>
      <c r="H14" s="286">
        <f t="shared" si="0"/>
        <v>7.75</v>
      </c>
      <c r="I14" s="286">
        <v>0.2</v>
      </c>
      <c r="J14" s="286">
        <f t="shared" si="1"/>
        <v>9.2999999999999989</v>
      </c>
    </row>
    <row r="15" spans="1:10" ht="13">
      <c r="A15" s="284" t="str">
        <f>Projection_!C17</f>
        <v>Ghee</v>
      </c>
      <c r="B15" s="284" t="str">
        <f>Projection_!A17</f>
        <v>FG00227</v>
      </c>
      <c r="C15" s="284" t="str">
        <f>Projection_!B17</f>
        <v>Shatavari Ghee - 250 gm</v>
      </c>
      <c r="D15" s="285">
        <f>Projection_!D17</f>
        <v>0.25</v>
      </c>
      <c r="E15" s="284">
        <f>IFERROR(_xlfn.XLOOKUP(B15,Summary!D:D,Summary!O:O),0)</f>
        <v>319</v>
      </c>
      <c r="F15" s="284">
        <f>IFERROR(_xlfn.XLOOKUP(B15,Domestic!C:C,Domestic!BI:BI),"")</f>
        <v>0</v>
      </c>
      <c r="G15" s="284">
        <f>IFERROR(_xlfn.XLOOKUP(B15,Domestic!C:C,Domestic!BJ:BJ),0)</f>
        <v>0</v>
      </c>
      <c r="H15" s="286">
        <f t="shared" si="0"/>
        <v>0</v>
      </c>
      <c r="I15" s="286">
        <v>0.2</v>
      </c>
      <c r="J15" s="286">
        <f t="shared" si="1"/>
        <v>0</v>
      </c>
    </row>
    <row r="16" spans="1:10" ht="13">
      <c r="A16" s="284" t="str">
        <f>Projection_!C18</f>
        <v>Ghee</v>
      </c>
      <c r="B16" s="284" t="str">
        <f>Projection_!A18</f>
        <v>FG00039</v>
      </c>
      <c r="C16" s="284" t="str">
        <f>Projection_!B18</f>
        <v>Brahmi Ghee - 250 gm</v>
      </c>
      <c r="D16" s="285">
        <f>Projection_!D18</f>
        <v>0.25</v>
      </c>
      <c r="E16" s="284">
        <f>IFERROR(_xlfn.XLOOKUP(B16,Summary!D:D,Summary!O:O),0)</f>
        <v>253</v>
      </c>
      <c r="F16" s="284" t="str">
        <f>IFERROR(_xlfn.XLOOKUP(B16,Domestic!C:C,Domestic!BI:BI),"")</f>
        <v>10B</v>
      </c>
      <c r="G16" s="284">
        <f>IFERROR(_xlfn.XLOOKUP(B16,Domestic!C:C,Domestic!BJ:BJ),0)</f>
        <v>24</v>
      </c>
      <c r="H16" s="286">
        <f t="shared" si="0"/>
        <v>10.541666666666666</v>
      </c>
      <c r="I16" s="286">
        <v>0.2</v>
      </c>
      <c r="J16" s="286">
        <f t="shared" si="1"/>
        <v>12.649999999999999</v>
      </c>
    </row>
    <row r="17" spans="1:10" ht="13">
      <c r="A17" s="284" t="str">
        <f>Projection_!C19</f>
        <v>Ghee</v>
      </c>
      <c r="B17" s="284" t="str">
        <f>Projection_!A19</f>
        <v>FG00265</v>
      </c>
      <c r="C17" s="284" t="str">
        <f>Projection_!B19</f>
        <v>Turmeric Ghee 250gm</v>
      </c>
      <c r="D17" s="285">
        <f>Projection_!D19</f>
        <v>0.25</v>
      </c>
      <c r="E17" s="284">
        <f>IFERROR(_xlfn.XLOOKUP(B17,Summary!D:D,Summary!O:O),0)</f>
        <v>149</v>
      </c>
      <c r="F17" s="284" t="str">
        <f>IFERROR(_xlfn.XLOOKUP(B17,Domestic!C:C,Domestic!BI:BI),"")</f>
        <v>10B</v>
      </c>
      <c r="G17" s="284">
        <f>IFERROR(_xlfn.XLOOKUP(B17,Domestic!C:C,Domestic!BJ:BJ),0)</f>
        <v>24</v>
      </c>
      <c r="H17" s="286">
        <f t="shared" si="0"/>
        <v>6.208333333333333</v>
      </c>
      <c r="I17" s="286">
        <v>0.2</v>
      </c>
      <c r="J17" s="286">
        <f t="shared" si="1"/>
        <v>7.4499999999999993</v>
      </c>
    </row>
    <row r="18" spans="1:10" ht="13">
      <c r="A18" s="284" t="str">
        <f>Projection_!C20</f>
        <v>Ghee</v>
      </c>
      <c r="B18" s="284" t="str">
        <f>Projection_!A20</f>
        <v>FG00596</v>
      </c>
      <c r="C18" s="284" t="str">
        <f>Projection_!B20</f>
        <v>Tulsi Ghee - 250gm</v>
      </c>
      <c r="D18" s="285">
        <f>Projection_!D20</f>
        <v>0.25</v>
      </c>
      <c r="E18" s="284">
        <f>IFERROR(_xlfn.XLOOKUP(B18,Summary!D:D,Summary!O:O),0)</f>
        <v>75</v>
      </c>
      <c r="F18" s="284">
        <f>IFERROR(_xlfn.XLOOKUP(B18,Domestic!C:C,Domestic!BI:BI),"")</f>
        <v>0</v>
      </c>
      <c r="G18" s="284">
        <f>IFERROR(_xlfn.XLOOKUP(B18,Domestic!C:C,Domestic!BJ:BJ),0)</f>
        <v>0</v>
      </c>
      <c r="H18" s="286">
        <f t="shared" si="0"/>
        <v>0</v>
      </c>
      <c r="I18" s="286">
        <v>0.2</v>
      </c>
      <c r="J18" s="286">
        <f t="shared" si="1"/>
        <v>0</v>
      </c>
    </row>
  </sheetData>
  <pageMargins left="0.70000000000000007" right="0.70000000000000007" top="0.75" bottom="0.75" header="0.30000000000000004" footer="0.30000000000000004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87A72-E4E6-4C69-860E-2F4E2A5B08D8}">
  <dimension ref="A1:O18"/>
  <sheetViews>
    <sheetView workbookViewId="0"/>
  </sheetViews>
  <sheetFormatPr defaultRowHeight="12.65"/>
  <cols>
    <col min="1" max="1" width="17" bestFit="1" customWidth="1"/>
    <col min="2" max="2" width="36.36328125" customWidth="1"/>
    <col min="3" max="3" width="7.453125" bestFit="1" customWidth="1"/>
    <col min="4" max="4" width="2.7265625" bestFit="1" customWidth="1"/>
    <col min="5" max="6" width="7.453125" bestFit="1" customWidth="1"/>
    <col min="7" max="7" width="8.1796875" style="290" bestFit="1" customWidth="1"/>
    <col min="8" max="8" width="8.7265625" customWidth="1"/>
    <col min="9" max="9" width="17" bestFit="1" customWidth="1"/>
    <col min="10" max="10" width="36.36328125" customWidth="1"/>
    <col min="11" max="11" width="7.453125" bestFit="1" customWidth="1"/>
    <col min="12" max="12" width="2.7265625" bestFit="1" customWidth="1"/>
    <col min="13" max="14" width="7.453125" bestFit="1" customWidth="1"/>
    <col min="15" max="15" width="8.1796875" style="290" bestFit="1" customWidth="1"/>
    <col min="16" max="16" width="8.7265625" customWidth="1"/>
  </cols>
  <sheetData>
    <row r="1" spans="1:15" ht="52">
      <c r="A1" s="172" t="s">
        <v>6</v>
      </c>
      <c r="B1" s="172" t="s">
        <v>108</v>
      </c>
      <c r="C1" s="172" t="s">
        <v>110</v>
      </c>
      <c r="D1" s="172">
        <v>26</v>
      </c>
      <c r="E1" s="172" t="s">
        <v>111</v>
      </c>
      <c r="F1" s="172" t="s">
        <v>113</v>
      </c>
      <c r="G1" s="288" t="s">
        <v>115</v>
      </c>
      <c r="H1" s="172"/>
      <c r="I1" s="172" t="s">
        <v>6</v>
      </c>
      <c r="J1" s="172" t="s">
        <v>108</v>
      </c>
      <c r="K1" s="172" t="s">
        <v>110</v>
      </c>
      <c r="L1" s="172">
        <v>26</v>
      </c>
      <c r="M1" s="172" t="s">
        <v>111</v>
      </c>
      <c r="N1" s="172" t="s">
        <v>113</v>
      </c>
      <c r="O1" s="288" t="s">
        <v>115</v>
      </c>
    </row>
    <row r="2" spans="1:15" ht="13">
      <c r="A2" s="284" t="str">
        <f>Summary!B3</f>
        <v>Ghee</v>
      </c>
      <c r="B2" s="284" t="str">
        <f>Summary!E3</f>
        <v>Butter/Makhan - 200 gm</v>
      </c>
      <c r="C2" s="284">
        <f>Summary!O3</f>
        <v>186</v>
      </c>
      <c r="D2" s="284">
        <f>Summary!R3</f>
        <v>0</v>
      </c>
      <c r="E2" s="284">
        <f>Summary!BB3</f>
        <v>0</v>
      </c>
      <c r="F2" s="284">
        <f>Summary!BD3</f>
        <v>186</v>
      </c>
      <c r="G2" s="289">
        <f>Summary!BF3</f>
        <v>0</v>
      </c>
      <c r="H2" s="284"/>
      <c r="I2" s="284" t="str">
        <f>Summary!B3</f>
        <v>Ghee</v>
      </c>
      <c r="J2" s="284" t="str">
        <f>Summary!E3</f>
        <v>Butter/Makhan - 200 gm</v>
      </c>
      <c r="K2" s="284">
        <f>Summary!O3</f>
        <v>186</v>
      </c>
      <c r="L2" s="284">
        <f>Summary!R3</f>
        <v>0</v>
      </c>
      <c r="M2" s="284">
        <f>Summary!BB3</f>
        <v>0</v>
      </c>
      <c r="N2" s="284">
        <f>Summary!BD3</f>
        <v>186</v>
      </c>
      <c r="O2" s="289">
        <f>Summary!BF3</f>
        <v>0</v>
      </c>
    </row>
    <row r="3" spans="1:15" ht="13">
      <c r="A3" s="284" t="str">
        <f>Summary!B4</f>
        <v>Ghee</v>
      </c>
      <c r="B3" s="284" t="str">
        <f>Summary!E4</f>
        <v>Brahmi Ghee - 250 gm</v>
      </c>
      <c r="C3" s="284">
        <f>Summary!O4</f>
        <v>253</v>
      </c>
      <c r="D3" s="284">
        <f>Summary!R4</f>
        <v>0</v>
      </c>
      <c r="E3" s="284">
        <f>Summary!BB4</f>
        <v>67</v>
      </c>
      <c r="F3" s="284">
        <f>Summary!BD4</f>
        <v>186</v>
      </c>
      <c r="G3" s="289">
        <f>Summary!BF4</f>
        <v>0.2648221343873518</v>
      </c>
      <c r="H3" s="284"/>
      <c r="I3" s="284" t="str">
        <f>Summary!B4</f>
        <v>Ghee</v>
      </c>
      <c r="J3" s="284" t="str">
        <f>Summary!E4</f>
        <v>Brahmi Ghee - 250 gm</v>
      </c>
      <c r="K3" s="284">
        <f>Summary!O4</f>
        <v>253</v>
      </c>
      <c r="L3" s="284">
        <f>Summary!R4</f>
        <v>0</v>
      </c>
      <c r="M3" s="284">
        <f>Summary!BB4</f>
        <v>67</v>
      </c>
      <c r="N3" s="284">
        <f>Summary!BD4</f>
        <v>186</v>
      </c>
      <c r="O3" s="289">
        <f>Summary!BF4</f>
        <v>0.2648221343873518</v>
      </c>
    </row>
    <row r="4" spans="1:15" ht="13">
      <c r="A4" s="284" t="str">
        <f>Summary!B5</f>
        <v>Ghee</v>
      </c>
      <c r="B4" s="284" t="str">
        <f>Summary!E5</f>
        <v>Tulsi Ghee - 250gm</v>
      </c>
      <c r="C4" s="284">
        <f>Summary!O5</f>
        <v>75</v>
      </c>
      <c r="D4" s="284">
        <f>Summary!R5</f>
        <v>0</v>
      </c>
      <c r="E4" s="284">
        <f>Summary!BB5</f>
        <v>46</v>
      </c>
      <c r="F4" s="284">
        <f>Summary!BD5</f>
        <v>29</v>
      </c>
      <c r="G4" s="289">
        <f>Summary!BF5</f>
        <v>0.61333333333333329</v>
      </c>
      <c r="H4" s="284"/>
      <c r="I4" s="284" t="str">
        <f>Summary!B5</f>
        <v>Ghee</v>
      </c>
      <c r="J4" s="284" t="str">
        <f>Summary!E5</f>
        <v>Tulsi Ghee - 250gm</v>
      </c>
      <c r="K4" s="284">
        <f>Summary!O5</f>
        <v>75</v>
      </c>
      <c r="L4" s="284">
        <f>Summary!R5</f>
        <v>0</v>
      </c>
      <c r="M4" s="284">
        <f>Summary!BB5</f>
        <v>46</v>
      </c>
      <c r="N4" s="284">
        <f>Summary!BD5</f>
        <v>29</v>
      </c>
      <c r="O4" s="289">
        <f>Summary!BF5</f>
        <v>0.61333333333333329</v>
      </c>
    </row>
    <row r="5" spans="1:15" ht="13">
      <c r="A5" s="284" t="str">
        <f>Summary!B6</f>
        <v>Ghee</v>
      </c>
      <c r="B5" s="284" t="str">
        <f>Summary!E6</f>
        <v>Shatavari Ghee - 250 gm</v>
      </c>
      <c r="C5" s="284">
        <f>Summary!O6</f>
        <v>319</v>
      </c>
      <c r="D5" s="284">
        <f>Summary!R6</f>
        <v>0</v>
      </c>
      <c r="E5" s="284">
        <f>Summary!BB6</f>
        <v>64</v>
      </c>
      <c r="F5" s="284">
        <f>Summary!BD6</f>
        <v>255</v>
      </c>
      <c r="G5" s="289">
        <f>Summary!BF6</f>
        <v>0.20062695924764889</v>
      </c>
      <c r="H5" s="284"/>
      <c r="I5" s="284" t="str">
        <f>Summary!B6</f>
        <v>Ghee</v>
      </c>
      <c r="J5" s="284" t="str">
        <f>Summary!E6</f>
        <v>Shatavari Ghee - 250 gm</v>
      </c>
      <c r="K5" s="284">
        <f>Summary!O6</f>
        <v>319</v>
      </c>
      <c r="L5" s="284">
        <f>Summary!R6</f>
        <v>0</v>
      </c>
      <c r="M5" s="284">
        <f>Summary!BB6</f>
        <v>64</v>
      </c>
      <c r="N5" s="284">
        <f>Summary!BD6</f>
        <v>255</v>
      </c>
      <c r="O5" s="289">
        <f>Summary!BF6</f>
        <v>0.20062695924764889</v>
      </c>
    </row>
    <row r="6" spans="1:15" ht="13">
      <c r="A6" s="284" t="str">
        <f>Summary!B7</f>
        <v>Ghee</v>
      </c>
      <c r="B6" s="284" t="str">
        <f>Summary!E7</f>
        <v>Turmeric Ghee 250gm</v>
      </c>
      <c r="C6" s="284">
        <f>Summary!O7</f>
        <v>149</v>
      </c>
      <c r="D6" s="284">
        <f>Summary!R7</f>
        <v>0</v>
      </c>
      <c r="E6" s="284">
        <f>Summary!BB7</f>
        <v>130</v>
      </c>
      <c r="F6" s="284">
        <f>Summary!BD7</f>
        <v>19</v>
      </c>
      <c r="G6" s="289">
        <f>Summary!BF7</f>
        <v>0.87248322147651003</v>
      </c>
      <c r="H6" s="284"/>
      <c r="I6" s="284" t="str">
        <f>Summary!B7</f>
        <v>Ghee</v>
      </c>
      <c r="J6" s="284" t="str">
        <f>Summary!E7</f>
        <v>Turmeric Ghee 250gm</v>
      </c>
      <c r="K6" s="284">
        <f>Summary!O7</f>
        <v>149</v>
      </c>
      <c r="L6" s="284">
        <f>Summary!R7</f>
        <v>0</v>
      </c>
      <c r="M6" s="284">
        <f>Summary!BB7</f>
        <v>130</v>
      </c>
      <c r="N6" s="284">
        <f>Summary!BD7</f>
        <v>19</v>
      </c>
      <c r="O6" s="289">
        <f>Summary!BF7</f>
        <v>0.87248322147651003</v>
      </c>
    </row>
    <row r="7" spans="1:15" ht="13">
      <c r="A7" s="284" t="str">
        <f>Summary!B8</f>
        <v>Ghee</v>
      </c>
      <c r="B7" s="284" t="str">
        <f>Summary!E8</f>
        <v>Buffalo Ghee - A2 Cultured 500ml</v>
      </c>
      <c r="C7" s="284">
        <f>Summary!O8</f>
        <v>22881</v>
      </c>
      <c r="D7" s="284">
        <f>Summary!R8</f>
        <v>763</v>
      </c>
      <c r="E7" s="284">
        <f>Summary!BB8</f>
        <v>4295</v>
      </c>
      <c r="F7" s="284">
        <f>Summary!BD8</f>
        <v>18586</v>
      </c>
      <c r="G7" s="289">
        <f>Summary!BF8</f>
        <v>0.18771032734583279</v>
      </c>
      <c r="H7" s="284"/>
      <c r="I7" s="284" t="str">
        <f>Summary!B8</f>
        <v>Ghee</v>
      </c>
      <c r="J7" s="284" t="str">
        <f>Summary!E8</f>
        <v>Buffalo Ghee - A2 Cultured 500ml</v>
      </c>
      <c r="K7" s="284">
        <f>Summary!O8</f>
        <v>22881</v>
      </c>
      <c r="L7" s="284">
        <f>Summary!R8</f>
        <v>763</v>
      </c>
      <c r="M7" s="284">
        <f>Summary!BB8</f>
        <v>4295</v>
      </c>
      <c r="N7" s="284">
        <f>Summary!BD8</f>
        <v>18586</v>
      </c>
      <c r="O7" s="289">
        <f>Summary!BF8</f>
        <v>0.18771032734583279</v>
      </c>
    </row>
    <row r="8" spans="1:15" ht="13">
      <c r="A8" s="284" t="str">
        <f>Summary!B9</f>
        <v>Ghee</v>
      </c>
      <c r="B8" s="284" t="str">
        <f>Summary!E9</f>
        <v>A2 Desi Cow Ghee - 500ml</v>
      </c>
      <c r="C8" s="284">
        <f>Summary!O9</f>
        <v>10468.700000000001</v>
      </c>
      <c r="D8" s="284">
        <f>Summary!R9</f>
        <v>0</v>
      </c>
      <c r="E8" s="284">
        <f>Summary!BB9</f>
        <v>3381</v>
      </c>
      <c r="F8" s="284">
        <f>Summary!BD9</f>
        <v>7087.7000000000007</v>
      </c>
      <c r="G8" s="289">
        <f>Summary!BF9</f>
        <v>0.32296273653844315</v>
      </c>
      <c r="H8" s="284"/>
      <c r="I8" s="284" t="str">
        <f>Summary!B9</f>
        <v>Ghee</v>
      </c>
      <c r="J8" s="284" t="str">
        <f>Summary!E9</f>
        <v>A2 Desi Cow Ghee - 500ml</v>
      </c>
      <c r="K8" s="284">
        <f>Summary!O9</f>
        <v>10468.700000000001</v>
      </c>
      <c r="L8" s="284">
        <f>Summary!R9</f>
        <v>0</v>
      </c>
      <c r="M8" s="284">
        <f>Summary!BB9</f>
        <v>3381</v>
      </c>
      <c r="N8" s="284">
        <f>Summary!BD9</f>
        <v>7087.7000000000007</v>
      </c>
      <c r="O8" s="289">
        <f>Summary!BF9</f>
        <v>0.32296273653844315</v>
      </c>
    </row>
    <row r="9" spans="1:15" ht="13">
      <c r="A9" s="284" t="str">
        <f>Summary!B10</f>
        <v>Ghee</v>
      </c>
      <c r="B9" s="284" t="str">
        <f>Summary!E10</f>
        <v>Colostrum Powder, Desi Gir Cow - 100 gm</v>
      </c>
      <c r="C9" s="284">
        <f>Summary!O10</f>
        <v>1712</v>
      </c>
      <c r="D9" s="284">
        <f>Summary!R10</f>
        <v>0</v>
      </c>
      <c r="E9" s="284">
        <f>Summary!BB10</f>
        <v>913</v>
      </c>
      <c r="F9" s="284">
        <f>Summary!BD10</f>
        <v>799</v>
      </c>
      <c r="G9" s="289">
        <f>Summary!BF10</f>
        <v>0.53329439252336452</v>
      </c>
      <c r="H9" s="284"/>
      <c r="I9" s="284" t="str">
        <f>Summary!B10</f>
        <v>Ghee</v>
      </c>
      <c r="J9" s="284" t="str">
        <f>Summary!E10</f>
        <v>Colostrum Powder, Desi Gir Cow - 100 gm</v>
      </c>
      <c r="K9" s="284">
        <f>Summary!O10</f>
        <v>1712</v>
      </c>
      <c r="L9" s="284">
        <f>Summary!R10</f>
        <v>0</v>
      </c>
      <c r="M9" s="284">
        <f>Summary!BB10</f>
        <v>913</v>
      </c>
      <c r="N9" s="284">
        <f>Summary!BD10</f>
        <v>799</v>
      </c>
      <c r="O9" s="289">
        <f>Summary!BF10</f>
        <v>0.53329439252336452</v>
      </c>
    </row>
    <row r="10" spans="1:15" ht="13">
      <c r="A10" s="284" t="str">
        <f>Summary!B11</f>
        <v>Ghee</v>
      </c>
      <c r="B10" s="284" t="str">
        <f>Summary!E11</f>
        <v>Full Moon Cultured Ghee - 500 ml</v>
      </c>
      <c r="C10" s="284">
        <f>Summary!O11</f>
        <v>3303.3</v>
      </c>
      <c r="D10" s="284">
        <f>Summary!R11</f>
        <v>0</v>
      </c>
      <c r="E10" s="284">
        <f>Summary!BB11</f>
        <v>1602</v>
      </c>
      <c r="F10" s="284">
        <f>Summary!BD11</f>
        <v>1701.3000000000002</v>
      </c>
      <c r="G10" s="289">
        <f>Summary!BF11</f>
        <v>0.48496957587866674</v>
      </c>
      <c r="H10" s="284"/>
      <c r="I10" s="284" t="str">
        <f>Summary!B11</f>
        <v>Ghee</v>
      </c>
      <c r="J10" s="284" t="str">
        <f>Summary!E11</f>
        <v>Full Moon Cultured Ghee - 500 ml</v>
      </c>
      <c r="K10" s="284">
        <f>Summary!O11</f>
        <v>3303.3</v>
      </c>
      <c r="L10" s="284">
        <f>Summary!R11</f>
        <v>0</v>
      </c>
      <c r="M10" s="284">
        <f>Summary!BB11</f>
        <v>1602</v>
      </c>
      <c r="N10" s="284">
        <f>Summary!BD11</f>
        <v>1701.3000000000002</v>
      </c>
      <c r="O10" s="289">
        <f>Summary!BF11</f>
        <v>0.48496957587866674</v>
      </c>
    </row>
    <row r="11" spans="1:15" ht="13">
      <c r="A11" s="284" t="str">
        <f>Summary!B12</f>
        <v>Ghee</v>
      </c>
      <c r="B11" s="284" t="str">
        <f>Summary!E12</f>
        <v>Non cultured ghee 1l</v>
      </c>
      <c r="C11" s="284">
        <f>Summary!O12</f>
        <v>6049</v>
      </c>
      <c r="D11" s="284">
        <f>Summary!R12</f>
        <v>0</v>
      </c>
      <c r="E11" s="284">
        <f>Summary!BB12</f>
        <v>2331</v>
      </c>
      <c r="F11" s="284">
        <f>Summary!BD12</f>
        <v>3718</v>
      </c>
      <c r="G11" s="289">
        <f>Summary!BF12</f>
        <v>0.38535295090097538</v>
      </c>
      <c r="H11" s="284"/>
      <c r="I11" s="284" t="str">
        <f>Summary!B12</f>
        <v>Ghee</v>
      </c>
      <c r="J11" s="284" t="str">
        <f>Summary!E12</f>
        <v>Non cultured ghee 1l</v>
      </c>
      <c r="K11" s="284">
        <f>Summary!O12</f>
        <v>6049</v>
      </c>
      <c r="L11" s="284">
        <f>Summary!R12</f>
        <v>0</v>
      </c>
      <c r="M11" s="284">
        <f>Summary!BB12</f>
        <v>2331</v>
      </c>
      <c r="N11" s="284">
        <f>Summary!BD12</f>
        <v>3718</v>
      </c>
      <c r="O11" s="289">
        <f>Summary!BF12</f>
        <v>0.38535295090097538</v>
      </c>
    </row>
    <row r="12" spans="1:15" ht="13">
      <c r="A12" s="284" t="str">
        <f>Summary!B13</f>
        <v>Ghee</v>
      </c>
      <c r="B12" s="284" t="str">
        <f>Summary!E13</f>
        <v>Ashwagandha Ghee - 250 gm</v>
      </c>
      <c r="C12" s="284">
        <f>Summary!O13</f>
        <v>309</v>
      </c>
      <c r="D12" s="284">
        <f>Summary!R13</f>
        <v>0</v>
      </c>
      <c r="E12" s="284">
        <f>Summary!BB13</f>
        <v>188</v>
      </c>
      <c r="F12" s="284">
        <f>Summary!BD13</f>
        <v>121</v>
      </c>
      <c r="G12" s="289">
        <f>Summary!BF13</f>
        <v>0.60841423948220064</v>
      </c>
      <c r="H12" s="284"/>
      <c r="I12" s="284" t="str">
        <f>Summary!B13</f>
        <v>Ghee</v>
      </c>
      <c r="J12" s="284" t="str">
        <f>Summary!E13</f>
        <v>Ashwagandha Ghee - 250 gm</v>
      </c>
      <c r="K12" s="284">
        <f>Summary!O13</f>
        <v>309</v>
      </c>
      <c r="L12" s="284">
        <f>Summary!R13</f>
        <v>0</v>
      </c>
      <c r="M12" s="284">
        <f>Summary!BB13</f>
        <v>188</v>
      </c>
      <c r="N12" s="284">
        <f>Summary!BD13</f>
        <v>121</v>
      </c>
      <c r="O12" s="289">
        <f>Summary!BF13</f>
        <v>0.60841423948220064</v>
      </c>
    </row>
    <row r="13" spans="1:15" ht="13">
      <c r="A13" s="284" t="str">
        <f>Summary!B14</f>
        <v>Ghee</v>
      </c>
      <c r="B13" s="284" t="str">
        <f>Summary!E14</f>
        <v>A2 Cultured Ghee - 500 ml</v>
      </c>
      <c r="C13" s="284">
        <f>Summary!O14</f>
        <v>37298.25</v>
      </c>
      <c r="D13" s="284">
        <f>Summary!R14</f>
        <v>0</v>
      </c>
      <c r="E13" s="284">
        <f>Summary!BB14</f>
        <v>22817</v>
      </c>
      <c r="F13" s="284">
        <f>Summary!BD14</f>
        <v>14481.25</v>
      </c>
      <c r="G13" s="289">
        <f>Summary!BF14</f>
        <v>0.61174451884471792</v>
      </c>
      <c r="H13" s="284"/>
      <c r="I13" s="284" t="str">
        <f>Summary!B14</f>
        <v>Ghee</v>
      </c>
      <c r="J13" s="284" t="str">
        <f>Summary!E14</f>
        <v>A2 Cultured Ghee - 500 ml</v>
      </c>
      <c r="K13" s="284">
        <f>Summary!O14</f>
        <v>37298.25</v>
      </c>
      <c r="L13" s="284">
        <f>Summary!R14</f>
        <v>0</v>
      </c>
      <c r="M13" s="284">
        <f>Summary!BB14</f>
        <v>22817</v>
      </c>
      <c r="N13" s="284">
        <f>Summary!BD14</f>
        <v>14481.25</v>
      </c>
      <c r="O13" s="289">
        <f>Summary!BF14</f>
        <v>0.61174451884471792</v>
      </c>
    </row>
    <row r="14" spans="1:15" ht="13">
      <c r="A14" s="284" t="str">
        <f>Summary!B15</f>
        <v>Ghee</v>
      </c>
      <c r="B14" s="284" t="str">
        <f>Summary!E15</f>
        <v xml:space="preserve">A2 Cultured Ghee - 5 Ltr </v>
      </c>
      <c r="C14" s="284">
        <f>Summary!O15</f>
        <v>1035.25</v>
      </c>
      <c r="D14" s="284">
        <f>Summary!R15</f>
        <v>0</v>
      </c>
      <c r="E14" s="284">
        <f>Summary!BB15</f>
        <v>594</v>
      </c>
      <c r="F14" s="284">
        <f>Summary!BD15</f>
        <v>441.25</v>
      </c>
      <c r="G14" s="289">
        <f>Summary!BF15</f>
        <v>0.57377445061579324</v>
      </c>
      <c r="H14" s="284"/>
      <c r="I14" s="284" t="str">
        <f>Summary!B15</f>
        <v>Ghee</v>
      </c>
      <c r="J14" s="284" t="str">
        <f>Summary!E15</f>
        <v xml:space="preserve">A2 Cultured Ghee - 5 Ltr </v>
      </c>
      <c r="K14" s="284">
        <f>Summary!O15</f>
        <v>1035.25</v>
      </c>
      <c r="L14" s="284">
        <f>Summary!R15</f>
        <v>0</v>
      </c>
      <c r="M14" s="284">
        <f>Summary!BB15</f>
        <v>594</v>
      </c>
      <c r="N14" s="284">
        <f>Summary!BD15</f>
        <v>441.25</v>
      </c>
      <c r="O14" s="289">
        <f>Summary!BF15</f>
        <v>0.57377445061579324</v>
      </c>
    </row>
    <row r="15" spans="1:15" ht="13">
      <c r="A15" s="284" t="str">
        <f>Summary!B16</f>
        <v>Ghee</v>
      </c>
      <c r="B15" s="284" t="str">
        <f>Summary!E16</f>
        <v>Steel Can Ghee 1 Ltr</v>
      </c>
      <c r="C15" s="284">
        <f>Summary!O16</f>
        <v>413.05</v>
      </c>
      <c r="D15" s="284">
        <f>Summary!R16</f>
        <v>0</v>
      </c>
      <c r="E15" s="284">
        <f>Summary!BB16</f>
        <v>370</v>
      </c>
      <c r="F15" s="284">
        <f>Summary!BD16</f>
        <v>43.050000000000011</v>
      </c>
      <c r="G15" s="289">
        <f>Summary!BF16</f>
        <v>0.89577532986321262</v>
      </c>
      <c r="H15" s="284"/>
      <c r="I15" s="284" t="str">
        <f>Summary!B16</f>
        <v>Ghee</v>
      </c>
      <c r="J15" s="284" t="str">
        <f>Summary!E16</f>
        <v>Steel Can Ghee 1 Ltr</v>
      </c>
      <c r="K15" s="284">
        <f>Summary!O16</f>
        <v>413.05</v>
      </c>
      <c r="L15" s="284">
        <f>Summary!R16</f>
        <v>0</v>
      </c>
      <c r="M15" s="284">
        <f>Summary!BB16</f>
        <v>370</v>
      </c>
      <c r="N15" s="284">
        <f>Summary!BD16</f>
        <v>43.050000000000011</v>
      </c>
      <c r="O15" s="289">
        <f>Summary!BF16</f>
        <v>0.89577532986321262</v>
      </c>
    </row>
    <row r="16" spans="1:15" ht="13">
      <c r="A16" s="284" t="str">
        <f>Summary!B17</f>
        <v>Ghee</v>
      </c>
      <c r="B16" s="284" t="str">
        <f>Summary!E17</f>
        <v>A2 Cultured Ghee - 250 ml</v>
      </c>
      <c r="C16" s="284">
        <f>Summary!O17</f>
        <v>20236.7</v>
      </c>
      <c r="D16" s="284">
        <f>Summary!R17</f>
        <v>731</v>
      </c>
      <c r="E16" s="284">
        <f>Summary!BB17</f>
        <v>13695</v>
      </c>
      <c r="F16" s="284">
        <f>Summary!BD17</f>
        <v>6541.7000000000007</v>
      </c>
      <c r="G16" s="289">
        <f>Summary!BF17</f>
        <v>0.67674077295211177</v>
      </c>
      <c r="H16" s="284"/>
      <c r="I16" s="284" t="str">
        <f>Summary!B17</f>
        <v>Ghee</v>
      </c>
      <c r="J16" s="284" t="str">
        <f>Summary!E17</f>
        <v>A2 Cultured Ghee - 250 ml</v>
      </c>
      <c r="K16" s="284">
        <f>Summary!O17</f>
        <v>20236.7</v>
      </c>
      <c r="L16" s="284">
        <f>Summary!R17</f>
        <v>731</v>
      </c>
      <c r="M16" s="284">
        <f>Summary!BB17</f>
        <v>13695</v>
      </c>
      <c r="N16" s="284">
        <f>Summary!BD17</f>
        <v>6541.7000000000007</v>
      </c>
      <c r="O16" s="289">
        <f>Summary!BF17</f>
        <v>0.67674077295211177</v>
      </c>
    </row>
    <row r="17" spans="1:15" ht="13">
      <c r="A17" s="284" t="str">
        <f>Summary!B18</f>
        <v>Ghee</v>
      </c>
      <c r="B17" s="284" t="str">
        <f>Summary!E18</f>
        <v>A2 Cultured Ghee - 100 ml</v>
      </c>
      <c r="C17" s="284">
        <f>Summary!O18</f>
        <v>14077.7</v>
      </c>
      <c r="D17" s="284">
        <f>Summary!R18</f>
        <v>0</v>
      </c>
      <c r="E17" s="284">
        <f>Summary!BB18</f>
        <v>14914</v>
      </c>
      <c r="F17" s="284">
        <f>Summary!BD18</f>
        <v>-836.29999999999927</v>
      </c>
      <c r="G17" s="289">
        <f>Summary!BF18</f>
        <v>1.05940601092508</v>
      </c>
      <c r="H17" s="284"/>
      <c r="I17" s="284" t="str">
        <f>Summary!B18</f>
        <v>Ghee</v>
      </c>
      <c r="J17" s="284" t="str">
        <f>Summary!E18</f>
        <v>A2 Cultured Ghee - 100 ml</v>
      </c>
      <c r="K17" s="284">
        <f>Summary!O18</f>
        <v>14077.7</v>
      </c>
      <c r="L17" s="284">
        <f>Summary!R18</f>
        <v>0</v>
      </c>
      <c r="M17" s="284">
        <f>Summary!BB18</f>
        <v>14914</v>
      </c>
      <c r="N17" s="284">
        <f>Summary!BD18</f>
        <v>-836.29999999999927</v>
      </c>
      <c r="O17" s="289">
        <f>Summary!BF18</f>
        <v>1.05940601092508</v>
      </c>
    </row>
    <row r="18" spans="1:15" ht="13">
      <c r="A18" s="284" t="str">
        <f>Summary!B19</f>
        <v>Ghee</v>
      </c>
      <c r="B18" s="284" t="str">
        <f>Summary!E19</f>
        <v>A2 Cultured Ghee - 1000 ml</v>
      </c>
      <c r="C18" s="284">
        <f>Summary!O19</f>
        <v>11040.6</v>
      </c>
      <c r="D18" s="284">
        <f>Summary!R19</f>
        <v>1170</v>
      </c>
      <c r="E18" s="284">
        <f>Summary!BB19</f>
        <v>7707</v>
      </c>
      <c r="F18" s="284">
        <f>Summary!BD19</f>
        <v>3333.6000000000004</v>
      </c>
      <c r="G18" s="289">
        <f>Summary!BF19</f>
        <v>0.69805988804956254</v>
      </c>
      <c r="H18" s="284"/>
      <c r="I18" s="284" t="str">
        <f>Summary!B19</f>
        <v>Ghee</v>
      </c>
      <c r="J18" s="284" t="str">
        <f>Summary!E19</f>
        <v>A2 Cultured Ghee - 1000 ml</v>
      </c>
      <c r="K18" s="284">
        <f>Summary!O19</f>
        <v>11040.6</v>
      </c>
      <c r="L18" s="284">
        <f>Summary!R19</f>
        <v>1170</v>
      </c>
      <c r="M18" s="284">
        <f>Summary!BB19</f>
        <v>7707</v>
      </c>
      <c r="N18" s="284">
        <f>Summary!BD19</f>
        <v>3333.6000000000004</v>
      </c>
      <c r="O18" s="289">
        <f>Summary!BF19</f>
        <v>0.69805988804956254</v>
      </c>
    </row>
  </sheetData>
  <pageMargins left="0.70000000000000007" right="0.70000000000000007" top="0.75" bottom="0.75" header="0.30000000000000004" footer="0.30000000000000004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35989-C816-4407-A19F-D20621421C03}">
  <dimension ref="A1:B4999"/>
  <sheetViews>
    <sheetView workbookViewId="0"/>
  </sheetViews>
  <sheetFormatPr defaultRowHeight="12.65"/>
  <cols>
    <col min="1" max="1" width="8.7265625" customWidth="1"/>
  </cols>
  <sheetData>
    <row r="1" spans="1:2" ht="13">
      <c r="A1" s="293" t="s">
        <v>214</v>
      </c>
      <c r="B1" s="293"/>
    </row>
    <row r="2" spans="1:2" ht="12.5">
      <c r="A2" t="s">
        <v>215</v>
      </c>
      <c r="B2" t="s">
        <v>216</v>
      </c>
    </row>
    <row r="3" spans="1:2" ht="14.5">
      <c r="A3" s="291" t="s">
        <v>217</v>
      </c>
      <c r="B3" s="291">
        <v>0</v>
      </c>
    </row>
    <row r="4" spans="1:2" ht="14.5">
      <c r="A4" s="291" t="s">
        <v>218</v>
      </c>
      <c r="B4" s="291">
        <v>0</v>
      </c>
    </row>
    <row r="5" spans="1:2" ht="29">
      <c r="A5" s="291" t="s">
        <v>219</v>
      </c>
      <c r="B5" s="291">
        <v>0</v>
      </c>
    </row>
    <row r="6" spans="1:2" ht="29">
      <c r="A6" s="291" t="s">
        <v>220</v>
      </c>
      <c r="B6" s="291">
        <v>0</v>
      </c>
    </row>
    <row r="7" spans="1:2" ht="29">
      <c r="A7" s="291" t="s">
        <v>221</v>
      </c>
      <c r="B7" s="291">
        <v>0</v>
      </c>
    </row>
    <row r="8" spans="1:2" ht="29">
      <c r="A8" s="291" t="s">
        <v>222</v>
      </c>
      <c r="B8" s="291">
        <v>0</v>
      </c>
    </row>
    <row r="9" spans="1:2" ht="29">
      <c r="A9" s="291" t="s">
        <v>223</v>
      </c>
      <c r="B9" s="291">
        <v>0</v>
      </c>
    </row>
    <row r="10" spans="1:2" ht="29">
      <c r="A10" s="291" t="s">
        <v>224</v>
      </c>
      <c r="B10" s="291">
        <v>0</v>
      </c>
    </row>
    <row r="11" spans="1:2" ht="29">
      <c r="A11" s="291" t="s">
        <v>225</v>
      </c>
      <c r="B11" s="291">
        <v>0</v>
      </c>
    </row>
    <row r="12" spans="1:2" ht="29">
      <c r="A12" s="291" t="s">
        <v>226</v>
      </c>
      <c r="B12" s="291">
        <v>0</v>
      </c>
    </row>
    <row r="13" spans="1:2" ht="29">
      <c r="A13" s="291" t="s">
        <v>227</v>
      </c>
      <c r="B13" s="291">
        <v>5</v>
      </c>
    </row>
    <row r="14" spans="1:2" ht="29">
      <c r="A14" s="291" t="s">
        <v>228</v>
      </c>
      <c r="B14" s="291">
        <v>0</v>
      </c>
    </row>
    <row r="15" spans="1:2" ht="29">
      <c r="A15" s="291" t="s">
        <v>229</v>
      </c>
      <c r="B15" s="291">
        <v>0</v>
      </c>
    </row>
    <row r="16" spans="1:2" ht="29">
      <c r="A16" s="291" t="s">
        <v>230</v>
      </c>
      <c r="B16" s="291">
        <v>0</v>
      </c>
    </row>
    <row r="17" spans="1:2" ht="29">
      <c r="A17" s="291" t="s">
        <v>231</v>
      </c>
      <c r="B17" s="291">
        <v>277.94</v>
      </c>
    </row>
    <row r="18" spans="1:2" ht="29">
      <c r="A18" s="291" t="s">
        <v>232</v>
      </c>
      <c r="B18" s="291">
        <v>435.6</v>
      </c>
    </row>
    <row r="19" spans="1:2" ht="29">
      <c r="A19" s="291" t="s">
        <v>233</v>
      </c>
      <c r="B19" s="291">
        <v>0</v>
      </c>
    </row>
    <row r="20" spans="1:2" ht="29">
      <c r="A20" s="291" t="s">
        <v>234</v>
      </c>
      <c r="B20" s="292">
        <v>0</v>
      </c>
    </row>
    <row r="21" spans="1:2" ht="29">
      <c r="A21" s="291" t="s">
        <v>235</v>
      </c>
      <c r="B21" s="291">
        <v>0</v>
      </c>
    </row>
    <row r="22" spans="1:2" ht="29">
      <c r="A22" s="291" t="s">
        <v>236</v>
      </c>
      <c r="B22" s="291">
        <v>0</v>
      </c>
    </row>
    <row r="23" spans="1:2" ht="29">
      <c r="A23" s="291" t="s">
        <v>237</v>
      </c>
      <c r="B23" s="291">
        <v>15</v>
      </c>
    </row>
    <row r="24" spans="1:2" ht="29">
      <c r="A24" s="291" t="s">
        <v>238</v>
      </c>
      <c r="B24" s="291">
        <v>0</v>
      </c>
    </row>
    <row r="25" spans="1:2" ht="29">
      <c r="A25" s="291" t="s">
        <v>239</v>
      </c>
      <c r="B25" s="291">
        <v>0</v>
      </c>
    </row>
    <row r="26" spans="1:2" ht="29">
      <c r="A26" s="291" t="s">
        <v>240</v>
      </c>
      <c r="B26" s="291">
        <v>0</v>
      </c>
    </row>
    <row r="27" spans="1:2" ht="29">
      <c r="A27" s="291" t="s">
        <v>241</v>
      </c>
      <c r="B27" s="291">
        <v>0</v>
      </c>
    </row>
    <row r="28" spans="1:2" ht="29">
      <c r="A28" s="291" t="s">
        <v>242</v>
      </c>
      <c r="B28" s="291">
        <v>0</v>
      </c>
    </row>
    <row r="29" spans="1:2" ht="29">
      <c r="A29" s="291" t="s">
        <v>243</v>
      </c>
      <c r="B29" s="291">
        <v>0</v>
      </c>
    </row>
    <row r="30" spans="1:2" ht="29">
      <c r="A30" s="291" t="s">
        <v>244</v>
      </c>
      <c r="B30" s="291">
        <v>0</v>
      </c>
    </row>
    <row r="31" spans="1:2" ht="29">
      <c r="A31" s="291" t="s">
        <v>245</v>
      </c>
      <c r="B31" s="291">
        <v>158.44</v>
      </c>
    </row>
    <row r="32" spans="1:2" ht="29">
      <c r="A32" s="291" t="s">
        <v>246</v>
      </c>
      <c r="B32" s="291">
        <v>0</v>
      </c>
    </row>
    <row r="33" spans="1:2" ht="29">
      <c r="A33" s="291" t="s">
        <v>247</v>
      </c>
      <c r="B33" s="292">
        <v>0</v>
      </c>
    </row>
    <row r="34" spans="1:2" ht="29">
      <c r="A34" s="291" t="s">
        <v>248</v>
      </c>
      <c r="B34" s="291">
        <v>0</v>
      </c>
    </row>
    <row r="35" spans="1:2" ht="29">
      <c r="A35" s="291" t="s">
        <v>249</v>
      </c>
      <c r="B35" s="291">
        <v>0</v>
      </c>
    </row>
    <row r="36" spans="1:2" ht="43.5">
      <c r="A36" s="291" t="s">
        <v>250</v>
      </c>
      <c r="B36" s="291">
        <v>0</v>
      </c>
    </row>
    <row r="37" spans="1:2" ht="43.5">
      <c r="A37" s="291" t="s">
        <v>251</v>
      </c>
      <c r="B37" s="291">
        <v>0</v>
      </c>
    </row>
    <row r="38" spans="1:2" ht="14.5">
      <c r="A38" s="291" t="s">
        <v>252</v>
      </c>
      <c r="B38" s="291">
        <v>0</v>
      </c>
    </row>
    <row r="39" spans="1:2" ht="14.5">
      <c r="A39" s="291" t="s">
        <v>253</v>
      </c>
      <c r="B39" s="291">
        <v>1605</v>
      </c>
    </row>
    <row r="40" spans="1:2" ht="14.5">
      <c r="A40" s="291" t="s">
        <v>254</v>
      </c>
      <c r="B40" s="291">
        <v>0</v>
      </c>
    </row>
    <row r="41" spans="1:2" ht="14.5">
      <c r="A41" s="291" t="s">
        <v>255</v>
      </c>
      <c r="B41" s="291">
        <v>0</v>
      </c>
    </row>
    <row r="42" spans="1:2" ht="14.5">
      <c r="A42" s="291" t="s">
        <v>256</v>
      </c>
      <c r="B42" s="291">
        <v>0</v>
      </c>
    </row>
    <row r="43" spans="1:2" ht="14.5">
      <c r="A43" s="291" t="s">
        <v>257</v>
      </c>
      <c r="B43" s="291">
        <v>0</v>
      </c>
    </row>
    <row r="44" spans="1:2" ht="14.5">
      <c r="A44" s="291" t="s">
        <v>258</v>
      </c>
      <c r="B44" s="291">
        <v>0</v>
      </c>
    </row>
    <row r="45" spans="1:2" ht="14.5">
      <c r="A45" s="291" t="s">
        <v>259</v>
      </c>
      <c r="B45" s="291">
        <v>0</v>
      </c>
    </row>
    <row r="46" spans="1:2" ht="14.5">
      <c r="A46" s="291" t="s">
        <v>260</v>
      </c>
      <c r="B46" s="291">
        <v>0</v>
      </c>
    </row>
    <row r="47" spans="1:2" ht="14.5">
      <c r="A47" s="291" t="s">
        <v>261</v>
      </c>
      <c r="B47" s="291">
        <v>0</v>
      </c>
    </row>
    <row r="48" spans="1:2" ht="29">
      <c r="A48" s="291" t="s">
        <v>262</v>
      </c>
      <c r="B48" s="291">
        <v>0</v>
      </c>
    </row>
    <row r="49" spans="1:2" ht="29">
      <c r="A49" s="291" t="s">
        <v>263</v>
      </c>
      <c r="B49" s="291">
        <v>0</v>
      </c>
    </row>
    <row r="50" spans="1:2" ht="29">
      <c r="A50" s="291" t="s">
        <v>264</v>
      </c>
      <c r="B50" s="291">
        <v>0</v>
      </c>
    </row>
    <row r="51" spans="1:2" ht="43.5">
      <c r="A51" s="291" t="s">
        <v>265</v>
      </c>
      <c r="B51" s="291">
        <v>0</v>
      </c>
    </row>
    <row r="52" spans="1:2" ht="43.5">
      <c r="A52" s="291" t="s">
        <v>266</v>
      </c>
      <c r="B52" s="291">
        <v>0</v>
      </c>
    </row>
    <row r="53" spans="1:2" ht="43.5">
      <c r="A53" s="291" t="s">
        <v>267</v>
      </c>
      <c r="B53" s="291">
        <v>0</v>
      </c>
    </row>
    <row r="54" spans="1:2" ht="43.5">
      <c r="A54" s="291" t="s">
        <v>268</v>
      </c>
      <c r="B54" s="291">
        <v>0</v>
      </c>
    </row>
    <row r="55" spans="1:2" ht="43.5">
      <c r="A55" s="291" t="s">
        <v>269</v>
      </c>
      <c r="B55" s="292">
        <v>0</v>
      </c>
    </row>
    <row r="56" spans="1:2" ht="14.5">
      <c r="A56" s="291" t="s">
        <v>270</v>
      </c>
      <c r="B56" s="291">
        <v>0</v>
      </c>
    </row>
    <row r="57" spans="1:2" ht="14.5">
      <c r="A57" s="291" t="s">
        <v>79</v>
      </c>
      <c r="B57" s="291">
        <v>1283</v>
      </c>
    </row>
    <row r="58" spans="1:2" ht="14.5">
      <c r="A58" s="291" t="s">
        <v>271</v>
      </c>
      <c r="B58" s="291">
        <v>0</v>
      </c>
    </row>
    <row r="59" spans="1:2" ht="14.5">
      <c r="A59" s="291" t="s">
        <v>146</v>
      </c>
      <c r="B59" s="291">
        <v>6</v>
      </c>
    </row>
    <row r="60" spans="1:2" ht="14.5">
      <c r="A60" s="291" t="s">
        <v>67</v>
      </c>
      <c r="B60" s="291">
        <v>2</v>
      </c>
    </row>
    <row r="61" spans="1:2" ht="14.5">
      <c r="A61" s="291" t="s">
        <v>272</v>
      </c>
      <c r="B61" s="292">
        <v>0</v>
      </c>
    </row>
    <row r="62" spans="1:2" ht="14.5">
      <c r="A62" s="291" t="s">
        <v>273</v>
      </c>
      <c r="B62" s="291">
        <v>0</v>
      </c>
    </row>
    <row r="63" spans="1:2" ht="14.5">
      <c r="A63" s="291" t="s">
        <v>274</v>
      </c>
      <c r="B63" s="291">
        <v>1723</v>
      </c>
    </row>
    <row r="64" spans="1:2" ht="14.5">
      <c r="A64" s="291" t="s">
        <v>275</v>
      </c>
      <c r="B64" s="291">
        <v>3044</v>
      </c>
    </row>
    <row r="65" spans="1:2" ht="14.5">
      <c r="A65" s="291" t="s">
        <v>276</v>
      </c>
      <c r="B65" s="291">
        <v>0</v>
      </c>
    </row>
    <row r="66" spans="1:2" ht="14.5">
      <c r="A66" s="291" t="s">
        <v>277</v>
      </c>
      <c r="B66" s="291">
        <v>5</v>
      </c>
    </row>
    <row r="67" spans="1:2" ht="14.5">
      <c r="A67" s="291" t="s">
        <v>278</v>
      </c>
      <c r="B67" s="291">
        <v>266</v>
      </c>
    </row>
    <row r="68" spans="1:2" ht="14.5">
      <c r="A68" s="291" t="s">
        <v>279</v>
      </c>
      <c r="B68" s="291">
        <v>0</v>
      </c>
    </row>
    <row r="69" spans="1:2" ht="14.5">
      <c r="A69" s="291" t="s">
        <v>280</v>
      </c>
      <c r="B69" s="291">
        <v>0</v>
      </c>
    </row>
    <row r="70" spans="1:2" ht="14.5">
      <c r="A70" s="291" t="s">
        <v>281</v>
      </c>
      <c r="B70" s="291">
        <v>0</v>
      </c>
    </row>
    <row r="71" spans="1:2" ht="14.5">
      <c r="A71" s="291" t="s">
        <v>282</v>
      </c>
      <c r="B71" s="292">
        <v>0</v>
      </c>
    </row>
    <row r="72" spans="1:2" ht="14.5">
      <c r="A72" s="291" t="s">
        <v>283</v>
      </c>
      <c r="B72" s="291">
        <v>23</v>
      </c>
    </row>
    <row r="73" spans="1:2" ht="14.5">
      <c r="A73" s="291" t="s">
        <v>284</v>
      </c>
      <c r="B73" s="291">
        <v>5131</v>
      </c>
    </row>
    <row r="74" spans="1:2" ht="14.5">
      <c r="A74" s="291" t="s">
        <v>285</v>
      </c>
      <c r="B74" s="291">
        <v>0</v>
      </c>
    </row>
    <row r="75" spans="1:2" ht="14.5">
      <c r="A75" s="291" t="s">
        <v>286</v>
      </c>
      <c r="B75" s="291">
        <v>0</v>
      </c>
    </row>
    <row r="76" spans="1:2" ht="14.5">
      <c r="A76" s="291" t="s">
        <v>78</v>
      </c>
      <c r="B76" s="291">
        <v>20</v>
      </c>
    </row>
    <row r="77" spans="1:2" ht="14.5">
      <c r="A77" s="291" t="s">
        <v>287</v>
      </c>
      <c r="B77" s="291">
        <v>0</v>
      </c>
    </row>
    <row r="78" spans="1:2" ht="14.5">
      <c r="A78" s="291" t="s">
        <v>288</v>
      </c>
      <c r="B78" s="291">
        <v>0</v>
      </c>
    </row>
    <row r="79" spans="1:2" ht="14.5">
      <c r="A79" s="291" t="s">
        <v>289</v>
      </c>
      <c r="B79" s="291">
        <v>397</v>
      </c>
    </row>
    <row r="80" spans="1:2" ht="14.5">
      <c r="A80" s="291" t="s">
        <v>290</v>
      </c>
      <c r="B80" s="291">
        <v>0</v>
      </c>
    </row>
    <row r="81" spans="1:2" ht="14.5">
      <c r="A81" s="291" t="s">
        <v>291</v>
      </c>
      <c r="B81" s="291">
        <v>0</v>
      </c>
    </row>
    <row r="82" spans="1:2" ht="14.5">
      <c r="A82" s="291" t="s">
        <v>292</v>
      </c>
      <c r="B82" s="291">
        <v>29</v>
      </c>
    </row>
    <row r="83" spans="1:2" ht="14.5">
      <c r="A83" s="291" t="s">
        <v>293</v>
      </c>
      <c r="B83" s="291">
        <v>0</v>
      </c>
    </row>
    <row r="84" spans="1:2" ht="14.5">
      <c r="A84" s="291" t="s">
        <v>294</v>
      </c>
      <c r="B84" s="291">
        <v>1300</v>
      </c>
    </row>
    <row r="85" spans="1:2" ht="14.5">
      <c r="A85" s="291" t="s">
        <v>295</v>
      </c>
      <c r="B85" s="291">
        <v>2</v>
      </c>
    </row>
    <row r="86" spans="1:2" ht="14.5">
      <c r="A86" s="291" t="s">
        <v>68</v>
      </c>
      <c r="B86" s="291">
        <v>11</v>
      </c>
    </row>
    <row r="87" spans="1:2" ht="43.5">
      <c r="A87" s="291" t="s">
        <v>296</v>
      </c>
      <c r="B87" s="291">
        <v>0</v>
      </c>
    </row>
    <row r="88" spans="1:2" ht="14.5">
      <c r="A88" s="291" t="s">
        <v>297</v>
      </c>
      <c r="B88" s="291">
        <v>0</v>
      </c>
    </row>
    <row r="89" spans="1:2" ht="14.5">
      <c r="A89" s="291" t="s">
        <v>298</v>
      </c>
      <c r="B89" s="291">
        <v>0</v>
      </c>
    </row>
    <row r="90" spans="1:2" ht="14.5">
      <c r="A90" s="291" t="s">
        <v>73</v>
      </c>
      <c r="B90" s="291">
        <v>974</v>
      </c>
    </row>
    <row r="91" spans="1:2" ht="14.5">
      <c r="A91" s="291" t="s">
        <v>299</v>
      </c>
      <c r="B91" s="292">
        <v>0</v>
      </c>
    </row>
    <row r="92" spans="1:2" ht="14.5">
      <c r="A92" s="291" t="s">
        <v>300</v>
      </c>
      <c r="B92" s="291">
        <v>4</v>
      </c>
    </row>
    <row r="93" spans="1:2" ht="14.5">
      <c r="A93" s="291" t="s">
        <v>301</v>
      </c>
      <c r="B93" s="291">
        <v>3078</v>
      </c>
    </row>
    <row r="94" spans="1:2" ht="14.5">
      <c r="A94" s="291" t="s">
        <v>302</v>
      </c>
      <c r="B94" s="291">
        <v>0</v>
      </c>
    </row>
    <row r="95" spans="1:2" ht="14.5">
      <c r="A95" s="291" t="s">
        <v>303</v>
      </c>
      <c r="B95" s="291">
        <v>216</v>
      </c>
    </row>
    <row r="96" spans="1:2" ht="14.5">
      <c r="A96" s="291" t="s">
        <v>75</v>
      </c>
      <c r="B96" s="291">
        <v>116</v>
      </c>
    </row>
    <row r="97" spans="1:2" ht="14.5">
      <c r="A97" s="291" t="s">
        <v>304</v>
      </c>
      <c r="B97" s="291">
        <v>0</v>
      </c>
    </row>
    <row r="98" spans="1:2" ht="14.5">
      <c r="A98" s="291" t="s">
        <v>305</v>
      </c>
      <c r="B98" s="291">
        <v>0</v>
      </c>
    </row>
    <row r="99" spans="1:2" ht="14.5">
      <c r="A99" s="291" t="s">
        <v>306</v>
      </c>
      <c r="B99" s="291">
        <v>0</v>
      </c>
    </row>
    <row r="100" spans="1:2" ht="14.5">
      <c r="A100" s="291" t="s">
        <v>307</v>
      </c>
      <c r="B100" s="291">
        <v>0</v>
      </c>
    </row>
    <row r="101" spans="1:2" ht="14.5">
      <c r="A101" s="291" t="s">
        <v>308</v>
      </c>
      <c r="B101" s="291">
        <v>0</v>
      </c>
    </row>
    <row r="102" spans="1:2" ht="14.5">
      <c r="A102" s="291" t="s">
        <v>309</v>
      </c>
      <c r="B102" s="291">
        <v>0</v>
      </c>
    </row>
    <row r="103" spans="1:2" ht="14.5">
      <c r="A103" s="291" t="s">
        <v>310</v>
      </c>
      <c r="B103" s="291">
        <v>0</v>
      </c>
    </row>
    <row r="104" spans="1:2" ht="14.5">
      <c r="A104" s="291" t="s">
        <v>311</v>
      </c>
      <c r="B104" s="291">
        <v>0</v>
      </c>
    </row>
    <row r="105" spans="1:2" ht="14.5">
      <c r="A105" s="291" t="s">
        <v>312</v>
      </c>
      <c r="B105" s="291">
        <v>52</v>
      </c>
    </row>
    <row r="106" spans="1:2" ht="14.5">
      <c r="A106" s="291" t="s">
        <v>313</v>
      </c>
      <c r="B106" s="291">
        <v>0</v>
      </c>
    </row>
    <row r="107" spans="1:2" ht="14.5">
      <c r="A107" s="291" t="s">
        <v>314</v>
      </c>
      <c r="B107" s="291">
        <v>0</v>
      </c>
    </row>
    <row r="108" spans="1:2" ht="14.5">
      <c r="A108" s="291" t="s">
        <v>315</v>
      </c>
      <c r="B108" s="291">
        <v>154</v>
      </c>
    </row>
    <row r="109" spans="1:2" ht="14.5">
      <c r="A109" s="291" t="s">
        <v>316</v>
      </c>
      <c r="B109" s="291">
        <v>0</v>
      </c>
    </row>
    <row r="110" spans="1:2" ht="14.5">
      <c r="A110" s="291" t="s">
        <v>317</v>
      </c>
      <c r="B110" s="291">
        <v>0</v>
      </c>
    </row>
    <row r="111" spans="1:2" ht="14.5">
      <c r="A111" s="291" t="s">
        <v>318</v>
      </c>
      <c r="B111" s="291">
        <v>0</v>
      </c>
    </row>
    <row r="112" spans="1:2" ht="14.5">
      <c r="A112" s="291" t="s">
        <v>319</v>
      </c>
      <c r="B112" s="291">
        <v>0</v>
      </c>
    </row>
    <row r="113" spans="1:2" ht="14.5">
      <c r="A113" s="291" t="s">
        <v>320</v>
      </c>
      <c r="B113" s="291">
        <v>0</v>
      </c>
    </row>
    <row r="114" spans="1:2" ht="14.5">
      <c r="A114" s="291" t="s">
        <v>321</v>
      </c>
      <c r="B114" s="291">
        <v>95</v>
      </c>
    </row>
    <row r="115" spans="1:2" ht="43.5">
      <c r="A115" s="291" t="s">
        <v>322</v>
      </c>
      <c r="B115" s="291">
        <v>0</v>
      </c>
    </row>
    <row r="116" spans="1:2" ht="14.5">
      <c r="A116" s="291" t="s">
        <v>323</v>
      </c>
      <c r="B116" s="291">
        <v>11</v>
      </c>
    </row>
    <row r="117" spans="1:2" ht="14.5">
      <c r="A117" s="291" t="s">
        <v>324</v>
      </c>
      <c r="B117" s="292">
        <v>0</v>
      </c>
    </row>
    <row r="118" spans="1:2" ht="14.5">
      <c r="A118" s="291" t="s">
        <v>325</v>
      </c>
      <c r="B118" s="291">
        <v>0</v>
      </c>
    </row>
    <row r="119" spans="1:2" ht="14.5">
      <c r="A119" s="291" t="s">
        <v>326</v>
      </c>
      <c r="B119" s="292">
        <v>1075</v>
      </c>
    </row>
    <row r="120" spans="1:2" ht="14.5">
      <c r="A120" s="291" t="s">
        <v>327</v>
      </c>
      <c r="B120" s="291">
        <v>31</v>
      </c>
    </row>
    <row r="121" spans="1:2" ht="14.5">
      <c r="A121" s="291" t="s">
        <v>76</v>
      </c>
      <c r="B121" s="292">
        <v>889</v>
      </c>
    </row>
    <row r="122" spans="1:2" ht="14.5">
      <c r="A122" s="291" t="s">
        <v>328</v>
      </c>
      <c r="B122" s="292">
        <v>0</v>
      </c>
    </row>
    <row r="123" spans="1:2" ht="14.5">
      <c r="A123" s="291" t="s">
        <v>329</v>
      </c>
      <c r="B123" s="291">
        <v>1225</v>
      </c>
    </row>
    <row r="124" spans="1:2" ht="14.5">
      <c r="A124" s="291" t="s">
        <v>330</v>
      </c>
      <c r="B124" s="291">
        <v>3426</v>
      </c>
    </row>
    <row r="125" spans="1:2" ht="14.5">
      <c r="A125" s="291" t="s">
        <v>331</v>
      </c>
      <c r="B125" s="291">
        <v>1035</v>
      </c>
    </row>
    <row r="126" spans="1:2" ht="14.5">
      <c r="A126" s="291" t="s">
        <v>332</v>
      </c>
      <c r="B126" s="291">
        <v>0</v>
      </c>
    </row>
    <row r="127" spans="1:2" ht="14.5">
      <c r="A127" s="291" t="s">
        <v>333</v>
      </c>
      <c r="B127" s="291">
        <v>9</v>
      </c>
    </row>
    <row r="128" spans="1:2" ht="14.5">
      <c r="A128" s="291" t="s">
        <v>334</v>
      </c>
      <c r="B128" s="291">
        <v>0</v>
      </c>
    </row>
    <row r="129" spans="1:2" ht="14.5">
      <c r="A129" s="291" t="s">
        <v>335</v>
      </c>
      <c r="B129" s="291">
        <v>0</v>
      </c>
    </row>
    <row r="130" spans="1:2" ht="14.5">
      <c r="A130" s="291" t="s">
        <v>336</v>
      </c>
      <c r="B130" s="291">
        <v>0</v>
      </c>
    </row>
    <row r="131" spans="1:2" ht="14.5">
      <c r="A131" s="291" t="s">
        <v>337</v>
      </c>
      <c r="B131" s="291">
        <v>0</v>
      </c>
    </row>
    <row r="132" spans="1:2" ht="14.5">
      <c r="A132" s="291" t="s">
        <v>338</v>
      </c>
      <c r="B132" s="292">
        <v>0</v>
      </c>
    </row>
    <row r="133" spans="1:2" ht="14.5">
      <c r="A133" s="291" t="s">
        <v>339</v>
      </c>
      <c r="B133" s="291">
        <v>0</v>
      </c>
    </row>
    <row r="134" spans="1:2" ht="14.5">
      <c r="A134" s="291" t="s">
        <v>340</v>
      </c>
      <c r="B134" s="291">
        <v>184</v>
      </c>
    </row>
    <row r="135" spans="1:2" ht="14.5">
      <c r="A135" s="291" t="s">
        <v>341</v>
      </c>
      <c r="B135" s="292">
        <v>0</v>
      </c>
    </row>
    <row r="136" spans="1:2" ht="14.5">
      <c r="A136" s="291" t="s">
        <v>342</v>
      </c>
      <c r="B136" s="291">
        <v>5</v>
      </c>
    </row>
    <row r="137" spans="1:2" ht="14.5">
      <c r="A137" s="291" t="s">
        <v>343</v>
      </c>
      <c r="B137" s="291">
        <v>1635</v>
      </c>
    </row>
    <row r="138" spans="1:2" ht="14.5">
      <c r="A138" s="291" t="s">
        <v>344</v>
      </c>
      <c r="B138" s="291">
        <v>274</v>
      </c>
    </row>
    <row r="139" spans="1:2" ht="14.5">
      <c r="A139" s="291" t="s">
        <v>345</v>
      </c>
      <c r="B139" s="291">
        <v>0</v>
      </c>
    </row>
    <row r="140" spans="1:2" ht="14.5">
      <c r="A140" s="291" t="s">
        <v>346</v>
      </c>
      <c r="B140" s="291">
        <v>0</v>
      </c>
    </row>
    <row r="141" spans="1:2" ht="14.5">
      <c r="A141" s="291" t="s">
        <v>347</v>
      </c>
      <c r="B141" s="291">
        <v>3855</v>
      </c>
    </row>
    <row r="142" spans="1:2" ht="43.5">
      <c r="A142" s="291" t="s">
        <v>348</v>
      </c>
      <c r="B142" s="291">
        <v>156</v>
      </c>
    </row>
    <row r="143" spans="1:2" ht="14.5">
      <c r="A143" s="291" t="s">
        <v>349</v>
      </c>
      <c r="B143" s="292">
        <v>0</v>
      </c>
    </row>
    <row r="144" spans="1:2" ht="14.5">
      <c r="A144" s="291" t="s">
        <v>350</v>
      </c>
      <c r="B144" s="291">
        <v>0</v>
      </c>
    </row>
    <row r="145" spans="1:2" ht="14.5">
      <c r="A145" s="291" t="s">
        <v>351</v>
      </c>
      <c r="B145" s="291">
        <v>4941</v>
      </c>
    </row>
    <row r="146" spans="1:2" ht="14.5">
      <c r="A146" s="291" t="s">
        <v>352</v>
      </c>
      <c r="B146" s="291">
        <v>0</v>
      </c>
    </row>
    <row r="147" spans="1:2" ht="14.5">
      <c r="A147" s="291" t="s">
        <v>353</v>
      </c>
      <c r="B147" s="291">
        <v>12</v>
      </c>
    </row>
    <row r="148" spans="1:2" ht="14.5">
      <c r="A148" s="291" t="s">
        <v>354</v>
      </c>
      <c r="B148" s="291">
        <v>2</v>
      </c>
    </row>
    <row r="149" spans="1:2" ht="14.5">
      <c r="A149" s="291" t="s">
        <v>355</v>
      </c>
      <c r="B149" s="291">
        <v>0</v>
      </c>
    </row>
    <row r="150" spans="1:2" ht="14.5">
      <c r="A150" s="291" t="s">
        <v>356</v>
      </c>
      <c r="B150" s="291">
        <v>0</v>
      </c>
    </row>
    <row r="151" spans="1:2" ht="14.5">
      <c r="A151" s="291" t="s">
        <v>357</v>
      </c>
      <c r="B151" s="291">
        <v>0</v>
      </c>
    </row>
    <row r="152" spans="1:2" ht="14.5">
      <c r="A152" s="291" t="s">
        <v>358</v>
      </c>
      <c r="B152" s="291">
        <v>0</v>
      </c>
    </row>
    <row r="153" spans="1:2" ht="14.5">
      <c r="A153" s="291" t="s">
        <v>359</v>
      </c>
      <c r="B153" s="291">
        <v>1263</v>
      </c>
    </row>
    <row r="154" spans="1:2" ht="14.5">
      <c r="A154" s="291" t="s">
        <v>360</v>
      </c>
      <c r="B154" s="291">
        <v>0</v>
      </c>
    </row>
    <row r="155" spans="1:2" ht="14.5">
      <c r="A155" s="291" t="s">
        <v>361</v>
      </c>
      <c r="B155" s="291">
        <v>0</v>
      </c>
    </row>
    <row r="156" spans="1:2" ht="14.5">
      <c r="A156" s="291" t="s">
        <v>362</v>
      </c>
      <c r="B156" s="291">
        <v>0</v>
      </c>
    </row>
    <row r="157" spans="1:2" ht="14.5">
      <c r="A157" s="291" t="s">
        <v>363</v>
      </c>
      <c r="B157" s="291">
        <v>55</v>
      </c>
    </row>
    <row r="158" spans="1:2" ht="14.5">
      <c r="A158" s="291" t="s">
        <v>364</v>
      </c>
      <c r="B158" s="291">
        <v>5.2</v>
      </c>
    </row>
    <row r="159" spans="1:2" ht="14.5">
      <c r="A159" s="291" t="s">
        <v>365</v>
      </c>
      <c r="B159" s="291">
        <v>0</v>
      </c>
    </row>
    <row r="160" spans="1:2" ht="14.5">
      <c r="A160" s="291" t="s">
        <v>366</v>
      </c>
      <c r="B160" s="291">
        <v>0</v>
      </c>
    </row>
    <row r="161" spans="1:2" ht="14.5">
      <c r="A161" s="291" t="s">
        <v>367</v>
      </c>
      <c r="B161" s="292">
        <v>0</v>
      </c>
    </row>
    <row r="162" spans="1:2" ht="14.5">
      <c r="A162" s="291" t="s">
        <v>368</v>
      </c>
      <c r="B162" s="291">
        <v>40</v>
      </c>
    </row>
    <row r="163" spans="1:2" ht="14.5">
      <c r="A163" s="291" t="s">
        <v>369</v>
      </c>
      <c r="B163" s="291">
        <v>1206</v>
      </c>
    </row>
    <row r="164" spans="1:2" ht="14.5">
      <c r="A164" s="291" t="s">
        <v>370</v>
      </c>
      <c r="B164" s="291">
        <v>0</v>
      </c>
    </row>
    <row r="165" spans="1:2" ht="14.5">
      <c r="A165" s="291" t="s">
        <v>371</v>
      </c>
      <c r="B165" s="291">
        <v>0</v>
      </c>
    </row>
    <row r="166" spans="1:2" ht="14.5">
      <c r="A166" s="291" t="s">
        <v>372</v>
      </c>
      <c r="B166" s="291">
        <v>0</v>
      </c>
    </row>
    <row r="167" spans="1:2" ht="14.5">
      <c r="A167" s="291" t="s">
        <v>373</v>
      </c>
      <c r="B167" s="291">
        <v>0</v>
      </c>
    </row>
    <row r="168" spans="1:2" ht="14.5">
      <c r="A168" s="291" t="s">
        <v>374</v>
      </c>
      <c r="B168" s="291">
        <v>0</v>
      </c>
    </row>
    <row r="169" spans="1:2" ht="14.5">
      <c r="A169" s="291" t="s">
        <v>375</v>
      </c>
      <c r="B169" s="291">
        <v>0</v>
      </c>
    </row>
    <row r="170" spans="1:2" ht="14.5">
      <c r="A170" s="291" t="s">
        <v>376</v>
      </c>
      <c r="B170" s="291">
        <v>0</v>
      </c>
    </row>
    <row r="171" spans="1:2" ht="14.5">
      <c r="A171" s="291" t="s">
        <v>377</v>
      </c>
      <c r="B171" s="291">
        <v>0</v>
      </c>
    </row>
    <row r="172" spans="1:2" ht="14.5">
      <c r="A172" s="291" t="s">
        <v>378</v>
      </c>
      <c r="B172" s="291">
        <v>0</v>
      </c>
    </row>
    <row r="173" spans="1:2" ht="14.5">
      <c r="A173" s="291" t="s">
        <v>379</v>
      </c>
      <c r="B173" s="291">
        <v>0</v>
      </c>
    </row>
    <row r="174" spans="1:2" ht="14.5">
      <c r="A174" s="291" t="s">
        <v>380</v>
      </c>
      <c r="B174" s="291">
        <v>287</v>
      </c>
    </row>
    <row r="175" spans="1:2" ht="14.5">
      <c r="A175" s="291" t="s">
        <v>381</v>
      </c>
      <c r="B175" s="291">
        <v>0</v>
      </c>
    </row>
    <row r="176" spans="1:2" ht="14.5">
      <c r="A176" s="291" t="s">
        <v>382</v>
      </c>
      <c r="B176" s="291">
        <v>808</v>
      </c>
    </row>
    <row r="177" spans="1:2" ht="14.5">
      <c r="A177" s="291" t="s">
        <v>383</v>
      </c>
      <c r="B177" s="291">
        <v>71</v>
      </c>
    </row>
    <row r="178" spans="1:2" ht="14.5">
      <c r="A178" s="291" t="s">
        <v>384</v>
      </c>
      <c r="B178" s="291">
        <v>0</v>
      </c>
    </row>
    <row r="179" spans="1:2" ht="43.5">
      <c r="A179" s="291" t="s">
        <v>385</v>
      </c>
      <c r="B179" s="291">
        <v>0</v>
      </c>
    </row>
    <row r="180" spans="1:2" ht="14.5">
      <c r="A180" s="291" t="s">
        <v>386</v>
      </c>
      <c r="B180" s="291">
        <v>0</v>
      </c>
    </row>
    <row r="181" spans="1:2" ht="14.5">
      <c r="A181" s="291" t="s">
        <v>387</v>
      </c>
      <c r="B181" s="291">
        <v>7350</v>
      </c>
    </row>
    <row r="182" spans="1:2" ht="14.5">
      <c r="A182" s="291" t="s">
        <v>388</v>
      </c>
      <c r="B182" s="291">
        <v>0</v>
      </c>
    </row>
    <row r="183" spans="1:2" ht="14.5">
      <c r="A183" s="291" t="s">
        <v>389</v>
      </c>
      <c r="B183" s="291">
        <v>0</v>
      </c>
    </row>
    <row r="184" spans="1:2" ht="14.5">
      <c r="A184" s="291" t="s">
        <v>390</v>
      </c>
      <c r="B184" s="291">
        <v>0</v>
      </c>
    </row>
    <row r="185" spans="1:2" ht="14.5">
      <c r="A185" s="291" t="s">
        <v>391</v>
      </c>
      <c r="B185" s="291">
        <v>0</v>
      </c>
    </row>
    <row r="186" spans="1:2" ht="14.5">
      <c r="A186" s="291" t="s">
        <v>392</v>
      </c>
      <c r="B186" s="291">
        <v>0</v>
      </c>
    </row>
    <row r="187" spans="1:2" ht="14.5">
      <c r="A187" s="291" t="s">
        <v>393</v>
      </c>
      <c r="B187" s="292">
        <v>0</v>
      </c>
    </row>
    <row r="188" spans="1:2" ht="14.5">
      <c r="A188" s="291" t="s">
        <v>394</v>
      </c>
      <c r="B188" s="291">
        <v>0</v>
      </c>
    </row>
    <row r="189" spans="1:2" ht="14.5">
      <c r="A189" s="291" t="s">
        <v>395</v>
      </c>
      <c r="B189" s="291">
        <v>615</v>
      </c>
    </row>
    <row r="190" spans="1:2" ht="14.5">
      <c r="A190" s="291" t="s">
        <v>396</v>
      </c>
      <c r="B190" s="291">
        <v>3</v>
      </c>
    </row>
    <row r="191" spans="1:2" ht="14.5">
      <c r="A191" s="291" t="s">
        <v>397</v>
      </c>
      <c r="B191" s="291">
        <v>5</v>
      </c>
    </row>
    <row r="192" spans="1:2" ht="14.5">
      <c r="A192" s="291" t="s">
        <v>398</v>
      </c>
      <c r="B192" s="291">
        <v>1</v>
      </c>
    </row>
    <row r="193" spans="1:2" ht="14.5">
      <c r="A193" s="291" t="s">
        <v>399</v>
      </c>
      <c r="B193" s="292">
        <v>0</v>
      </c>
    </row>
    <row r="194" spans="1:2" ht="14.5">
      <c r="A194" s="291" t="s">
        <v>400</v>
      </c>
      <c r="B194" s="291">
        <v>0</v>
      </c>
    </row>
    <row r="195" spans="1:2" ht="14.5">
      <c r="A195" s="291" t="s">
        <v>401</v>
      </c>
      <c r="B195" s="292">
        <v>2090</v>
      </c>
    </row>
    <row r="196" spans="1:2" ht="14.5">
      <c r="A196" s="291" t="s">
        <v>402</v>
      </c>
      <c r="B196" s="291">
        <v>0</v>
      </c>
    </row>
    <row r="197" spans="1:2" ht="14.5">
      <c r="A197" s="291" t="s">
        <v>403</v>
      </c>
      <c r="B197" s="291">
        <v>5730</v>
      </c>
    </row>
    <row r="198" spans="1:2" ht="14.5">
      <c r="A198" s="291" t="s">
        <v>404</v>
      </c>
      <c r="B198" s="292">
        <v>0</v>
      </c>
    </row>
    <row r="199" spans="1:2" ht="14.5">
      <c r="A199" s="291" t="s">
        <v>71</v>
      </c>
      <c r="B199" s="291">
        <v>46</v>
      </c>
    </row>
    <row r="200" spans="1:2" ht="14.5">
      <c r="A200" s="291" t="s">
        <v>405</v>
      </c>
      <c r="B200" s="291">
        <v>2956</v>
      </c>
    </row>
    <row r="201" spans="1:2" ht="14.5">
      <c r="A201" s="291" t="s">
        <v>406</v>
      </c>
      <c r="B201" s="291">
        <v>1075</v>
      </c>
    </row>
    <row r="202" spans="1:2" ht="14.5">
      <c r="A202" s="291" t="s">
        <v>407</v>
      </c>
      <c r="B202" s="291">
        <v>1135</v>
      </c>
    </row>
    <row r="203" spans="1:2" ht="14.5">
      <c r="A203" s="291" t="s">
        <v>408</v>
      </c>
      <c r="B203" s="291">
        <v>0</v>
      </c>
    </row>
    <row r="204" spans="1:2" ht="14.5">
      <c r="A204" s="291" t="s">
        <v>409</v>
      </c>
      <c r="B204" s="291">
        <v>0</v>
      </c>
    </row>
    <row r="205" spans="1:2" ht="14.5">
      <c r="A205" s="291" t="s">
        <v>410</v>
      </c>
      <c r="B205" s="291">
        <v>0</v>
      </c>
    </row>
    <row r="206" spans="1:2" ht="14.5">
      <c r="A206" s="291" t="s">
        <v>411</v>
      </c>
      <c r="B206" s="291">
        <v>15</v>
      </c>
    </row>
    <row r="207" spans="1:2" ht="14.5">
      <c r="A207" s="291" t="s">
        <v>412</v>
      </c>
      <c r="B207" s="292">
        <v>1</v>
      </c>
    </row>
    <row r="208" spans="1:2" ht="14.5">
      <c r="A208" s="291" t="s">
        <v>413</v>
      </c>
      <c r="B208" s="291">
        <v>1080</v>
      </c>
    </row>
    <row r="209" spans="1:2" ht="14.5">
      <c r="A209" s="291" t="s">
        <v>414</v>
      </c>
      <c r="B209" s="292">
        <v>4347</v>
      </c>
    </row>
    <row r="210" spans="1:2" ht="14.5">
      <c r="A210" s="291" t="s">
        <v>415</v>
      </c>
      <c r="B210" s="292">
        <v>788</v>
      </c>
    </row>
    <row r="211" spans="1:2" ht="14.5">
      <c r="A211" s="291" t="s">
        <v>416</v>
      </c>
      <c r="B211" s="291">
        <v>1687</v>
      </c>
    </row>
    <row r="212" spans="1:2" ht="14.5">
      <c r="A212" s="291" t="s">
        <v>417</v>
      </c>
      <c r="B212" s="291">
        <v>931</v>
      </c>
    </row>
    <row r="213" spans="1:2" ht="14.5">
      <c r="A213" s="291" t="s">
        <v>418</v>
      </c>
      <c r="B213" s="291">
        <v>0</v>
      </c>
    </row>
    <row r="214" spans="1:2" ht="14.5">
      <c r="A214" s="291" t="s">
        <v>419</v>
      </c>
      <c r="B214" s="291">
        <v>668</v>
      </c>
    </row>
    <row r="215" spans="1:2" ht="14.5">
      <c r="A215" s="291" t="s">
        <v>420</v>
      </c>
      <c r="B215" s="291">
        <v>0</v>
      </c>
    </row>
    <row r="216" spans="1:2" ht="14.5">
      <c r="A216" s="291" t="s">
        <v>421</v>
      </c>
      <c r="B216" s="291">
        <v>0</v>
      </c>
    </row>
    <row r="217" spans="1:2" ht="14.5">
      <c r="A217" s="291" t="s">
        <v>422</v>
      </c>
      <c r="B217" s="292">
        <v>0</v>
      </c>
    </row>
    <row r="218" spans="1:2" ht="14.5">
      <c r="A218" s="291" t="s">
        <v>423</v>
      </c>
      <c r="B218" s="291">
        <v>0</v>
      </c>
    </row>
    <row r="219" spans="1:2" ht="14.5">
      <c r="A219" s="291" t="s">
        <v>424</v>
      </c>
      <c r="B219" s="291">
        <v>1922</v>
      </c>
    </row>
    <row r="220" spans="1:2" ht="14.5">
      <c r="A220" s="291" t="s">
        <v>425</v>
      </c>
      <c r="B220" s="291">
        <v>0</v>
      </c>
    </row>
    <row r="221" spans="1:2" ht="14.5">
      <c r="A221" s="291" t="s">
        <v>426</v>
      </c>
      <c r="B221" s="291">
        <v>923</v>
      </c>
    </row>
    <row r="222" spans="1:2" ht="14.5">
      <c r="A222" s="291" t="s">
        <v>427</v>
      </c>
      <c r="B222" s="291">
        <v>161</v>
      </c>
    </row>
    <row r="223" spans="1:2" ht="14.5">
      <c r="A223" s="291" t="s">
        <v>72</v>
      </c>
      <c r="B223" s="291">
        <v>76</v>
      </c>
    </row>
    <row r="224" spans="1:2" ht="14.5">
      <c r="A224" s="291" t="s">
        <v>428</v>
      </c>
      <c r="B224" s="291">
        <v>0</v>
      </c>
    </row>
    <row r="225" spans="1:2" ht="14.5">
      <c r="A225" s="291" t="s">
        <v>429</v>
      </c>
      <c r="B225" s="291">
        <v>0</v>
      </c>
    </row>
    <row r="226" spans="1:2" ht="14.5">
      <c r="A226" s="291" t="s">
        <v>430</v>
      </c>
      <c r="B226" s="291">
        <v>80</v>
      </c>
    </row>
    <row r="227" spans="1:2" ht="14.5">
      <c r="A227" s="291" t="s">
        <v>431</v>
      </c>
      <c r="B227" s="291">
        <v>2119</v>
      </c>
    </row>
    <row r="228" spans="1:2" ht="14.5">
      <c r="A228" s="291" t="s">
        <v>432</v>
      </c>
      <c r="B228" s="291">
        <v>0</v>
      </c>
    </row>
    <row r="229" spans="1:2" ht="14.5">
      <c r="A229" s="291" t="s">
        <v>433</v>
      </c>
      <c r="B229" s="291">
        <v>0</v>
      </c>
    </row>
    <row r="230" spans="1:2" ht="14.5">
      <c r="A230" s="291" t="s">
        <v>434</v>
      </c>
      <c r="B230" s="291">
        <v>0</v>
      </c>
    </row>
    <row r="231" spans="1:2" ht="14.5">
      <c r="A231" s="291" t="s">
        <v>435</v>
      </c>
      <c r="B231" s="291">
        <v>1342</v>
      </c>
    </row>
    <row r="232" spans="1:2" ht="14.5">
      <c r="A232" s="291" t="s">
        <v>436</v>
      </c>
      <c r="B232" s="291">
        <v>0</v>
      </c>
    </row>
    <row r="233" spans="1:2" ht="14.5">
      <c r="A233" s="291" t="s">
        <v>437</v>
      </c>
      <c r="B233" s="291">
        <v>0</v>
      </c>
    </row>
    <row r="234" spans="1:2" ht="14.5">
      <c r="A234" s="291" t="s">
        <v>438</v>
      </c>
      <c r="B234" s="291">
        <v>0</v>
      </c>
    </row>
    <row r="235" spans="1:2" ht="14.5">
      <c r="A235" s="291" t="s">
        <v>439</v>
      </c>
      <c r="B235" s="291">
        <v>0</v>
      </c>
    </row>
    <row r="236" spans="1:2" ht="14.5">
      <c r="A236" s="291" t="s">
        <v>440</v>
      </c>
      <c r="B236" s="291">
        <v>0</v>
      </c>
    </row>
    <row r="237" spans="1:2" ht="14.5">
      <c r="A237" s="291" t="s">
        <v>441</v>
      </c>
      <c r="B237" s="291">
        <v>0</v>
      </c>
    </row>
    <row r="238" spans="1:2" ht="14.5">
      <c r="A238" s="291" t="s">
        <v>442</v>
      </c>
      <c r="B238" s="291">
        <v>0</v>
      </c>
    </row>
    <row r="239" spans="1:2" ht="14.5">
      <c r="A239" s="291" t="s">
        <v>443</v>
      </c>
      <c r="B239" s="291">
        <v>115</v>
      </c>
    </row>
    <row r="240" spans="1:2" ht="14.5">
      <c r="A240" s="291" t="s">
        <v>444</v>
      </c>
      <c r="B240" s="291">
        <v>106</v>
      </c>
    </row>
    <row r="241" spans="1:2" ht="14.5">
      <c r="A241" s="291" t="s">
        <v>445</v>
      </c>
      <c r="B241" s="291">
        <v>0</v>
      </c>
    </row>
    <row r="242" spans="1:2" ht="14.5">
      <c r="A242" s="291" t="s">
        <v>446</v>
      </c>
      <c r="B242" s="291">
        <v>0</v>
      </c>
    </row>
    <row r="243" spans="1:2" ht="43.5">
      <c r="A243" s="291" t="s">
        <v>447</v>
      </c>
      <c r="B243" s="291">
        <v>0</v>
      </c>
    </row>
    <row r="244" spans="1:2" ht="14.5">
      <c r="A244" s="291" t="s">
        <v>448</v>
      </c>
      <c r="B244" s="291">
        <v>0</v>
      </c>
    </row>
    <row r="245" spans="1:2" ht="14.5">
      <c r="A245" s="291" t="s">
        <v>449</v>
      </c>
      <c r="B245" s="291">
        <v>0</v>
      </c>
    </row>
    <row r="246" spans="1:2" ht="14.5">
      <c r="A246" s="291" t="s">
        <v>450</v>
      </c>
      <c r="B246" s="291">
        <v>0</v>
      </c>
    </row>
    <row r="247" spans="1:2" ht="14.5">
      <c r="A247" s="291" t="s">
        <v>451</v>
      </c>
      <c r="B247" s="291">
        <v>0</v>
      </c>
    </row>
    <row r="248" spans="1:2" ht="14.5">
      <c r="A248" s="291" t="s">
        <v>452</v>
      </c>
      <c r="B248" s="291">
        <v>0</v>
      </c>
    </row>
    <row r="249" spans="1:2" ht="14.5">
      <c r="A249" s="291" t="s">
        <v>453</v>
      </c>
      <c r="B249" s="291">
        <v>16</v>
      </c>
    </row>
    <row r="250" spans="1:2" ht="14.5">
      <c r="A250" s="291" t="s">
        <v>454</v>
      </c>
      <c r="B250" s="291">
        <v>0</v>
      </c>
    </row>
    <row r="251" spans="1:2" ht="14.5">
      <c r="A251" s="291" t="s">
        <v>455</v>
      </c>
      <c r="B251" s="291">
        <v>0</v>
      </c>
    </row>
    <row r="252" spans="1:2" ht="14.5">
      <c r="A252" s="291" t="s">
        <v>456</v>
      </c>
      <c r="B252" s="291">
        <v>0</v>
      </c>
    </row>
    <row r="253" spans="1:2" ht="14.5">
      <c r="A253" s="291" t="s">
        <v>144</v>
      </c>
      <c r="B253" s="291">
        <v>18</v>
      </c>
    </row>
    <row r="254" spans="1:2" ht="14.5">
      <c r="A254" s="291" t="s">
        <v>457</v>
      </c>
      <c r="B254" s="291">
        <v>0</v>
      </c>
    </row>
    <row r="255" spans="1:2" ht="14.5">
      <c r="A255" s="291" t="s">
        <v>458</v>
      </c>
      <c r="B255" s="291">
        <v>0</v>
      </c>
    </row>
    <row r="256" spans="1:2" ht="14.5">
      <c r="A256" s="291" t="s">
        <v>459</v>
      </c>
      <c r="B256" s="291">
        <v>0</v>
      </c>
    </row>
    <row r="257" spans="1:2" ht="14.5">
      <c r="A257" s="291" t="s">
        <v>460</v>
      </c>
      <c r="B257" s="291">
        <v>0</v>
      </c>
    </row>
    <row r="258" spans="1:2" ht="14.5">
      <c r="A258" s="291" t="s">
        <v>461</v>
      </c>
      <c r="B258" s="291">
        <v>0</v>
      </c>
    </row>
    <row r="259" spans="1:2" ht="14.5">
      <c r="A259" s="291" t="s">
        <v>462</v>
      </c>
      <c r="B259" s="291">
        <v>1</v>
      </c>
    </row>
    <row r="260" spans="1:2" ht="14.5">
      <c r="A260" s="291" t="s">
        <v>463</v>
      </c>
      <c r="B260" s="291">
        <v>0</v>
      </c>
    </row>
    <row r="261" spans="1:2" ht="14.5">
      <c r="A261" s="291" t="s">
        <v>464</v>
      </c>
      <c r="B261" s="291">
        <v>0</v>
      </c>
    </row>
    <row r="262" spans="1:2" ht="14.5">
      <c r="A262" s="291" t="s">
        <v>465</v>
      </c>
      <c r="B262" s="291">
        <v>0</v>
      </c>
    </row>
    <row r="263" spans="1:2" ht="14.5">
      <c r="A263" s="291" t="s">
        <v>466</v>
      </c>
      <c r="B263" s="291">
        <v>0</v>
      </c>
    </row>
    <row r="264" spans="1:2" ht="14.5">
      <c r="A264" s="291" t="s">
        <v>467</v>
      </c>
      <c r="B264" s="291">
        <v>0</v>
      </c>
    </row>
    <row r="265" spans="1:2" ht="14.5">
      <c r="A265" s="291" t="s">
        <v>468</v>
      </c>
      <c r="B265" s="291">
        <v>0</v>
      </c>
    </row>
    <row r="266" spans="1:2" ht="14.5">
      <c r="A266" s="291" t="s">
        <v>469</v>
      </c>
      <c r="B266" s="291">
        <v>0</v>
      </c>
    </row>
    <row r="267" spans="1:2" ht="14.5">
      <c r="A267" s="291" t="s">
        <v>470</v>
      </c>
      <c r="B267" s="291">
        <v>0</v>
      </c>
    </row>
    <row r="268" spans="1:2" ht="14.5">
      <c r="A268" s="291" t="s">
        <v>471</v>
      </c>
      <c r="B268" s="291">
        <v>0</v>
      </c>
    </row>
    <row r="269" spans="1:2" ht="14.5">
      <c r="A269" s="291" t="s">
        <v>472</v>
      </c>
      <c r="B269" s="291">
        <v>44</v>
      </c>
    </row>
    <row r="270" spans="1:2" ht="14.5">
      <c r="A270" s="291" t="s">
        <v>473</v>
      </c>
      <c r="B270" s="291">
        <v>0</v>
      </c>
    </row>
    <row r="271" spans="1:2" ht="14.5">
      <c r="A271" s="291" t="s">
        <v>474</v>
      </c>
      <c r="B271" s="291">
        <v>792</v>
      </c>
    </row>
    <row r="272" spans="1:2" ht="14.5">
      <c r="A272" s="291" t="s">
        <v>475</v>
      </c>
      <c r="B272" s="291">
        <v>0</v>
      </c>
    </row>
    <row r="273" spans="1:2" ht="14.5">
      <c r="A273" s="291" t="s">
        <v>476</v>
      </c>
      <c r="B273" s="291">
        <v>0</v>
      </c>
    </row>
    <row r="274" spans="1:2" ht="14.5">
      <c r="A274" s="291" t="s">
        <v>477</v>
      </c>
      <c r="B274" s="291">
        <v>0</v>
      </c>
    </row>
    <row r="275" spans="1:2" ht="14.5">
      <c r="A275" s="291" t="s">
        <v>478</v>
      </c>
      <c r="B275" s="291">
        <v>0</v>
      </c>
    </row>
    <row r="276" spans="1:2" ht="14.5">
      <c r="A276" s="291" t="s">
        <v>479</v>
      </c>
      <c r="B276" s="291">
        <v>0</v>
      </c>
    </row>
    <row r="277" spans="1:2" ht="14.5">
      <c r="A277" s="291" t="s">
        <v>480</v>
      </c>
      <c r="B277" s="291">
        <v>0</v>
      </c>
    </row>
    <row r="278" spans="1:2" ht="14.5">
      <c r="A278" s="291" t="s">
        <v>481</v>
      </c>
      <c r="B278" s="291">
        <v>0</v>
      </c>
    </row>
    <row r="279" spans="1:2" ht="14.5">
      <c r="A279" s="291" t="s">
        <v>482</v>
      </c>
      <c r="B279" s="291">
        <v>0</v>
      </c>
    </row>
    <row r="280" spans="1:2" ht="14.5">
      <c r="A280" s="291" t="s">
        <v>483</v>
      </c>
      <c r="B280" s="291">
        <v>0</v>
      </c>
    </row>
    <row r="281" spans="1:2" ht="14.5">
      <c r="A281" s="291" t="s">
        <v>484</v>
      </c>
      <c r="B281" s="292">
        <v>0</v>
      </c>
    </row>
    <row r="282" spans="1:2" ht="14.5">
      <c r="A282" s="291" t="s">
        <v>485</v>
      </c>
      <c r="B282" s="291">
        <v>0</v>
      </c>
    </row>
    <row r="283" spans="1:2" ht="14.5">
      <c r="A283" s="291" t="s">
        <v>486</v>
      </c>
      <c r="B283" s="292">
        <v>4566</v>
      </c>
    </row>
    <row r="284" spans="1:2" ht="14.5">
      <c r="A284" s="291" t="s">
        <v>487</v>
      </c>
      <c r="B284" s="291">
        <v>1156</v>
      </c>
    </row>
    <row r="285" spans="1:2" ht="14.5">
      <c r="A285" s="291" t="s">
        <v>488</v>
      </c>
      <c r="B285" s="291">
        <v>2422</v>
      </c>
    </row>
    <row r="286" spans="1:2" ht="14.5">
      <c r="A286" s="291" t="s">
        <v>489</v>
      </c>
      <c r="B286" s="291">
        <v>0</v>
      </c>
    </row>
    <row r="287" spans="1:2" ht="14.5">
      <c r="A287" s="291" t="s">
        <v>490</v>
      </c>
      <c r="B287" s="291">
        <v>1</v>
      </c>
    </row>
    <row r="288" spans="1:2" ht="14.5">
      <c r="A288" s="291" t="s">
        <v>491</v>
      </c>
      <c r="B288" s="291">
        <v>0</v>
      </c>
    </row>
    <row r="289" spans="1:2" ht="14.5">
      <c r="A289" s="291" t="s">
        <v>492</v>
      </c>
      <c r="B289" s="291">
        <v>149</v>
      </c>
    </row>
    <row r="290" spans="1:2" ht="14.5">
      <c r="A290" s="291" t="s">
        <v>493</v>
      </c>
      <c r="B290" s="291">
        <v>0</v>
      </c>
    </row>
    <row r="291" spans="1:2" ht="14.5">
      <c r="A291" s="291" t="s">
        <v>494</v>
      </c>
      <c r="B291" s="291">
        <v>0</v>
      </c>
    </row>
    <row r="292" spans="1:2" ht="14.5">
      <c r="A292" s="291" t="s">
        <v>495</v>
      </c>
      <c r="B292" s="291">
        <v>0</v>
      </c>
    </row>
    <row r="293" spans="1:2" ht="14.5">
      <c r="A293" s="291" t="s">
        <v>496</v>
      </c>
      <c r="B293" s="291">
        <v>245</v>
      </c>
    </row>
    <row r="294" spans="1:2" ht="14.5">
      <c r="A294" s="291" t="s">
        <v>497</v>
      </c>
      <c r="B294" s="291">
        <v>0</v>
      </c>
    </row>
    <row r="295" spans="1:2" ht="14.5">
      <c r="A295" s="291" t="s">
        <v>498</v>
      </c>
      <c r="B295" s="291">
        <v>0</v>
      </c>
    </row>
    <row r="296" spans="1:2" ht="14.5">
      <c r="A296" s="291" t="s">
        <v>499</v>
      </c>
      <c r="B296" s="291">
        <v>0</v>
      </c>
    </row>
    <row r="297" spans="1:2" ht="14.5">
      <c r="A297" s="291" t="s">
        <v>500</v>
      </c>
      <c r="B297" s="291">
        <v>0</v>
      </c>
    </row>
    <row r="298" spans="1:2" ht="14.5">
      <c r="A298" s="291" t="s">
        <v>501</v>
      </c>
      <c r="B298" s="291">
        <v>0</v>
      </c>
    </row>
    <row r="299" spans="1:2" ht="14.5">
      <c r="A299" s="291" t="s">
        <v>502</v>
      </c>
      <c r="B299" s="291">
        <v>0</v>
      </c>
    </row>
    <row r="300" spans="1:2" ht="14.5">
      <c r="A300" s="291" t="s">
        <v>503</v>
      </c>
      <c r="B300" s="291">
        <v>0</v>
      </c>
    </row>
    <row r="301" spans="1:2" ht="14.5">
      <c r="A301" s="291" t="s">
        <v>504</v>
      </c>
      <c r="B301" s="291">
        <v>0</v>
      </c>
    </row>
    <row r="302" spans="1:2" ht="14.5">
      <c r="A302" s="291" t="s">
        <v>505</v>
      </c>
      <c r="B302" s="291">
        <v>0</v>
      </c>
    </row>
    <row r="303" spans="1:2" ht="14.5">
      <c r="A303" s="291" t="s">
        <v>506</v>
      </c>
      <c r="B303" s="291">
        <v>32</v>
      </c>
    </row>
    <row r="304" spans="1:2" ht="14.5">
      <c r="A304" s="291" t="s">
        <v>507</v>
      </c>
      <c r="B304" s="291">
        <v>284</v>
      </c>
    </row>
    <row r="305" spans="1:2" ht="14.5">
      <c r="A305" s="291" t="s">
        <v>508</v>
      </c>
      <c r="B305" s="291">
        <v>43</v>
      </c>
    </row>
    <row r="306" spans="1:2" ht="14.5">
      <c r="A306" s="291" t="s">
        <v>509</v>
      </c>
      <c r="B306" s="292">
        <v>26</v>
      </c>
    </row>
    <row r="307" spans="1:2" ht="14.5">
      <c r="A307" s="291" t="s">
        <v>510</v>
      </c>
      <c r="B307" s="291">
        <v>1</v>
      </c>
    </row>
    <row r="308" spans="1:2" ht="14.5">
      <c r="A308" s="291" t="s">
        <v>82</v>
      </c>
      <c r="B308" s="291">
        <v>2754</v>
      </c>
    </row>
    <row r="309" spans="1:2" ht="14.5">
      <c r="A309" s="291" t="s">
        <v>83</v>
      </c>
      <c r="B309" s="291">
        <v>576</v>
      </c>
    </row>
    <row r="310" spans="1:2" ht="14.5">
      <c r="A310" s="291" t="s">
        <v>511</v>
      </c>
      <c r="B310" s="291">
        <v>0</v>
      </c>
    </row>
    <row r="311" spans="1:2" ht="14.5">
      <c r="A311" s="291" t="s">
        <v>80</v>
      </c>
      <c r="B311" s="291">
        <v>8</v>
      </c>
    </row>
    <row r="312" spans="1:2" ht="14.5">
      <c r="A312" s="291" t="s">
        <v>512</v>
      </c>
      <c r="B312" s="291">
        <v>2</v>
      </c>
    </row>
    <row r="313" spans="1:2" ht="14.5">
      <c r="A313" s="291" t="s">
        <v>513</v>
      </c>
      <c r="B313" s="291">
        <v>0</v>
      </c>
    </row>
    <row r="314" spans="1:2" ht="14.5">
      <c r="A314" s="291" t="s">
        <v>514</v>
      </c>
      <c r="B314" s="291">
        <v>0</v>
      </c>
    </row>
    <row r="315" spans="1:2" ht="14.5">
      <c r="A315" s="291" t="s">
        <v>515</v>
      </c>
      <c r="B315" s="291">
        <v>0</v>
      </c>
    </row>
    <row r="316" spans="1:2" ht="14.5">
      <c r="A316" s="291" t="s">
        <v>516</v>
      </c>
      <c r="B316" s="291">
        <v>0</v>
      </c>
    </row>
    <row r="317" spans="1:2" ht="14.5">
      <c r="A317" s="291" t="s">
        <v>517</v>
      </c>
      <c r="B317" s="291">
        <v>169</v>
      </c>
    </row>
    <row r="318" spans="1:2" ht="14.5">
      <c r="A318" s="291" t="s">
        <v>518</v>
      </c>
      <c r="B318" s="291">
        <v>0</v>
      </c>
    </row>
    <row r="319" spans="1:2" ht="14.5">
      <c r="A319" s="291" t="s">
        <v>519</v>
      </c>
      <c r="B319" s="291">
        <v>0</v>
      </c>
    </row>
    <row r="320" spans="1:2" ht="14.5">
      <c r="A320" s="291" t="s">
        <v>520</v>
      </c>
      <c r="B320" s="291">
        <v>0</v>
      </c>
    </row>
    <row r="321" spans="1:2" ht="14.5">
      <c r="A321" s="291" t="s">
        <v>521</v>
      </c>
      <c r="B321" s="291">
        <v>0</v>
      </c>
    </row>
    <row r="322" spans="1:2" ht="14.5">
      <c r="A322" s="291" t="s">
        <v>522</v>
      </c>
      <c r="B322" s="291">
        <v>0</v>
      </c>
    </row>
    <row r="323" spans="1:2" ht="14.5">
      <c r="A323" s="291" t="s">
        <v>523</v>
      </c>
      <c r="B323" s="292">
        <v>0</v>
      </c>
    </row>
    <row r="324" spans="1:2" ht="14.5">
      <c r="A324" s="291" t="s">
        <v>524</v>
      </c>
      <c r="B324" s="291">
        <v>0</v>
      </c>
    </row>
    <row r="325" spans="1:2" ht="14.5">
      <c r="A325" s="291" t="s">
        <v>525</v>
      </c>
      <c r="B325" s="292">
        <v>939</v>
      </c>
    </row>
    <row r="326" spans="1:2" ht="14.5">
      <c r="A326" s="291" t="s">
        <v>526</v>
      </c>
      <c r="B326" s="291">
        <v>7138</v>
      </c>
    </row>
    <row r="327" spans="1:2" ht="14.5">
      <c r="A327" s="291" t="s">
        <v>527</v>
      </c>
      <c r="B327" s="291">
        <v>0</v>
      </c>
    </row>
    <row r="328" spans="1:2" ht="14.5">
      <c r="A328" s="291" t="s">
        <v>528</v>
      </c>
      <c r="B328" s="291">
        <v>1983</v>
      </c>
    </row>
    <row r="329" spans="1:2" ht="14.5">
      <c r="A329" s="291" t="s">
        <v>529</v>
      </c>
      <c r="B329" s="291">
        <v>0</v>
      </c>
    </row>
    <row r="330" spans="1:2" ht="14.5">
      <c r="A330" s="291" t="s">
        <v>530</v>
      </c>
      <c r="B330" s="291">
        <v>726</v>
      </c>
    </row>
    <row r="331" spans="1:2" ht="14.5">
      <c r="A331" s="291" t="s">
        <v>531</v>
      </c>
      <c r="B331" s="291">
        <v>0</v>
      </c>
    </row>
    <row r="332" spans="1:2" ht="14.5">
      <c r="A332" s="291" t="s">
        <v>70</v>
      </c>
      <c r="B332" s="291">
        <v>54</v>
      </c>
    </row>
    <row r="333" spans="1:2" ht="14.5">
      <c r="A333" s="291" t="s">
        <v>532</v>
      </c>
      <c r="B333" s="291">
        <v>0</v>
      </c>
    </row>
    <row r="334" spans="1:2" ht="14.5">
      <c r="A334" s="291" t="s">
        <v>533</v>
      </c>
      <c r="B334" s="291">
        <v>0</v>
      </c>
    </row>
    <row r="335" spans="1:2" ht="14.5">
      <c r="A335" s="291" t="s">
        <v>534</v>
      </c>
      <c r="B335" s="291">
        <v>0</v>
      </c>
    </row>
    <row r="336" spans="1:2" ht="14.5">
      <c r="A336" s="291" t="s">
        <v>535</v>
      </c>
      <c r="B336" s="291">
        <v>0</v>
      </c>
    </row>
    <row r="337" spans="1:2" ht="14.5">
      <c r="A337" s="291" t="s">
        <v>536</v>
      </c>
      <c r="B337" s="291">
        <v>0</v>
      </c>
    </row>
    <row r="338" spans="1:2" ht="14.5">
      <c r="A338" s="291" t="s">
        <v>537</v>
      </c>
      <c r="B338" s="291">
        <v>0</v>
      </c>
    </row>
    <row r="339" spans="1:2" ht="14.5">
      <c r="A339" s="291" t="s">
        <v>538</v>
      </c>
      <c r="B339" s="291">
        <v>0</v>
      </c>
    </row>
    <row r="340" spans="1:2" ht="14.5">
      <c r="A340" s="291" t="s">
        <v>539</v>
      </c>
      <c r="B340" s="291">
        <v>0</v>
      </c>
    </row>
    <row r="341" spans="1:2" ht="14.5">
      <c r="A341" s="291" t="s">
        <v>540</v>
      </c>
      <c r="B341" s="291">
        <v>0</v>
      </c>
    </row>
    <row r="342" spans="1:2" ht="14.5">
      <c r="A342" s="291" t="s">
        <v>541</v>
      </c>
      <c r="B342" s="291">
        <v>0</v>
      </c>
    </row>
    <row r="343" spans="1:2" ht="14.5">
      <c r="A343" s="291" t="s">
        <v>542</v>
      </c>
      <c r="B343" s="291">
        <v>0</v>
      </c>
    </row>
    <row r="344" spans="1:2" ht="14.5">
      <c r="A344" s="291" t="s">
        <v>543</v>
      </c>
      <c r="B344" s="291">
        <v>0</v>
      </c>
    </row>
    <row r="345" spans="1:2" ht="29">
      <c r="A345" s="291" t="s">
        <v>544</v>
      </c>
      <c r="B345" s="291">
        <v>0</v>
      </c>
    </row>
    <row r="346" spans="1:2" ht="43.5">
      <c r="A346" s="291" t="s">
        <v>545</v>
      </c>
      <c r="B346" s="291">
        <v>0</v>
      </c>
    </row>
    <row r="347" spans="1:2" ht="14.5">
      <c r="A347" s="291" t="s">
        <v>546</v>
      </c>
      <c r="B347" s="291">
        <v>133</v>
      </c>
    </row>
    <row r="348" spans="1:2" ht="14.5">
      <c r="A348" s="291" t="s">
        <v>547</v>
      </c>
      <c r="B348" s="291">
        <v>1</v>
      </c>
    </row>
    <row r="349" spans="1:2" ht="14.5">
      <c r="A349" s="291" t="s">
        <v>548</v>
      </c>
      <c r="B349" s="291">
        <v>4</v>
      </c>
    </row>
    <row r="350" spans="1:2" ht="14.5">
      <c r="A350" s="291" t="s">
        <v>549</v>
      </c>
      <c r="B350" s="291">
        <v>9</v>
      </c>
    </row>
    <row r="351" spans="1:2" ht="14.5">
      <c r="A351" s="291" t="s">
        <v>550</v>
      </c>
      <c r="B351" s="291">
        <v>0</v>
      </c>
    </row>
    <row r="352" spans="1:2" ht="14.5">
      <c r="A352" s="291" t="s">
        <v>551</v>
      </c>
      <c r="B352" s="291">
        <v>0</v>
      </c>
    </row>
    <row r="353" spans="1:2" ht="14.5">
      <c r="A353" s="291" t="s">
        <v>552</v>
      </c>
      <c r="B353" s="291">
        <v>0</v>
      </c>
    </row>
    <row r="354" spans="1:2" ht="14.5">
      <c r="A354" s="291" t="s">
        <v>553</v>
      </c>
      <c r="B354" s="291">
        <v>0</v>
      </c>
    </row>
    <row r="355" spans="1:2" ht="14.5">
      <c r="A355" s="291" t="s">
        <v>554</v>
      </c>
      <c r="B355" s="291">
        <v>0</v>
      </c>
    </row>
    <row r="356" spans="1:2" ht="14.5">
      <c r="A356" s="291" t="s">
        <v>555</v>
      </c>
      <c r="B356" s="291">
        <v>0</v>
      </c>
    </row>
    <row r="357" spans="1:2" ht="14.5">
      <c r="A357" s="291" t="s">
        <v>556</v>
      </c>
      <c r="B357" s="291">
        <v>0</v>
      </c>
    </row>
    <row r="358" spans="1:2" ht="14.5">
      <c r="A358" s="291" t="s">
        <v>557</v>
      </c>
      <c r="B358" s="291">
        <v>0</v>
      </c>
    </row>
    <row r="359" spans="1:2" ht="14.5">
      <c r="A359" s="291" t="s">
        <v>558</v>
      </c>
      <c r="B359" s="291">
        <v>0</v>
      </c>
    </row>
    <row r="360" spans="1:2" ht="14.5">
      <c r="A360" s="291" t="s">
        <v>559</v>
      </c>
      <c r="B360" s="291">
        <v>0</v>
      </c>
    </row>
    <row r="361" spans="1:2" ht="14.5">
      <c r="A361" s="291" t="s">
        <v>560</v>
      </c>
      <c r="B361" s="291">
        <v>2113</v>
      </c>
    </row>
    <row r="362" spans="1:2" ht="14.5">
      <c r="A362" s="291" t="s">
        <v>561</v>
      </c>
      <c r="B362" s="291">
        <v>457</v>
      </c>
    </row>
    <row r="363" spans="1:2" ht="14.5">
      <c r="A363" s="291" t="s">
        <v>562</v>
      </c>
      <c r="B363" s="291">
        <v>227</v>
      </c>
    </row>
    <row r="364" spans="1:2" ht="14.5">
      <c r="A364" s="291" t="s">
        <v>563</v>
      </c>
      <c r="B364" s="291">
        <v>0</v>
      </c>
    </row>
    <row r="365" spans="1:2" ht="14.5">
      <c r="A365" s="291" t="s">
        <v>564</v>
      </c>
      <c r="B365" s="291">
        <v>163</v>
      </c>
    </row>
    <row r="366" spans="1:2" ht="14.5">
      <c r="A366" s="291" t="s">
        <v>565</v>
      </c>
      <c r="B366" s="291">
        <v>0</v>
      </c>
    </row>
    <row r="367" spans="1:2" ht="14.5">
      <c r="A367" s="291" t="s">
        <v>566</v>
      </c>
      <c r="B367" s="291">
        <v>0</v>
      </c>
    </row>
    <row r="368" spans="1:2" ht="14.5">
      <c r="A368" s="291" t="s">
        <v>567</v>
      </c>
      <c r="B368" s="291">
        <v>0</v>
      </c>
    </row>
    <row r="369" spans="1:2" ht="14.5">
      <c r="A369" s="291" t="s">
        <v>568</v>
      </c>
      <c r="B369" s="291">
        <v>0</v>
      </c>
    </row>
    <row r="370" spans="1:2" ht="14.5">
      <c r="A370" s="291" t="s">
        <v>569</v>
      </c>
      <c r="B370" s="291">
        <v>0</v>
      </c>
    </row>
    <row r="371" spans="1:2" ht="14.5">
      <c r="A371" s="291" t="s">
        <v>570</v>
      </c>
      <c r="B371" s="292">
        <v>0</v>
      </c>
    </row>
    <row r="372" spans="1:2" ht="14.5">
      <c r="A372" s="291" t="s">
        <v>571</v>
      </c>
      <c r="B372" s="291">
        <v>153</v>
      </c>
    </row>
    <row r="373" spans="1:2" ht="14.5">
      <c r="A373" s="291" t="s">
        <v>572</v>
      </c>
      <c r="B373" s="291">
        <v>9</v>
      </c>
    </row>
    <row r="374" spans="1:2" ht="14.5">
      <c r="A374" s="291" t="s">
        <v>573</v>
      </c>
      <c r="B374" s="291">
        <v>0</v>
      </c>
    </row>
    <row r="375" spans="1:2" ht="14.5">
      <c r="A375" s="291" t="s">
        <v>574</v>
      </c>
      <c r="B375" s="291">
        <v>199</v>
      </c>
    </row>
    <row r="376" spans="1:2" ht="14.5">
      <c r="A376" s="291" t="s">
        <v>575</v>
      </c>
      <c r="B376" s="291">
        <v>0</v>
      </c>
    </row>
    <row r="377" spans="1:2" ht="14.5">
      <c r="A377" s="291" t="s">
        <v>576</v>
      </c>
      <c r="B377" s="291">
        <v>0</v>
      </c>
    </row>
    <row r="378" spans="1:2" ht="14.5">
      <c r="A378" s="291" t="s">
        <v>577</v>
      </c>
      <c r="B378" s="291">
        <v>0</v>
      </c>
    </row>
    <row r="379" spans="1:2" ht="14.5">
      <c r="A379" s="291" t="s">
        <v>578</v>
      </c>
      <c r="B379" s="291">
        <v>0</v>
      </c>
    </row>
    <row r="380" spans="1:2" ht="14.5">
      <c r="A380" s="291" t="s">
        <v>579</v>
      </c>
      <c r="B380" s="291">
        <v>0</v>
      </c>
    </row>
    <row r="381" spans="1:2" ht="14.5">
      <c r="A381" s="291" t="s">
        <v>580</v>
      </c>
      <c r="B381" s="291">
        <v>0</v>
      </c>
    </row>
    <row r="382" spans="1:2" ht="14.5">
      <c r="A382" s="291" t="s">
        <v>581</v>
      </c>
      <c r="B382" s="291">
        <v>0</v>
      </c>
    </row>
    <row r="383" spans="1:2" ht="14.5">
      <c r="A383" s="291" t="s">
        <v>582</v>
      </c>
      <c r="B383" s="291">
        <v>0</v>
      </c>
    </row>
    <row r="384" spans="1:2" ht="14.5">
      <c r="A384" s="291" t="s">
        <v>583</v>
      </c>
      <c r="B384" s="291">
        <v>0</v>
      </c>
    </row>
    <row r="385" spans="1:2" ht="14.5">
      <c r="A385" s="291" t="s">
        <v>584</v>
      </c>
      <c r="B385" s="291">
        <v>0</v>
      </c>
    </row>
    <row r="386" spans="1:2" ht="14.5">
      <c r="A386" s="291" t="s">
        <v>585</v>
      </c>
      <c r="B386" s="291">
        <v>0</v>
      </c>
    </row>
    <row r="387" spans="1:2" ht="14.5">
      <c r="A387" s="291" t="s">
        <v>586</v>
      </c>
      <c r="B387" s="291">
        <v>0</v>
      </c>
    </row>
    <row r="388" spans="1:2" ht="14.5">
      <c r="A388" s="291" t="s">
        <v>587</v>
      </c>
      <c r="B388" s="291">
        <v>0</v>
      </c>
    </row>
    <row r="389" spans="1:2" ht="14.5">
      <c r="A389" s="291" t="s">
        <v>588</v>
      </c>
      <c r="B389" s="291">
        <v>39</v>
      </c>
    </row>
    <row r="390" spans="1:2" ht="14.5">
      <c r="A390" s="291" t="s">
        <v>589</v>
      </c>
      <c r="B390" s="291">
        <v>0</v>
      </c>
    </row>
    <row r="391" spans="1:2" ht="14.5">
      <c r="A391" s="291" t="s">
        <v>590</v>
      </c>
      <c r="B391" s="291">
        <v>2</v>
      </c>
    </row>
    <row r="392" spans="1:2" ht="14.5">
      <c r="A392" s="291" t="s">
        <v>591</v>
      </c>
      <c r="B392" s="291">
        <v>0</v>
      </c>
    </row>
    <row r="393" spans="1:2" ht="14.5">
      <c r="A393" s="291" t="s">
        <v>592</v>
      </c>
      <c r="B393" s="291">
        <v>755</v>
      </c>
    </row>
    <row r="394" spans="1:2" ht="14.5">
      <c r="A394" s="291" t="s">
        <v>593</v>
      </c>
      <c r="B394" s="291">
        <v>0</v>
      </c>
    </row>
    <row r="395" spans="1:2" ht="14.5">
      <c r="A395" s="291" t="s">
        <v>594</v>
      </c>
      <c r="B395" s="291">
        <v>0</v>
      </c>
    </row>
    <row r="396" spans="1:2" ht="14.5">
      <c r="A396" s="291" t="s">
        <v>595</v>
      </c>
      <c r="B396" s="291">
        <v>0</v>
      </c>
    </row>
    <row r="397" spans="1:2" ht="14.5">
      <c r="A397" s="291" t="s">
        <v>596</v>
      </c>
      <c r="B397" s="291">
        <v>0</v>
      </c>
    </row>
    <row r="398" spans="1:2" ht="14.5">
      <c r="A398" s="291" t="s">
        <v>597</v>
      </c>
      <c r="B398" s="291">
        <v>0</v>
      </c>
    </row>
    <row r="399" spans="1:2" ht="14.5">
      <c r="A399" s="291" t="s">
        <v>598</v>
      </c>
      <c r="B399" s="291">
        <v>27</v>
      </c>
    </row>
    <row r="400" spans="1:2" ht="14.5">
      <c r="A400" s="291" t="s">
        <v>599</v>
      </c>
      <c r="B400" s="291">
        <v>0</v>
      </c>
    </row>
    <row r="401" spans="1:2" ht="43.5">
      <c r="A401" s="291" t="s">
        <v>600</v>
      </c>
      <c r="B401" s="291">
        <v>0</v>
      </c>
    </row>
    <row r="402" spans="1:2" ht="14.5">
      <c r="A402" s="291" t="s">
        <v>601</v>
      </c>
      <c r="B402" s="291">
        <v>0</v>
      </c>
    </row>
    <row r="403" spans="1:2" ht="14.5">
      <c r="A403" s="291" t="s">
        <v>602</v>
      </c>
      <c r="B403" s="291">
        <v>0</v>
      </c>
    </row>
    <row r="404" spans="1:2" ht="14.5">
      <c r="A404" s="291" t="s">
        <v>603</v>
      </c>
      <c r="B404" s="291">
        <v>0</v>
      </c>
    </row>
    <row r="405" spans="1:2" ht="14.5">
      <c r="A405" s="291" t="s">
        <v>604</v>
      </c>
      <c r="B405" s="291">
        <v>0</v>
      </c>
    </row>
    <row r="406" spans="1:2" ht="14.5">
      <c r="A406" s="291" t="s">
        <v>605</v>
      </c>
      <c r="B406" s="291">
        <v>0</v>
      </c>
    </row>
    <row r="407" spans="1:2" ht="14.5">
      <c r="A407" s="291" t="s">
        <v>606</v>
      </c>
      <c r="B407" s="291">
        <v>0</v>
      </c>
    </row>
    <row r="408" spans="1:2" ht="43.5">
      <c r="A408" s="291" t="s">
        <v>607</v>
      </c>
      <c r="B408" s="291">
        <v>0</v>
      </c>
    </row>
    <row r="409" spans="1:2" ht="43.5">
      <c r="A409" s="291" t="s">
        <v>608</v>
      </c>
      <c r="B409" s="291">
        <v>0</v>
      </c>
    </row>
    <row r="410" spans="1:2" ht="43.5">
      <c r="A410" s="291" t="s">
        <v>609</v>
      </c>
      <c r="B410" s="291">
        <v>0</v>
      </c>
    </row>
    <row r="411" spans="1:2" ht="43.5">
      <c r="A411" s="291" t="s">
        <v>610</v>
      </c>
      <c r="B411" s="291">
        <v>0</v>
      </c>
    </row>
    <row r="412" spans="1:2" ht="14.5">
      <c r="A412" s="291" t="s">
        <v>611</v>
      </c>
      <c r="B412" s="291">
        <v>2628</v>
      </c>
    </row>
    <row r="413" spans="1:2" ht="43.5">
      <c r="A413" s="291" t="s">
        <v>612</v>
      </c>
      <c r="B413" s="291">
        <v>26</v>
      </c>
    </row>
    <row r="414" spans="1:2" ht="14.5">
      <c r="A414" s="291" t="s">
        <v>613</v>
      </c>
      <c r="B414" s="291">
        <v>2331</v>
      </c>
    </row>
    <row r="415" spans="1:2" ht="43.5">
      <c r="A415" s="291" t="s">
        <v>614</v>
      </c>
      <c r="B415" s="291">
        <v>45</v>
      </c>
    </row>
    <row r="416" spans="1:2" ht="14.5">
      <c r="A416" s="291" t="s">
        <v>615</v>
      </c>
      <c r="B416" s="291">
        <v>395</v>
      </c>
    </row>
    <row r="417" spans="1:2" ht="14.5">
      <c r="A417" s="291" t="s">
        <v>616</v>
      </c>
      <c r="B417" s="291">
        <v>1</v>
      </c>
    </row>
    <row r="418" spans="1:2" ht="14.5">
      <c r="A418" s="291" t="s">
        <v>617</v>
      </c>
      <c r="B418" s="291">
        <v>0</v>
      </c>
    </row>
    <row r="419" spans="1:2" ht="14.5">
      <c r="A419" s="291" t="s">
        <v>618</v>
      </c>
      <c r="B419" s="291">
        <v>3</v>
      </c>
    </row>
    <row r="420" spans="1:2" ht="14.5">
      <c r="A420" s="291" t="s">
        <v>125</v>
      </c>
      <c r="B420" s="291">
        <v>4201</v>
      </c>
    </row>
    <row r="421" spans="1:2" ht="43.5">
      <c r="A421" s="291" t="s">
        <v>619</v>
      </c>
      <c r="B421" s="291">
        <v>0</v>
      </c>
    </row>
    <row r="422" spans="1:2" ht="43.5">
      <c r="A422" s="291" t="s">
        <v>620</v>
      </c>
      <c r="B422" s="291">
        <v>0</v>
      </c>
    </row>
    <row r="423" spans="1:2" ht="43.5">
      <c r="A423" s="291" t="s">
        <v>621</v>
      </c>
      <c r="B423" s="291">
        <v>0</v>
      </c>
    </row>
    <row r="424" spans="1:2" ht="43.5">
      <c r="A424" s="291" t="s">
        <v>622</v>
      </c>
      <c r="B424" s="291">
        <v>0</v>
      </c>
    </row>
    <row r="425" spans="1:2" ht="43.5">
      <c r="A425" s="291" t="s">
        <v>623</v>
      </c>
      <c r="B425" s="291">
        <v>0</v>
      </c>
    </row>
    <row r="426" spans="1:2" ht="43.5">
      <c r="A426" s="291" t="s">
        <v>624</v>
      </c>
      <c r="B426" s="291">
        <v>0</v>
      </c>
    </row>
    <row r="427" spans="1:2" ht="14.5">
      <c r="A427" s="291" t="s">
        <v>625</v>
      </c>
      <c r="B427" s="291">
        <v>0</v>
      </c>
    </row>
    <row r="428" spans="1:2" ht="14.5">
      <c r="A428" s="291" t="s">
        <v>626</v>
      </c>
      <c r="B428" s="291">
        <v>0</v>
      </c>
    </row>
    <row r="429" spans="1:2" ht="14.5">
      <c r="A429" s="291" t="s">
        <v>627</v>
      </c>
      <c r="B429" s="291">
        <v>0</v>
      </c>
    </row>
    <row r="430" spans="1:2" ht="43.5">
      <c r="A430" s="291" t="s">
        <v>628</v>
      </c>
      <c r="B430" s="291">
        <v>0</v>
      </c>
    </row>
    <row r="431" spans="1:2" ht="43.5">
      <c r="A431" s="291" t="s">
        <v>629</v>
      </c>
      <c r="B431" s="291">
        <v>0</v>
      </c>
    </row>
    <row r="432" spans="1:2" ht="43.5">
      <c r="A432" s="291" t="s">
        <v>630</v>
      </c>
      <c r="B432" s="291">
        <v>0</v>
      </c>
    </row>
    <row r="433" spans="1:2" ht="14.5">
      <c r="A433" s="291" t="s">
        <v>631</v>
      </c>
      <c r="B433" s="291">
        <v>0</v>
      </c>
    </row>
    <row r="434" spans="1:2" ht="14.5">
      <c r="A434" s="291" t="s">
        <v>632</v>
      </c>
      <c r="B434" s="291">
        <v>0</v>
      </c>
    </row>
    <row r="435" spans="1:2" ht="14.5">
      <c r="A435" s="291" t="s">
        <v>633</v>
      </c>
      <c r="B435" s="291">
        <v>0</v>
      </c>
    </row>
    <row r="436" spans="1:2" ht="43.5">
      <c r="A436" s="291" t="s">
        <v>634</v>
      </c>
      <c r="B436" s="291">
        <v>0</v>
      </c>
    </row>
    <row r="437" spans="1:2" ht="14.5">
      <c r="A437" s="291" t="s">
        <v>635</v>
      </c>
      <c r="B437" s="292">
        <v>31</v>
      </c>
    </row>
    <row r="438" spans="1:2" ht="14.5">
      <c r="A438" s="291" t="s">
        <v>636</v>
      </c>
      <c r="B438" s="291">
        <v>5304</v>
      </c>
    </row>
    <row r="439" spans="1:2" ht="14.5">
      <c r="A439" s="291" t="s">
        <v>637</v>
      </c>
      <c r="B439" s="291">
        <v>0</v>
      </c>
    </row>
    <row r="440" spans="1:2" ht="14.5">
      <c r="A440" s="291" t="s">
        <v>638</v>
      </c>
      <c r="B440" s="291">
        <v>0</v>
      </c>
    </row>
    <row r="441" spans="1:2" ht="14.5">
      <c r="A441" s="291" t="s">
        <v>639</v>
      </c>
      <c r="B441" s="291">
        <v>0</v>
      </c>
    </row>
    <row r="442" spans="1:2" ht="14.5">
      <c r="A442" s="291" t="s">
        <v>640</v>
      </c>
      <c r="B442" s="291">
        <v>0</v>
      </c>
    </row>
    <row r="443" spans="1:2" ht="14.5">
      <c r="A443" s="291" t="s">
        <v>641</v>
      </c>
      <c r="B443" s="291">
        <v>2</v>
      </c>
    </row>
    <row r="444" spans="1:2" ht="14.5">
      <c r="A444" s="291" t="s">
        <v>642</v>
      </c>
      <c r="B444" s="291">
        <v>0</v>
      </c>
    </row>
    <row r="445" spans="1:2" ht="14.5">
      <c r="A445" s="291" t="s">
        <v>643</v>
      </c>
      <c r="B445" s="291">
        <v>0</v>
      </c>
    </row>
    <row r="446" spans="1:2" ht="14.5">
      <c r="A446" s="291" t="s">
        <v>644</v>
      </c>
      <c r="B446" s="291">
        <v>0</v>
      </c>
    </row>
    <row r="447" spans="1:2" ht="14.5">
      <c r="A447" s="291" t="s">
        <v>645</v>
      </c>
      <c r="B447" s="291">
        <v>0</v>
      </c>
    </row>
    <row r="448" spans="1:2" ht="14.5">
      <c r="A448" s="291" t="s">
        <v>646</v>
      </c>
      <c r="B448" s="291">
        <v>0</v>
      </c>
    </row>
    <row r="449" spans="1:2" ht="14.5">
      <c r="A449" s="291" t="s">
        <v>647</v>
      </c>
      <c r="B449" s="291">
        <v>0</v>
      </c>
    </row>
    <row r="450" spans="1:2" ht="14.5">
      <c r="A450" s="291" t="s">
        <v>648</v>
      </c>
      <c r="B450" s="291">
        <v>0</v>
      </c>
    </row>
    <row r="451" spans="1:2" ht="14.5">
      <c r="A451" s="291" t="s">
        <v>649</v>
      </c>
      <c r="B451" s="291">
        <v>0</v>
      </c>
    </row>
    <row r="452" spans="1:2" ht="14.5">
      <c r="A452" s="291" t="s">
        <v>650</v>
      </c>
      <c r="B452" s="291">
        <v>0</v>
      </c>
    </row>
    <row r="453" spans="1:2" ht="14.5">
      <c r="A453" s="291" t="s">
        <v>651</v>
      </c>
      <c r="B453" s="291">
        <v>0</v>
      </c>
    </row>
    <row r="454" spans="1:2" ht="14.5">
      <c r="A454" s="291" t="s">
        <v>652</v>
      </c>
      <c r="B454" s="291">
        <v>0</v>
      </c>
    </row>
    <row r="455" spans="1:2" ht="14.5">
      <c r="A455" s="291" t="s">
        <v>653</v>
      </c>
      <c r="B455" s="291">
        <v>0</v>
      </c>
    </row>
    <row r="456" spans="1:2" ht="14.5">
      <c r="A456" s="291" t="s">
        <v>654</v>
      </c>
      <c r="B456" s="291">
        <v>0</v>
      </c>
    </row>
    <row r="457" spans="1:2" ht="14.5">
      <c r="A457" s="291" t="s">
        <v>655</v>
      </c>
      <c r="B457" s="291">
        <v>0</v>
      </c>
    </row>
    <row r="458" spans="1:2" ht="14.5">
      <c r="A458" s="291" t="s">
        <v>656</v>
      </c>
      <c r="B458" s="291">
        <v>4181</v>
      </c>
    </row>
    <row r="459" spans="1:2" ht="14.5">
      <c r="A459" s="291" t="s">
        <v>657</v>
      </c>
      <c r="B459" s="291">
        <v>0</v>
      </c>
    </row>
    <row r="460" spans="1:2" ht="14.5">
      <c r="A460" s="291" t="s">
        <v>658</v>
      </c>
      <c r="B460" s="291">
        <v>0</v>
      </c>
    </row>
    <row r="461" spans="1:2" ht="14.5">
      <c r="A461" s="291" t="s">
        <v>659</v>
      </c>
      <c r="B461" s="291">
        <v>0</v>
      </c>
    </row>
    <row r="462" spans="1:2" ht="14.5">
      <c r="A462" s="291" t="s">
        <v>660</v>
      </c>
      <c r="B462" s="291">
        <v>0</v>
      </c>
    </row>
    <row r="463" spans="1:2" ht="14.5">
      <c r="A463" s="291" t="s">
        <v>661</v>
      </c>
      <c r="B463" s="291">
        <v>0</v>
      </c>
    </row>
    <row r="464" spans="1:2" ht="14.5">
      <c r="A464" s="291" t="s">
        <v>662</v>
      </c>
      <c r="B464" s="291">
        <v>0</v>
      </c>
    </row>
    <row r="465" spans="1:2" ht="14.5">
      <c r="A465" s="291" t="s">
        <v>663</v>
      </c>
      <c r="B465" s="291">
        <v>0</v>
      </c>
    </row>
    <row r="466" spans="1:2" ht="14.5">
      <c r="A466" s="291" t="s">
        <v>664</v>
      </c>
      <c r="B466" s="291">
        <v>0</v>
      </c>
    </row>
    <row r="467" spans="1:2" ht="14.5">
      <c r="A467" s="291" t="s">
        <v>665</v>
      </c>
      <c r="B467" s="291">
        <v>0</v>
      </c>
    </row>
    <row r="468" spans="1:2" ht="14.5">
      <c r="A468" s="291" t="s">
        <v>666</v>
      </c>
      <c r="B468" s="291">
        <v>0</v>
      </c>
    </row>
    <row r="469" spans="1:2" ht="14.5">
      <c r="A469" s="291" t="s">
        <v>667</v>
      </c>
      <c r="B469" s="291">
        <v>0</v>
      </c>
    </row>
    <row r="470" spans="1:2" ht="14.5">
      <c r="A470" s="291" t="s">
        <v>668</v>
      </c>
      <c r="B470" s="291">
        <v>0</v>
      </c>
    </row>
    <row r="471" spans="1:2" ht="14.5">
      <c r="A471" s="291" t="s">
        <v>669</v>
      </c>
      <c r="B471" s="291">
        <v>0</v>
      </c>
    </row>
    <row r="472" spans="1:2" ht="14.5">
      <c r="A472" s="291" t="s">
        <v>670</v>
      </c>
      <c r="B472" s="291">
        <v>0</v>
      </c>
    </row>
    <row r="473" spans="1:2" ht="14.5">
      <c r="A473" s="291" t="s">
        <v>671</v>
      </c>
      <c r="B473" s="292">
        <v>0</v>
      </c>
    </row>
    <row r="474" spans="1:2" ht="14.5">
      <c r="A474" s="291" t="s">
        <v>672</v>
      </c>
      <c r="B474" s="291">
        <v>17384</v>
      </c>
    </row>
    <row r="475" spans="1:2" ht="14.5">
      <c r="A475" s="291" t="s">
        <v>673</v>
      </c>
      <c r="B475" s="291">
        <v>0</v>
      </c>
    </row>
    <row r="476" spans="1:2" ht="14.5">
      <c r="A476" s="291" t="s">
        <v>674</v>
      </c>
      <c r="B476" s="291">
        <v>0</v>
      </c>
    </row>
    <row r="477" spans="1:2" ht="14.5">
      <c r="A477" s="291" t="s">
        <v>675</v>
      </c>
      <c r="B477" s="292">
        <v>0</v>
      </c>
    </row>
    <row r="478" spans="1:2" ht="14.5">
      <c r="A478" s="291" t="s">
        <v>676</v>
      </c>
      <c r="B478" s="291">
        <v>3241</v>
      </c>
    </row>
    <row r="479" spans="1:2" ht="14.5">
      <c r="A479" s="291" t="s">
        <v>677</v>
      </c>
      <c r="B479" s="291">
        <v>0</v>
      </c>
    </row>
    <row r="480" spans="1:2" ht="14.5">
      <c r="A480" s="291" t="s">
        <v>678</v>
      </c>
      <c r="B480" s="291">
        <v>6</v>
      </c>
    </row>
    <row r="481" spans="1:2" ht="14.5">
      <c r="A481" s="291" t="s">
        <v>679</v>
      </c>
      <c r="B481" s="291">
        <v>0</v>
      </c>
    </row>
    <row r="482" spans="1:2" ht="14.5">
      <c r="A482" s="291" t="s">
        <v>680</v>
      </c>
      <c r="B482" s="291">
        <v>0</v>
      </c>
    </row>
    <row r="483" spans="1:2" ht="14.5">
      <c r="A483" s="291" t="s">
        <v>681</v>
      </c>
      <c r="B483" s="291">
        <v>0</v>
      </c>
    </row>
    <row r="484" spans="1:2" ht="14.5">
      <c r="A484" s="291" t="s">
        <v>682</v>
      </c>
      <c r="B484" s="291">
        <v>0</v>
      </c>
    </row>
    <row r="485" spans="1:2" ht="14.5">
      <c r="A485" s="291" t="s">
        <v>683</v>
      </c>
      <c r="B485" s="291">
        <v>0</v>
      </c>
    </row>
    <row r="486" spans="1:2" ht="14.5">
      <c r="A486" s="291" t="s">
        <v>684</v>
      </c>
      <c r="B486" s="291">
        <v>0</v>
      </c>
    </row>
    <row r="487" spans="1:2" ht="14.5">
      <c r="A487" s="291" t="s">
        <v>685</v>
      </c>
      <c r="B487" s="291">
        <v>0</v>
      </c>
    </row>
    <row r="488" spans="1:2" ht="14.5">
      <c r="A488" s="291" t="s">
        <v>686</v>
      </c>
      <c r="B488" s="291">
        <v>0</v>
      </c>
    </row>
    <row r="489" spans="1:2" ht="14.5">
      <c r="A489" s="291" t="s">
        <v>687</v>
      </c>
      <c r="B489" s="291">
        <v>0</v>
      </c>
    </row>
    <row r="490" spans="1:2" ht="14.5">
      <c r="A490" s="291" t="s">
        <v>688</v>
      </c>
      <c r="B490" s="291">
        <v>0</v>
      </c>
    </row>
    <row r="491" spans="1:2" ht="14.5">
      <c r="A491" s="291" t="s">
        <v>689</v>
      </c>
      <c r="B491" s="291">
        <v>0</v>
      </c>
    </row>
    <row r="492" spans="1:2" ht="14.5">
      <c r="A492" s="291" t="s">
        <v>690</v>
      </c>
      <c r="B492" s="291">
        <v>0</v>
      </c>
    </row>
    <row r="493" spans="1:2" ht="14.5">
      <c r="A493" s="291" t="s">
        <v>691</v>
      </c>
      <c r="B493" s="291">
        <v>0</v>
      </c>
    </row>
    <row r="494" spans="1:2" ht="14.5">
      <c r="A494" s="291" t="s">
        <v>692</v>
      </c>
      <c r="B494" s="291">
        <v>0</v>
      </c>
    </row>
    <row r="495" spans="1:2" ht="14.5">
      <c r="A495" s="291" t="s">
        <v>693</v>
      </c>
      <c r="B495" s="291">
        <v>0</v>
      </c>
    </row>
    <row r="496" spans="1:2" ht="14.5">
      <c r="A496" s="291" t="s">
        <v>694</v>
      </c>
      <c r="B496" s="291">
        <v>0</v>
      </c>
    </row>
    <row r="497" spans="1:2" ht="14.5">
      <c r="A497" s="291" t="s">
        <v>695</v>
      </c>
      <c r="B497" s="291">
        <v>0</v>
      </c>
    </row>
    <row r="498" spans="1:2" ht="14.5">
      <c r="A498" s="291" t="s">
        <v>696</v>
      </c>
      <c r="B498" s="291">
        <v>30</v>
      </c>
    </row>
    <row r="499" spans="1:2" ht="14.5">
      <c r="A499" s="291" t="s">
        <v>697</v>
      </c>
      <c r="B499" s="291">
        <v>0</v>
      </c>
    </row>
    <row r="500" spans="1:2" ht="14.5">
      <c r="A500" s="291" t="s">
        <v>698</v>
      </c>
      <c r="B500" s="292">
        <v>0</v>
      </c>
    </row>
    <row r="501" spans="1:2" ht="14.5">
      <c r="A501" s="291" t="s">
        <v>699</v>
      </c>
      <c r="B501" s="292">
        <v>9337</v>
      </c>
    </row>
    <row r="502" spans="1:2" ht="14.5">
      <c r="A502" s="291" t="s">
        <v>700</v>
      </c>
      <c r="B502" s="291">
        <v>1217</v>
      </c>
    </row>
    <row r="503" spans="1:2" ht="14.5">
      <c r="A503" s="291" t="s">
        <v>701</v>
      </c>
      <c r="B503" s="291">
        <v>0</v>
      </c>
    </row>
    <row r="504" spans="1:2" ht="14.5">
      <c r="A504" s="291" t="s">
        <v>702</v>
      </c>
      <c r="B504" s="291">
        <v>0</v>
      </c>
    </row>
    <row r="505" spans="1:2" ht="14.5">
      <c r="A505" s="291" t="s">
        <v>703</v>
      </c>
      <c r="B505" s="291">
        <v>0</v>
      </c>
    </row>
    <row r="506" spans="1:2" ht="14.5">
      <c r="A506" s="291" t="s">
        <v>704</v>
      </c>
      <c r="B506" s="291">
        <v>0</v>
      </c>
    </row>
    <row r="507" spans="1:2" ht="14.5">
      <c r="A507" s="291" t="s">
        <v>705</v>
      </c>
      <c r="B507" s="291">
        <v>0</v>
      </c>
    </row>
    <row r="508" spans="1:2" ht="14.5">
      <c r="A508" s="291" t="s">
        <v>706</v>
      </c>
      <c r="B508" s="291">
        <v>0</v>
      </c>
    </row>
    <row r="509" spans="1:2" ht="14.5">
      <c r="A509" s="291" t="s">
        <v>707</v>
      </c>
      <c r="B509" s="291">
        <v>0</v>
      </c>
    </row>
    <row r="510" spans="1:2" ht="14.5">
      <c r="A510" s="291" t="s">
        <v>708</v>
      </c>
      <c r="B510" s="291">
        <v>0</v>
      </c>
    </row>
    <row r="511" spans="1:2" ht="14.5">
      <c r="A511" s="291" t="s">
        <v>709</v>
      </c>
      <c r="B511" s="291">
        <v>0</v>
      </c>
    </row>
    <row r="512" spans="1:2" ht="14.5">
      <c r="A512" s="291" t="s">
        <v>710</v>
      </c>
      <c r="B512" s="291">
        <v>0</v>
      </c>
    </row>
    <row r="513" spans="1:2" ht="14.5">
      <c r="A513" s="291" t="s">
        <v>711</v>
      </c>
      <c r="B513" s="291">
        <v>0</v>
      </c>
    </row>
    <row r="514" spans="1:2" ht="14.5">
      <c r="A514" s="291" t="s">
        <v>712</v>
      </c>
      <c r="B514" s="291">
        <v>0</v>
      </c>
    </row>
    <row r="515" spans="1:2" ht="14.5">
      <c r="A515" s="291" t="s">
        <v>713</v>
      </c>
      <c r="B515" s="291">
        <v>0</v>
      </c>
    </row>
    <row r="516" spans="1:2" ht="14.5">
      <c r="A516" s="291" t="s">
        <v>714</v>
      </c>
      <c r="B516" s="291">
        <v>0</v>
      </c>
    </row>
    <row r="517" spans="1:2" ht="14.5">
      <c r="A517" s="291" t="s">
        <v>715</v>
      </c>
      <c r="B517" s="291">
        <v>0</v>
      </c>
    </row>
    <row r="518" spans="1:2" ht="14.5">
      <c r="A518" s="291" t="s">
        <v>716</v>
      </c>
      <c r="B518" s="291">
        <v>0</v>
      </c>
    </row>
    <row r="519" spans="1:2" ht="14.5">
      <c r="A519" s="291" t="s">
        <v>717</v>
      </c>
      <c r="B519" s="291">
        <v>0</v>
      </c>
    </row>
    <row r="520" spans="1:2" ht="14.5">
      <c r="A520" s="291" t="s">
        <v>718</v>
      </c>
      <c r="B520" s="291">
        <v>0</v>
      </c>
    </row>
    <row r="521" spans="1:2" ht="14.5">
      <c r="A521" s="291" t="s">
        <v>719</v>
      </c>
      <c r="B521" s="291">
        <v>0</v>
      </c>
    </row>
    <row r="522" spans="1:2" ht="14.5">
      <c r="A522" s="291" t="s">
        <v>720</v>
      </c>
      <c r="B522" s="291">
        <v>0</v>
      </c>
    </row>
    <row r="523" spans="1:2" ht="14.5">
      <c r="A523" s="291" t="s">
        <v>721</v>
      </c>
      <c r="B523" s="291">
        <v>0</v>
      </c>
    </row>
    <row r="524" spans="1:2" ht="14.5">
      <c r="A524" s="291" t="s">
        <v>722</v>
      </c>
      <c r="B524" s="291">
        <v>0</v>
      </c>
    </row>
    <row r="525" spans="1:2" ht="14.5">
      <c r="A525" s="291" t="s">
        <v>723</v>
      </c>
      <c r="B525" s="291">
        <v>0</v>
      </c>
    </row>
    <row r="526" spans="1:2" ht="14.5">
      <c r="A526" s="291" t="s">
        <v>724</v>
      </c>
      <c r="B526" s="291">
        <v>0</v>
      </c>
    </row>
    <row r="527" spans="1:2" ht="14.5">
      <c r="A527" s="291" t="s">
        <v>725</v>
      </c>
      <c r="B527" s="291">
        <v>0</v>
      </c>
    </row>
    <row r="528" spans="1:2" ht="14.5">
      <c r="A528" s="291" t="s">
        <v>726</v>
      </c>
      <c r="B528" s="291">
        <v>0</v>
      </c>
    </row>
    <row r="529" spans="1:2" ht="14.5">
      <c r="A529" s="291" t="s">
        <v>727</v>
      </c>
      <c r="B529" s="291">
        <v>299</v>
      </c>
    </row>
    <row r="530" spans="1:2" ht="14.5">
      <c r="A530" s="291" t="s">
        <v>728</v>
      </c>
      <c r="B530" s="291">
        <v>593</v>
      </c>
    </row>
    <row r="531" spans="1:2" ht="14.5">
      <c r="A531" s="291" t="s">
        <v>729</v>
      </c>
      <c r="B531" s="291">
        <v>1</v>
      </c>
    </row>
    <row r="532" spans="1:2" ht="14.5">
      <c r="A532" s="291" t="s">
        <v>730</v>
      </c>
      <c r="B532" s="291">
        <v>14</v>
      </c>
    </row>
    <row r="533" spans="1:2" ht="14.5">
      <c r="A533" s="291" t="s">
        <v>731</v>
      </c>
      <c r="B533" s="291">
        <v>0</v>
      </c>
    </row>
    <row r="534" spans="1:2" ht="14.5">
      <c r="A534" s="291" t="s">
        <v>732</v>
      </c>
      <c r="B534" s="291">
        <v>0</v>
      </c>
    </row>
    <row r="535" spans="1:2" ht="14.5">
      <c r="A535" s="291" t="s">
        <v>733</v>
      </c>
      <c r="B535" s="291">
        <v>0</v>
      </c>
    </row>
    <row r="536" spans="1:2" ht="14.5">
      <c r="A536" s="291" t="s">
        <v>734</v>
      </c>
      <c r="B536" s="291">
        <v>0</v>
      </c>
    </row>
    <row r="537" spans="1:2" ht="14.5">
      <c r="A537" s="291" t="s">
        <v>735</v>
      </c>
      <c r="B537" s="291">
        <v>0</v>
      </c>
    </row>
    <row r="538" spans="1:2" ht="14.5">
      <c r="A538" s="291" t="s">
        <v>736</v>
      </c>
      <c r="B538" s="291">
        <v>0</v>
      </c>
    </row>
    <row r="539" spans="1:2" ht="14.5">
      <c r="A539" s="291" t="s">
        <v>737</v>
      </c>
      <c r="B539" s="291">
        <v>0</v>
      </c>
    </row>
    <row r="540" spans="1:2" ht="14.5">
      <c r="A540" s="291" t="s">
        <v>738</v>
      </c>
      <c r="B540" s="291">
        <v>0</v>
      </c>
    </row>
    <row r="541" spans="1:2" ht="14.5">
      <c r="A541" s="291" t="s">
        <v>739</v>
      </c>
      <c r="B541" s="291">
        <v>0</v>
      </c>
    </row>
    <row r="542" spans="1:2" ht="14.5">
      <c r="A542" s="291" t="s">
        <v>740</v>
      </c>
      <c r="B542" s="291">
        <v>0</v>
      </c>
    </row>
    <row r="543" spans="1:2" ht="14.5">
      <c r="A543" s="291" t="s">
        <v>741</v>
      </c>
      <c r="B543" s="292">
        <v>0</v>
      </c>
    </row>
    <row r="544" spans="1:2" ht="14.5">
      <c r="A544" s="291" t="s">
        <v>742</v>
      </c>
      <c r="B544" s="291">
        <v>2251</v>
      </c>
    </row>
    <row r="545" spans="1:2" ht="43.5">
      <c r="A545" s="291" t="s">
        <v>743</v>
      </c>
      <c r="B545" s="292">
        <v>5</v>
      </c>
    </row>
    <row r="546" spans="1:2" ht="14.5">
      <c r="A546" s="291" t="s">
        <v>744</v>
      </c>
      <c r="B546" s="292">
        <v>2508</v>
      </c>
    </row>
    <row r="547" spans="1:2" ht="43.5">
      <c r="A547" s="291" t="s">
        <v>745</v>
      </c>
      <c r="B547" s="291">
        <v>648</v>
      </c>
    </row>
    <row r="548" spans="1:2" ht="14.5">
      <c r="A548" s="291" t="s">
        <v>746</v>
      </c>
      <c r="B548" s="291">
        <v>0</v>
      </c>
    </row>
    <row r="549" spans="1:2" ht="14.5">
      <c r="A549" s="291" t="s">
        <v>747</v>
      </c>
      <c r="B549" s="291">
        <v>0</v>
      </c>
    </row>
    <row r="550" spans="1:2" ht="14.5">
      <c r="A550" s="291" t="s">
        <v>748</v>
      </c>
      <c r="B550" s="291">
        <v>0</v>
      </c>
    </row>
    <row r="551" spans="1:2" ht="14.5">
      <c r="A551" s="291" t="s">
        <v>749</v>
      </c>
      <c r="B551" s="291">
        <v>0</v>
      </c>
    </row>
    <row r="552" spans="1:2" ht="14.5">
      <c r="A552" s="291" t="s">
        <v>750</v>
      </c>
      <c r="B552" s="291">
        <v>0</v>
      </c>
    </row>
    <row r="553" spans="1:2" ht="14.5">
      <c r="A553" s="291" t="s">
        <v>751</v>
      </c>
      <c r="B553" s="291">
        <v>0</v>
      </c>
    </row>
    <row r="554" spans="1:2" ht="14.5">
      <c r="A554" s="291" t="s">
        <v>752</v>
      </c>
      <c r="B554" s="291">
        <v>0</v>
      </c>
    </row>
    <row r="555" spans="1:2" ht="14.5">
      <c r="A555" s="291" t="s">
        <v>753</v>
      </c>
      <c r="B555" s="291">
        <v>0</v>
      </c>
    </row>
    <row r="556" spans="1:2" ht="14.5">
      <c r="A556" s="291" t="s">
        <v>754</v>
      </c>
      <c r="B556" s="291">
        <v>0</v>
      </c>
    </row>
    <row r="557" spans="1:2" ht="14.5">
      <c r="A557" s="291" t="s">
        <v>755</v>
      </c>
      <c r="B557" s="291">
        <v>0</v>
      </c>
    </row>
    <row r="558" spans="1:2" ht="29">
      <c r="A558" s="291" t="s">
        <v>756</v>
      </c>
      <c r="B558" s="291">
        <v>0</v>
      </c>
    </row>
    <row r="559" spans="1:2" ht="14.5">
      <c r="A559" s="291" t="s">
        <v>757</v>
      </c>
      <c r="B559" s="291">
        <v>0</v>
      </c>
    </row>
    <row r="560" spans="1:2" ht="43.5">
      <c r="A560" s="291" t="s">
        <v>758</v>
      </c>
      <c r="B560" s="291">
        <v>31</v>
      </c>
    </row>
    <row r="561" spans="1:2" ht="14.5">
      <c r="A561" s="291" t="s">
        <v>759</v>
      </c>
      <c r="B561" s="291">
        <v>117</v>
      </c>
    </row>
    <row r="562" spans="1:2" ht="14.5">
      <c r="A562" s="291" t="s">
        <v>760</v>
      </c>
      <c r="B562" s="291">
        <v>0</v>
      </c>
    </row>
    <row r="563" spans="1:2" ht="14.5">
      <c r="A563" s="291" t="s">
        <v>761</v>
      </c>
      <c r="B563" s="292">
        <v>0</v>
      </c>
    </row>
    <row r="564" spans="1:2" ht="14.5">
      <c r="A564" s="291" t="s">
        <v>762</v>
      </c>
      <c r="B564" s="291">
        <v>641</v>
      </c>
    </row>
    <row r="565" spans="1:2" ht="14.5">
      <c r="A565" s="291" t="s">
        <v>763</v>
      </c>
      <c r="B565" s="291">
        <v>0</v>
      </c>
    </row>
    <row r="566" spans="1:2" ht="14.5">
      <c r="A566" s="291" t="s">
        <v>764</v>
      </c>
      <c r="B566" s="291">
        <v>0</v>
      </c>
    </row>
    <row r="567" spans="1:2" ht="14.5">
      <c r="A567" s="291" t="s">
        <v>74</v>
      </c>
      <c r="B567" s="291">
        <v>874</v>
      </c>
    </row>
    <row r="568" spans="1:2" ht="14.5">
      <c r="A568" s="291" t="s">
        <v>765</v>
      </c>
      <c r="B568" s="291">
        <v>659</v>
      </c>
    </row>
    <row r="569" spans="1:2" ht="14.5">
      <c r="A569" s="291" t="s">
        <v>766</v>
      </c>
      <c r="B569" s="292">
        <v>0</v>
      </c>
    </row>
    <row r="570" spans="1:2" ht="43.5">
      <c r="A570" s="291" t="s">
        <v>767</v>
      </c>
      <c r="B570" s="291">
        <v>1254</v>
      </c>
    </row>
    <row r="571" spans="1:2" ht="14.5">
      <c r="A571" s="291" t="s">
        <v>768</v>
      </c>
      <c r="B571" s="291">
        <v>0</v>
      </c>
    </row>
    <row r="572" spans="1:2" ht="14.5">
      <c r="A572" s="291" t="s">
        <v>769</v>
      </c>
      <c r="B572" s="291">
        <v>4409</v>
      </c>
    </row>
    <row r="573" spans="1:2" ht="14.5">
      <c r="A573" s="291" t="s">
        <v>770</v>
      </c>
      <c r="B573" s="291">
        <v>486</v>
      </c>
    </row>
    <row r="574" spans="1:2" ht="14.5">
      <c r="A574" s="291" t="s">
        <v>771</v>
      </c>
      <c r="B574" s="291">
        <v>436</v>
      </c>
    </row>
    <row r="575" spans="1:2" ht="14.5">
      <c r="A575" s="291" t="s">
        <v>772</v>
      </c>
      <c r="B575" s="291">
        <v>576</v>
      </c>
    </row>
    <row r="576" spans="1:2" ht="14.5">
      <c r="A576" s="291" t="s">
        <v>773</v>
      </c>
      <c r="B576" s="291">
        <v>0</v>
      </c>
    </row>
    <row r="577" spans="1:2" ht="14.5">
      <c r="A577" s="291" t="s">
        <v>774</v>
      </c>
      <c r="B577" s="291">
        <v>0</v>
      </c>
    </row>
    <row r="578" spans="1:2" ht="14.5">
      <c r="A578" s="291" t="s">
        <v>775</v>
      </c>
      <c r="B578" s="291">
        <v>0</v>
      </c>
    </row>
    <row r="579" spans="1:2" ht="43.5">
      <c r="A579" s="291" t="s">
        <v>776</v>
      </c>
      <c r="B579" s="291">
        <v>0</v>
      </c>
    </row>
    <row r="580" spans="1:2" ht="14.5">
      <c r="A580" s="291" t="s">
        <v>777</v>
      </c>
      <c r="B580" s="291">
        <v>0</v>
      </c>
    </row>
    <row r="581" spans="1:2" ht="14.5">
      <c r="A581" s="291" t="s">
        <v>778</v>
      </c>
      <c r="B581" s="291">
        <v>0</v>
      </c>
    </row>
    <row r="582" spans="1:2" ht="43.5">
      <c r="A582" s="291" t="s">
        <v>779</v>
      </c>
      <c r="B582" s="291">
        <v>0</v>
      </c>
    </row>
    <row r="583" spans="1:2" ht="14.5">
      <c r="A583" s="291" t="s">
        <v>780</v>
      </c>
      <c r="B583" s="291">
        <v>0</v>
      </c>
    </row>
    <row r="584" spans="1:2" ht="14.5">
      <c r="A584" s="291" t="s">
        <v>781</v>
      </c>
      <c r="B584" s="291">
        <v>22</v>
      </c>
    </row>
    <row r="585" spans="1:2" ht="14.5">
      <c r="A585" s="291" t="s">
        <v>782</v>
      </c>
      <c r="B585" s="291">
        <v>207</v>
      </c>
    </row>
    <row r="586" spans="1:2" ht="14.5">
      <c r="A586" s="291" t="s">
        <v>783</v>
      </c>
      <c r="B586" s="292">
        <v>2945</v>
      </c>
    </row>
    <row r="587" spans="1:2" ht="14.5">
      <c r="A587" s="291" t="s">
        <v>784</v>
      </c>
      <c r="B587" s="291">
        <v>0</v>
      </c>
    </row>
    <row r="588" spans="1:2" ht="14.5">
      <c r="A588" s="291" t="s">
        <v>785</v>
      </c>
      <c r="B588" s="291">
        <v>0</v>
      </c>
    </row>
    <row r="589" spans="1:2" ht="14.5">
      <c r="A589" s="291" t="s">
        <v>786</v>
      </c>
      <c r="B589" s="291">
        <v>0</v>
      </c>
    </row>
    <row r="590" spans="1:2" ht="14.5">
      <c r="A590" s="291" t="s">
        <v>787</v>
      </c>
      <c r="B590" s="291">
        <v>0</v>
      </c>
    </row>
    <row r="591" spans="1:2" ht="14.5">
      <c r="A591" s="291" t="s">
        <v>788</v>
      </c>
      <c r="B591" s="291">
        <v>2039</v>
      </c>
    </row>
    <row r="592" spans="1:2" ht="14.5">
      <c r="A592" s="291" t="s">
        <v>789</v>
      </c>
      <c r="B592" s="291">
        <v>0</v>
      </c>
    </row>
    <row r="593" spans="1:2" ht="14.5">
      <c r="A593" s="291" t="s">
        <v>790</v>
      </c>
      <c r="B593" s="291">
        <v>0</v>
      </c>
    </row>
    <row r="594" spans="1:2" ht="14.5">
      <c r="A594" s="291" t="s">
        <v>791</v>
      </c>
      <c r="B594" s="291">
        <v>486</v>
      </c>
    </row>
    <row r="595" spans="1:2" ht="14.5">
      <c r="A595" s="291" t="s">
        <v>792</v>
      </c>
      <c r="B595" s="291">
        <v>288</v>
      </c>
    </row>
    <row r="596" spans="1:2" ht="14.5">
      <c r="A596" s="291" t="s">
        <v>793</v>
      </c>
      <c r="B596" s="291">
        <v>288</v>
      </c>
    </row>
    <row r="597" spans="1:2" ht="14.5">
      <c r="A597" s="291" t="s">
        <v>794</v>
      </c>
      <c r="B597" s="291">
        <v>0</v>
      </c>
    </row>
    <row r="598" spans="1:2" ht="14.5">
      <c r="A598" s="291" t="s">
        <v>795</v>
      </c>
      <c r="B598" s="291">
        <v>87</v>
      </c>
    </row>
    <row r="599" spans="1:2" ht="14.5">
      <c r="A599" s="291" t="s">
        <v>796</v>
      </c>
      <c r="B599" s="291">
        <v>0</v>
      </c>
    </row>
    <row r="600" spans="1:2" ht="14.5">
      <c r="A600" s="291" t="s">
        <v>797</v>
      </c>
      <c r="B600" s="291">
        <v>0</v>
      </c>
    </row>
    <row r="601" spans="1:2" ht="14.5">
      <c r="A601" s="291" t="s">
        <v>798</v>
      </c>
      <c r="B601" s="291">
        <v>0</v>
      </c>
    </row>
    <row r="602" spans="1:2" ht="14.5">
      <c r="A602" s="291" t="s">
        <v>799</v>
      </c>
      <c r="B602" s="291">
        <v>0</v>
      </c>
    </row>
    <row r="603" spans="1:2" ht="14.5">
      <c r="A603" s="291" t="s">
        <v>800</v>
      </c>
      <c r="B603" s="291">
        <v>0</v>
      </c>
    </row>
    <row r="604" spans="1:2" ht="14.5">
      <c r="A604" s="291" t="s">
        <v>801</v>
      </c>
      <c r="B604" s="291">
        <v>0</v>
      </c>
    </row>
    <row r="605" spans="1:2" ht="14.5">
      <c r="A605" s="291" t="s">
        <v>802</v>
      </c>
      <c r="B605" s="291">
        <v>6</v>
      </c>
    </row>
    <row r="606" spans="1:2" ht="14.5">
      <c r="A606" s="291" t="s">
        <v>803</v>
      </c>
      <c r="B606" s="291">
        <v>0</v>
      </c>
    </row>
    <row r="607" spans="1:2" ht="43.5">
      <c r="A607" s="291" t="s">
        <v>804</v>
      </c>
      <c r="B607" s="291">
        <v>0</v>
      </c>
    </row>
    <row r="608" spans="1:2" ht="14.5">
      <c r="A608" s="291" t="s">
        <v>805</v>
      </c>
      <c r="B608" s="291">
        <v>0</v>
      </c>
    </row>
    <row r="609" spans="1:2" ht="14.5">
      <c r="A609" s="291" t="s">
        <v>806</v>
      </c>
      <c r="B609" s="291">
        <v>0</v>
      </c>
    </row>
    <row r="610" spans="1:2" ht="14.5">
      <c r="A610" s="291" t="s">
        <v>807</v>
      </c>
      <c r="B610" s="291">
        <v>0</v>
      </c>
    </row>
    <row r="611" spans="1:2" ht="14.5">
      <c r="A611" s="291" t="s">
        <v>808</v>
      </c>
      <c r="B611" s="291">
        <v>0</v>
      </c>
    </row>
    <row r="612" spans="1:2" ht="14.5">
      <c r="A612" s="291" t="s">
        <v>809</v>
      </c>
      <c r="B612" s="291">
        <v>0</v>
      </c>
    </row>
    <row r="613" spans="1:2" ht="14.5">
      <c r="A613" s="291" t="s">
        <v>810</v>
      </c>
      <c r="B613" s="291">
        <v>0</v>
      </c>
    </row>
    <row r="614" spans="1:2" ht="14.5">
      <c r="A614" s="291" t="s">
        <v>811</v>
      </c>
      <c r="B614" s="291">
        <v>0</v>
      </c>
    </row>
    <row r="615" spans="1:2" ht="14.5">
      <c r="A615" s="291" t="s">
        <v>812</v>
      </c>
      <c r="B615" s="292">
        <v>2479</v>
      </c>
    </row>
    <row r="616" spans="1:2" ht="14.5">
      <c r="A616" s="291" t="s">
        <v>813</v>
      </c>
      <c r="B616" s="291">
        <v>576</v>
      </c>
    </row>
    <row r="617" spans="1:2" ht="14.5">
      <c r="A617" s="291" t="s">
        <v>814</v>
      </c>
      <c r="B617" s="291">
        <v>0</v>
      </c>
    </row>
    <row r="618" spans="1:2" ht="14.5">
      <c r="A618" s="291" t="s">
        <v>815</v>
      </c>
      <c r="B618" s="291">
        <v>0</v>
      </c>
    </row>
    <row r="619" spans="1:2" ht="14.5">
      <c r="A619" s="291" t="s">
        <v>816</v>
      </c>
      <c r="B619" s="291">
        <v>0</v>
      </c>
    </row>
    <row r="620" spans="1:2" ht="14.5">
      <c r="A620" s="291" t="s">
        <v>817</v>
      </c>
      <c r="B620" s="291">
        <v>0</v>
      </c>
    </row>
    <row r="621" spans="1:2" ht="14.5">
      <c r="A621" s="291" t="s">
        <v>818</v>
      </c>
      <c r="B621" s="291">
        <v>3387</v>
      </c>
    </row>
    <row r="622" spans="1:2" ht="14.5">
      <c r="A622" s="291" t="s">
        <v>819</v>
      </c>
      <c r="B622" s="291">
        <v>0</v>
      </c>
    </row>
    <row r="623" spans="1:2" ht="14.5">
      <c r="A623" s="291" t="s">
        <v>820</v>
      </c>
      <c r="B623" s="291">
        <v>0</v>
      </c>
    </row>
    <row r="624" spans="1:2" ht="14.5">
      <c r="A624" s="291" t="s">
        <v>821</v>
      </c>
      <c r="B624" s="291">
        <v>0</v>
      </c>
    </row>
    <row r="625" spans="1:2" ht="14.5">
      <c r="A625" s="291" t="s">
        <v>822</v>
      </c>
      <c r="B625" s="291">
        <v>0</v>
      </c>
    </row>
    <row r="626" spans="1:2" ht="14.5">
      <c r="A626" s="291" t="s">
        <v>823</v>
      </c>
      <c r="B626" s="291">
        <v>0</v>
      </c>
    </row>
    <row r="627" spans="1:2" ht="14.5">
      <c r="A627" s="291" t="s">
        <v>824</v>
      </c>
      <c r="B627" s="291">
        <v>2990</v>
      </c>
    </row>
    <row r="628" spans="1:2" ht="14.5">
      <c r="A628" s="291" t="s">
        <v>825</v>
      </c>
      <c r="B628" s="291">
        <v>4102</v>
      </c>
    </row>
    <row r="629" spans="1:2" ht="14.5">
      <c r="A629" s="291" t="s">
        <v>826</v>
      </c>
      <c r="B629" s="291">
        <v>0</v>
      </c>
    </row>
    <row r="630" spans="1:2" ht="14.5">
      <c r="A630" s="291" t="s">
        <v>827</v>
      </c>
      <c r="B630" s="291">
        <v>0</v>
      </c>
    </row>
    <row r="631" spans="1:2" ht="14.5">
      <c r="A631" s="291" t="s">
        <v>828</v>
      </c>
      <c r="B631" s="291">
        <v>0</v>
      </c>
    </row>
    <row r="632" spans="1:2" ht="14.5">
      <c r="A632" s="291" t="s">
        <v>829</v>
      </c>
      <c r="B632" s="292">
        <v>1309</v>
      </c>
    </row>
    <row r="633" spans="1:2" ht="14.5">
      <c r="A633" s="291" t="s">
        <v>830</v>
      </c>
      <c r="B633" s="291">
        <v>0</v>
      </c>
    </row>
    <row r="634" spans="1:2" ht="14.5">
      <c r="A634" s="291" t="s">
        <v>831</v>
      </c>
      <c r="B634" s="291">
        <v>0</v>
      </c>
    </row>
    <row r="635" spans="1:2" ht="14.5">
      <c r="A635" s="291" t="s">
        <v>832</v>
      </c>
      <c r="B635" s="291">
        <v>0</v>
      </c>
    </row>
    <row r="636" spans="1:2" ht="14.5">
      <c r="A636" s="291" t="s">
        <v>833</v>
      </c>
      <c r="B636" s="291">
        <v>808</v>
      </c>
    </row>
    <row r="637" spans="1:2" ht="14.5">
      <c r="A637" s="291" t="s">
        <v>834</v>
      </c>
      <c r="B637" s="291">
        <v>106</v>
      </c>
    </row>
    <row r="638" spans="1:2" ht="14.5">
      <c r="A638" s="291" t="s">
        <v>835</v>
      </c>
      <c r="B638" s="291">
        <v>0</v>
      </c>
    </row>
    <row r="639" spans="1:2" ht="14.5">
      <c r="A639" s="291" t="s">
        <v>836</v>
      </c>
      <c r="B639" s="291">
        <v>0</v>
      </c>
    </row>
    <row r="640" spans="1:2" ht="14.5">
      <c r="A640" s="291" t="s">
        <v>837</v>
      </c>
      <c r="B640" s="291">
        <v>0</v>
      </c>
    </row>
    <row r="641" spans="1:2" ht="14.5">
      <c r="A641" s="291" t="s">
        <v>838</v>
      </c>
      <c r="B641" s="291">
        <v>0</v>
      </c>
    </row>
    <row r="642" spans="1:2" ht="14.5">
      <c r="A642" s="291" t="s">
        <v>839</v>
      </c>
      <c r="B642" s="291">
        <v>0</v>
      </c>
    </row>
    <row r="643" spans="1:2" ht="14.5">
      <c r="A643" s="291" t="s">
        <v>840</v>
      </c>
      <c r="B643" s="291">
        <v>0</v>
      </c>
    </row>
    <row r="644" spans="1:2" ht="14.5">
      <c r="A644" s="291" t="s">
        <v>841</v>
      </c>
      <c r="B644" s="291">
        <v>0</v>
      </c>
    </row>
    <row r="645" spans="1:2" ht="29">
      <c r="A645" s="291" t="s">
        <v>842</v>
      </c>
      <c r="B645" s="291">
        <v>0</v>
      </c>
    </row>
    <row r="646" spans="1:2" ht="14.5">
      <c r="A646" s="291" t="s">
        <v>843</v>
      </c>
      <c r="B646" s="291">
        <v>0</v>
      </c>
    </row>
    <row r="647" spans="1:2" ht="14.5">
      <c r="A647" s="291" t="s">
        <v>844</v>
      </c>
      <c r="B647" s="291">
        <v>0</v>
      </c>
    </row>
    <row r="648" spans="1:2" ht="14.5">
      <c r="A648" s="291" t="s">
        <v>845</v>
      </c>
      <c r="B648" s="291">
        <v>0</v>
      </c>
    </row>
    <row r="649" spans="1:2" ht="14.5">
      <c r="A649" s="291" t="s">
        <v>846</v>
      </c>
      <c r="B649" s="291">
        <v>0</v>
      </c>
    </row>
    <row r="650" spans="1:2" ht="14.5">
      <c r="A650" s="291" t="s">
        <v>847</v>
      </c>
      <c r="B650" s="291">
        <v>0</v>
      </c>
    </row>
    <row r="651" spans="1:2" ht="14.5">
      <c r="A651" s="291" t="s">
        <v>848</v>
      </c>
      <c r="B651" s="291">
        <v>49</v>
      </c>
    </row>
    <row r="652" spans="1:2" ht="14.5">
      <c r="A652" s="291" t="s">
        <v>849</v>
      </c>
      <c r="B652" s="291">
        <v>0</v>
      </c>
    </row>
    <row r="653" spans="1:2" ht="14.5">
      <c r="A653" s="291" t="s">
        <v>850</v>
      </c>
      <c r="B653" s="291">
        <v>0</v>
      </c>
    </row>
    <row r="654" spans="1:2" ht="14.5">
      <c r="A654" s="291" t="s">
        <v>851</v>
      </c>
      <c r="B654" s="292">
        <v>931</v>
      </c>
    </row>
    <row r="655" spans="1:2" ht="14.5">
      <c r="A655" s="291" t="s">
        <v>852</v>
      </c>
      <c r="B655" s="291">
        <v>106</v>
      </c>
    </row>
    <row r="656" spans="1:2" ht="14.5">
      <c r="A656" s="291" t="s">
        <v>853</v>
      </c>
      <c r="B656" s="291">
        <v>106</v>
      </c>
    </row>
    <row r="657" spans="1:2" ht="14.5">
      <c r="A657" s="291" t="s">
        <v>854</v>
      </c>
      <c r="B657" s="291">
        <v>808</v>
      </c>
    </row>
    <row r="658" spans="1:2" ht="14.5">
      <c r="A658" s="291" t="s">
        <v>855</v>
      </c>
      <c r="B658" s="291">
        <v>106</v>
      </c>
    </row>
    <row r="659" spans="1:2" ht="14.5">
      <c r="A659" s="291" t="s">
        <v>856</v>
      </c>
      <c r="B659" s="291">
        <v>0</v>
      </c>
    </row>
    <row r="660" spans="1:2" ht="14.5">
      <c r="A660" s="291" t="s">
        <v>857</v>
      </c>
      <c r="B660" s="291">
        <v>0</v>
      </c>
    </row>
    <row r="661" spans="1:2" ht="14.5">
      <c r="A661" s="291" t="s">
        <v>858</v>
      </c>
      <c r="B661" s="291">
        <v>0</v>
      </c>
    </row>
    <row r="662" spans="1:2" ht="14.5">
      <c r="A662" s="291" t="s">
        <v>859</v>
      </c>
      <c r="B662" s="291">
        <v>0</v>
      </c>
    </row>
    <row r="663" spans="1:2" ht="14.5">
      <c r="A663" s="291" t="s">
        <v>860</v>
      </c>
      <c r="B663" s="291">
        <v>0</v>
      </c>
    </row>
    <row r="664" spans="1:2" ht="14.5">
      <c r="A664" s="291" t="s">
        <v>861</v>
      </c>
      <c r="B664" s="291">
        <v>395</v>
      </c>
    </row>
    <row r="665" spans="1:2" ht="14.5">
      <c r="A665" s="291" t="s">
        <v>862</v>
      </c>
      <c r="B665" s="291">
        <v>0</v>
      </c>
    </row>
    <row r="666" spans="1:2" ht="14.5">
      <c r="A666" s="291" t="s">
        <v>863</v>
      </c>
      <c r="B666" s="291">
        <v>0</v>
      </c>
    </row>
    <row r="667" spans="1:2" ht="14.5">
      <c r="A667" s="291" t="s">
        <v>864</v>
      </c>
      <c r="B667" s="292">
        <v>931</v>
      </c>
    </row>
    <row r="668" spans="1:2" ht="14.5">
      <c r="A668" s="291" t="s">
        <v>865</v>
      </c>
      <c r="B668" s="291">
        <v>0</v>
      </c>
    </row>
    <row r="669" spans="1:2" ht="14.5">
      <c r="A669" s="291" t="s">
        <v>866</v>
      </c>
      <c r="B669" s="291">
        <v>0</v>
      </c>
    </row>
    <row r="670" spans="1:2" ht="14.5">
      <c r="A670" s="291" t="s">
        <v>867</v>
      </c>
      <c r="B670" s="291">
        <v>0</v>
      </c>
    </row>
    <row r="671" spans="1:2" ht="14.5">
      <c r="A671" s="291" t="s">
        <v>868</v>
      </c>
      <c r="B671" s="291">
        <v>0</v>
      </c>
    </row>
    <row r="672" spans="1:2" ht="14.5">
      <c r="A672" s="291" t="s">
        <v>869</v>
      </c>
      <c r="B672" s="291">
        <v>0</v>
      </c>
    </row>
    <row r="673" spans="1:2" ht="14.5">
      <c r="A673" s="291" t="s">
        <v>870</v>
      </c>
      <c r="B673" s="292">
        <v>928</v>
      </c>
    </row>
    <row r="674" spans="1:2" ht="14.5">
      <c r="A674" s="291" t="s">
        <v>871</v>
      </c>
      <c r="B674" s="291">
        <v>0</v>
      </c>
    </row>
    <row r="675" spans="1:2" ht="14.5">
      <c r="A675" s="291" t="s">
        <v>872</v>
      </c>
      <c r="B675" s="291">
        <v>0</v>
      </c>
    </row>
    <row r="676" spans="1:2" ht="14.5">
      <c r="A676" s="291" t="s">
        <v>873</v>
      </c>
      <c r="B676" s="291">
        <v>350</v>
      </c>
    </row>
    <row r="677" spans="1:2" ht="14.5">
      <c r="A677" s="291" t="s">
        <v>874</v>
      </c>
      <c r="B677" s="291">
        <v>227</v>
      </c>
    </row>
    <row r="678" spans="1:2" ht="14.5">
      <c r="A678" s="291" t="s">
        <v>875</v>
      </c>
      <c r="B678" s="291">
        <v>0</v>
      </c>
    </row>
    <row r="679" spans="1:2" ht="14.5">
      <c r="A679" s="291" t="s">
        <v>876</v>
      </c>
      <c r="B679" s="291">
        <v>0</v>
      </c>
    </row>
    <row r="680" spans="1:2" ht="14.5">
      <c r="A680" s="291" t="s">
        <v>877</v>
      </c>
      <c r="B680" s="291">
        <v>227</v>
      </c>
    </row>
    <row r="681" spans="1:2" ht="14.5">
      <c r="A681" s="291" t="s">
        <v>878</v>
      </c>
      <c r="B681" s="291">
        <v>0</v>
      </c>
    </row>
    <row r="682" spans="1:2" ht="14.5">
      <c r="A682" s="291" t="s">
        <v>879</v>
      </c>
      <c r="B682" s="291">
        <v>112</v>
      </c>
    </row>
    <row r="683" spans="1:2" ht="14.5">
      <c r="A683" s="291" t="s">
        <v>880</v>
      </c>
      <c r="B683" s="291">
        <v>0</v>
      </c>
    </row>
    <row r="684" spans="1:2" ht="29">
      <c r="A684" s="291" t="s">
        <v>881</v>
      </c>
      <c r="B684" s="291">
        <v>0</v>
      </c>
    </row>
    <row r="685" spans="1:2" ht="29">
      <c r="A685" s="291" t="s">
        <v>882</v>
      </c>
      <c r="B685" s="291">
        <v>0</v>
      </c>
    </row>
    <row r="686" spans="1:2" ht="14.5">
      <c r="A686" s="291" t="s">
        <v>883</v>
      </c>
      <c r="B686" s="291">
        <v>0</v>
      </c>
    </row>
    <row r="687" spans="1:2" ht="14.5">
      <c r="A687" s="291" t="s">
        <v>884</v>
      </c>
      <c r="B687" s="291">
        <v>0</v>
      </c>
    </row>
    <row r="688" spans="1:2" ht="14.5">
      <c r="A688" s="291" t="s">
        <v>885</v>
      </c>
      <c r="B688" s="291">
        <v>0</v>
      </c>
    </row>
    <row r="689" spans="1:2" ht="14.5">
      <c r="A689" s="291" t="s">
        <v>886</v>
      </c>
      <c r="B689" s="291">
        <v>0</v>
      </c>
    </row>
    <row r="690" spans="1:2" ht="14.5">
      <c r="A690" s="291" t="s">
        <v>887</v>
      </c>
      <c r="B690" s="291">
        <v>0</v>
      </c>
    </row>
    <row r="691" spans="1:2" ht="14.5">
      <c r="A691" s="291" t="s">
        <v>888</v>
      </c>
      <c r="B691" s="292">
        <v>14032</v>
      </c>
    </row>
    <row r="692" spans="1:2" ht="14.5">
      <c r="A692" s="291" t="s">
        <v>889</v>
      </c>
      <c r="B692" s="291">
        <v>0</v>
      </c>
    </row>
    <row r="693" spans="1:2" ht="14.5">
      <c r="A693" s="291" t="s">
        <v>890</v>
      </c>
      <c r="B693" s="291">
        <v>0</v>
      </c>
    </row>
    <row r="694" spans="1:2" ht="14.5">
      <c r="A694" s="291" t="s">
        <v>891</v>
      </c>
      <c r="B694" s="291">
        <v>0</v>
      </c>
    </row>
    <row r="695" spans="1:2" ht="14.5">
      <c r="A695" s="291" t="s">
        <v>892</v>
      </c>
      <c r="B695" s="291">
        <v>11</v>
      </c>
    </row>
    <row r="696" spans="1:2" ht="14.5">
      <c r="A696" s="291" t="s">
        <v>893</v>
      </c>
      <c r="B696" s="291">
        <v>0</v>
      </c>
    </row>
    <row r="697" spans="1:2" ht="14.5">
      <c r="A697" s="291" t="s">
        <v>894</v>
      </c>
      <c r="B697" s="291">
        <v>0</v>
      </c>
    </row>
    <row r="698" spans="1:2" ht="14.5">
      <c r="A698" s="291" t="s">
        <v>895</v>
      </c>
      <c r="B698" s="291">
        <v>0</v>
      </c>
    </row>
    <row r="699" spans="1:2" ht="14.5">
      <c r="A699" s="291" t="s">
        <v>896</v>
      </c>
      <c r="B699" s="291">
        <v>19142</v>
      </c>
    </row>
    <row r="700" spans="1:2" ht="14.5">
      <c r="A700" s="291" t="s">
        <v>897</v>
      </c>
      <c r="B700" s="292">
        <v>2600</v>
      </c>
    </row>
    <row r="701" spans="1:2" ht="14.5">
      <c r="A701" s="291" t="s">
        <v>898</v>
      </c>
      <c r="B701" s="292">
        <v>0</v>
      </c>
    </row>
    <row r="702" spans="1:2" ht="14.5">
      <c r="A702" s="291" t="s">
        <v>899</v>
      </c>
      <c r="B702" s="291">
        <v>0</v>
      </c>
    </row>
    <row r="703" spans="1:2" ht="14.5">
      <c r="A703" s="291" t="s">
        <v>900</v>
      </c>
      <c r="B703" s="291">
        <v>0</v>
      </c>
    </row>
    <row r="704" spans="1:2" ht="14.5">
      <c r="A704" s="291" t="s">
        <v>901</v>
      </c>
      <c r="B704" s="291">
        <v>0</v>
      </c>
    </row>
    <row r="705" spans="1:2" ht="14.5">
      <c r="A705" s="291" t="s">
        <v>902</v>
      </c>
      <c r="B705" s="291">
        <v>0</v>
      </c>
    </row>
    <row r="706" spans="1:2" ht="14.5">
      <c r="A706" s="291" t="s">
        <v>903</v>
      </c>
      <c r="B706" s="291">
        <v>0</v>
      </c>
    </row>
    <row r="707" spans="1:2" ht="14.5">
      <c r="A707" s="291" t="s">
        <v>904</v>
      </c>
      <c r="B707" s="291">
        <v>0</v>
      </c>
    </row>
    <row r="708" spans="1:2" ht="14.5">
      <c r="A708" s="291" t="s">
        <v>905</v>
      </c>
      <c r="B708" s="291">
        <v>0</v>
      </c>
    </row>
    <row r="709" spans="1:2" ht="14.5">
      <c r="A709" s="291" t="s">
        <v>906</v>
      </c>
      <c r="B709" s="291">
        <v>0</v>
      </c>
    </row>
    <row r="710" spans="1:2" ht="14.5">
      <c r="A710" s="291" t="s">
        <v>907</v>
      </c>
      <c r="B710" s="291">
        <v>0</v>
      </c>
    </row>
    <row r="711" spans="1:2" ht="14.5">
      <c r="A711" s="291" t="s">
        <v>77</v>
      </c>
      <c r="B711" s="291">
        <v>941</v>
      </c>
    </row>
    <row r="712" spans="1:2" ht="14.5">
      <c r="A712" s="291" t="s">
        <v>908</v>
      </c>
      <c r="B712" s="291">
        <v>0</v>
      </c>
    </row>
    <row r="713" spans="1:2" ht="14.5">
      <c r="A713" s="291" t="s">
        <v>909</v>
      </c>
      <c r="B713" s="291">
        <v>0</v>
      </c>
    </row>
    <row r="714" spans="1:2" ht="14.5">
      <c r="A714" s="291" t="s">
        <v>910</v>
      </c>
      <c r="B714" s="291">
        <v>0</v>
      </c>
    </row>
    <row r="715" spans="1:2" ht="14.5">
      <c r="A715" s="291" t="s">
        <v>911</v>
      </c>
      <c r="B715" s="291">
        <v>2806</v>
      </c>
    </row>
    <row r="716" spans="1:2" ht="14.5">
      <c r="A716" s="291" t="s">
        <v>912</v>
      </c>
      <c r="B716" s="292">
        <v>0</v>
      </c>
    </row>
    <row r="717" spans="1:2" ht="14.5">
      <c r="A717" s="291" t="s">
        <v>913</v>
      </c>
      <c r="B717" s="291">
        <v>0</v>
      </c>
    </row>
    <row r="718" spans="1:2" ht="14.5">
      <c r="A718" s="291" t="s">
        <v>914</v>
      </c>
      <c r="B718" s="291">
        <v>0</v>
      </c>
    </row>
    <row r="719" spans="1:2" ht="14.5">
      <c r="A719" s="291" t="s">
        <v>915</v>
      </c>
      <c r="B719" s="291">
        <v>0</v>
      </c>
    </row>
    <row r="720" spans="1:2" ht="14.5">
      <c r="A720" s="291" t="s">
        <v>916</v>
      </c>
      <c r="B720" s="291">
        <v>0</v>
      </c>
    </row>
    <row r="721" spans="1:2" ht="14.5">
      <c r="A721" s="291" t="s">
        <v>917</v>
      </c>
      <c r="B721" s="291">
        <v>0</v>
      </c>
    </row>
    <row r="722" spans="1:2" ht="14.5">
      <c r="A722" s="291" t="s">
        <v>918</v>
      </c>
      <c r="B722" s="291">
        <v>0</v>
      </c>
    </row>
    <row r="723" spans="1:2" ht="14.5">
      <c r="A723" s="291" t="s">
        <v>919</v>
      </c>
      <c r="B723" s="291">
        <v>0</v>
      </c>
    </row>
    <row r="724" spans="1:2" ht="14.5">
      <c r="A724" s="291" t="s">
        <v>920</v>
      </c>
      <c r="B724" s="291">
        <v>0</v>
      </c>
    </row>
    <row r="725" spans="1:2" ht="14.5">
      <c r="A725" s="291" t="s">
        <v>921</v>
      </c>
      <c r="B725" s="291">
        <v>0</v>
      </c>
    </row>
    <row r="726" spans="1:2" ht="14.5">
      <c r="A726" s="291" t="s">
        <v>922</v>
      </c>
      <c r="B726" s="291">
        <v>0</v>
      </c>
    </row>
    <row r="727" spans="1:2" ht="14.5">
      <c r="A727" s="291" t="s">
        <v>923</v>
      </c>
      <c r="B727" s="291">
        <v>0</v>
      </c>
    </row>
    <row r="728" spans="1:2" ht="14.5">
      <c r="A728" s="291" t="s">
        <v>924</v>
      </c>
      <c r="B728" s="291">
        <v>0</v>
      </c>
    </row>
    <row r="729" spans="1:2" ht="14.5">
      <c r="A729" s="291" t="s">
        <v>925</v>
      </c>
      <c r="B729" s="291">
        <v>0</v>
      </c>
    </row>
    <row r="730" spans="1:2" ht="14.5">
      <c r="A730" s="291" t="s">
        <v>926</v>
      </c>
      <c r="B730" s="291">
        <v>0</v>
      </c>
    </row>
    <row r="731" spans="1:2" ht="14.5">
      <c r="A731" s="291" t="s">
        <v>927</v>
      </c>
      <c r="B731" s="291">
        <v>0</v>
      </c>
    </row>
    <row r="732" spans="1:2" ht="14.5">
      <c r="A732" s="291" t="s">
        <v>928</v>
      </c>
      <c r="B732" s="291">
        <v>0</v>
      </c>
    </row>
    <row r="733" spans="1:2" ht="14.5">
      <c r="A733" s="291" t="s">
        <v>929</v>
      </c>
      <c r="B733" s="291">
        <v>0</v>
      </c>
    </row>
    <row r="734" spans="1:2" ht="14.5">
      <c r="A734" s="291" t="s">
        <v>930</v>
      </c>
      <c r="B734" s="291">
        <v>0</v>
      </c>
    </row>
    <row r="735" spans="1:2" ht="14.5">
      <c r="A735" s="291" t="s">
        <v>931</v>
      </c>
      <c r="B735" s="291">
        <v>5</v>
      </c>
    </row>
    <row r="736" spans="1:2" ht="14.5">
      <c r="A736" s="291" t="s">
        <v>932</v>
      </c>
      <c r="B736" s="291">
        <v>2</v>
      </c>
    </row>
    <row r="737" spans="1:2" ht="14.5">
      <c r="A737" s="291" t="s">
        <v>933</v>
      </c>
      <c r="B737" s="291">
        <v>0</v>
      </c>
    </row>
    <row r="738" spans="1:2" ht="14.5">
      <c r="A738" s="291" t="s">
        <v>934</v>
      </c>
      <c r="B738" s="291">
        <v>0</v>
      </c>
    </row>
    <row r="739" spans="1:2" ht="14.5">
      <c r="A739" s="291" t="s">
        <v>935</v>
      </c>
      <c r="B739" s="291">
        <v>0</v>
      </c>
    </row>
    <row r="740" spans="1:2" ht="14.5">
      <c r="A740" s="291" t="s">
        <v>936</v>
      </c>
      <c r="B740" s="291">
        <v>0</v>
      </c>
    </row>
    <row r="741" spans="1:2" ht="14.5">
      <c r="A741" s="291" t="s">
        <v>937</v>
      </c>
      <c r="B741" s="291">
        <v>1020</v>
      </c>
    </row>
    <row r="742" spans="1:2" ht="14.5">
      <c r="A742" s="291" t="s">
        <v>938</v>
      </c>
      <c r="B742" s="291">
        <v>0</v>
      </c>
    </row>
    <row r="743" spans="1:2" ht="14.5">
      <c r="A743" s="291" t="s">
        <v>939</v>
      </c>
      <c r="B743" s="291">
        <v>9376</v>
      </c>
    </row>
    <row r="744" spans="1:2" ht="14.5">
      <c r="A744" s="291" t="s">
        <v>940</v>
      </c>
      <c r="B744" s="291">
        <v>3017</v>
      </c>
    </row>
    <row r="745" spans="1:2" ht="14.5">
      <c r="A745" s="291" t="s">
        <v>941</v>
      </c>
      <c r="B745" s="291">
        <v>1904</v>
      </c>
    </row>
    <row r="746" spans="1:2" ht="14.5">
      <c r="A746" s="291" t="s">
        <v>942</v>
      </c>
      <c r="B746" s="291">
        <v>257</v>
      </c>
    </row>
    <row r="747" spans="1:2" ht="14.5">
      <c r="A747" s="291" t="s">
        <v>943</v>
      </c>
      <c r="B747" s="291">
        <v>183</v>
      </c>
    </row>
    <row r="748" spans="1:2" ht="43.5">
      <c r="A748" s="291" t="s">
        <v>944</v>
      </c>
      <c r="B748" s="291">
        <v>0</v>
      </c>
    </row>
    <row r="749" spans="1:2" ht="43.5">
      <c r="A749" s="291" t="s">
        <v>945</v>
      </c>
      <c r="B749" s="291">
        <v>0</v>
      </c>
    </row>
    <row r="750" spans="1:2" ht="14.5">
      <c r="A750" s="291" t="s">
        <v>946</v>
      </c>
      <c r="B750" s="291">
        <v>18</v>
      </c>
    </row>
    <row r="751" spans="1:2" ht="14.5">
      <c r="A751" s="291" t="s">
        <v>947</v>
      </c>
      <c r="B751" s="291">
        <v>0</v>
      </c>
    </row>
    <row r="752" spans="1:2" ht="14.5">
      <c r="A752" s="291" t="s">
        <v>948</v>
      </c>
      <c r="B752" s="291">
        <v>2000</v>
      </c>
    </row>
    <row r="753" spans="1:2" ht="14.5">
      <c r="A753" s="291" t="s">
        <v>949</v>
      </c>
      <c r="B753" s="292">
        <v>391</v>
      </c>
    </row>
    <row r="754" spans="1:2" ht="14.5">
      <c r="A754" s="291" t="s">
        <v>950</v>
      </c>
      <c r="B754" s="291">
        <v>0</v>
      </c>
    </row>
    <row r="755" spans="1:2" ht="14.5">
      <c r="A755" s="291" t="s">
        <v>951</v>
      </c>
      <c r="B755" s="291">
        <v>15</v>
      </c>
    </row>
    <row r="756" spans="1:2" ht="14.5">
      <c r="A756" s="291" t="s">
        <v>952</v>
      </c>
      <c r="B756" s="291">
        <v>11</v>
      </c>
    </row>
    <row r="757" spans="1:2" ht="14.5">
      <c r="A757" s="291" t="s">
        <v>953</v>
      </c>
      <c r="B757" s="291">
        <v>5</v>
      </c>
    </row>
    <row r="758" spans="1:2" ht="14.5">
      <c r="A758" s="291" t="s">
        <v>954</v>
      </c>
      <c r="B758" s="291">
        <v>3</v>
      </c>
    </row>
    <row r="759" spans="1:2" ht="14.5">
      <c r="A759" s="291" t="s">
        <v>955</v>
      </c>
      <c r="B759" s="291">
        <v>3</v>
      </c>
    </row>
    <row r="760" spans="1:2" ht="14.5">
      <c r="A760" s="291" t="s">
        <v>956</v>
      </c>
      <c r="B760" s="291">
        <v>3</v>
      </c>
    </row>
    <row r="761" spans="1:2" ht="14.5">
      <c r="A761" s="291" t="s">
        <v>957</v>
      </c>
      <c r="B761" s="291">
        <v>2</v>
      </c>
    </row>
    <row r="762" spans="1:2" ht="14.5">
      <c r="A762" s="291" t="s">
        <v>958</v>
      </c>
      <c r="B762" s="291">
        <v>2</v>
      </c>
    </row>
    <row r="763" spans="1:2" ht="14.5">
      <c r="A763" s="291" t="s">
        <v>959</v>
      </c>
      <c r="B763" s="292">
        <v>4677</v>
      </c>
    </row>
    <row r="764" spans="1:2" ht="14.5">
      <c r="A764" s="291" t="s">
        <v>960</v>
      </c>
      <c r="B764" s="292">
        <v>236</v>
      </c>
    </row>
    <row r="765" spans="1:2" ht="14.5">
      <c r="A765" s="291" t="s">
        <v>961</v>
      </c>
      <c r="B765" s="291">
        <v>3299</v>
      </c>
    </row>
    <row r="766" spans="1:2" ht="14.5">
      <c r="A766" s="291" t="s">
        <v>962</v>
      </c>
      <c r="B766" s="291">
        <v>0</v>
      </c>
    </row>
    <row r="767" spans="1:2" ht="14.5">
      <c r="A767" s="291" t="s">
        <v>963</v>
      </c>
      <c r="B767" s="291">
        <v>0</v>
      </c>
    </row>
    <row r="768" spans="1:2" ht="14.5">
      <c r="A768" s="291" t="s">
        <v>964</v>
      </c>
      <c r="B768" s="291">
        <v>0</v>
      </c>
    </row>
    <row r="769" spans="1:2" ht="14.5">
      <c r="A769" s="291" t="s">
        <v>965</v>
      </c>
      <c r="B769" s="291">
        <v>0</v>
      </c>
    </row>
    <row r="770" spans="1:2" ht="14.5">
      <c r="A770" s="291" t="s">
        <v>966</v>
      </c>
      <c r="B770" s="291">
        <v>0</v>
      </c>
    </row>
    <row r="771" spans="1:2" ht="14.5">
      <c r="A771" s="291" t="s">
        <v>967</v>
      </c>
      <c r="B771" s="291">
        <v>0</v>
      </c>
    </row>
    <row r="772" spans="1:2" ht="14.5">
      <c r="A772" s="291" t="s">
        <v>968</v>
      </c>
      <c r="B772" s="291">
        <v>0</v>
      </c>
    </row>
    <row r="773" spans="1:2" ht="14.5">
      <c r="A773" s="291" t="s">
        <v>969</v>
      </c>
      <c r="B773" s="291">
        <v>0</v>
      </c>
    </row>
    <row r="774" spans="1:2" ht="14.5">
      <c r="A774" s="291" t="s">
        <v>970</v>
      </c>
      <c r="B774" s="291">
        <v>0</v>
      </c>
    </row>
    <row r="775" spans="1:2" ht="14.5">
      <c r="A775" s="291" t="s">
        <v>971</v>
      </c>
      <c r="B775" s="291">
        <v>0</v>
      </c>
    </row>
    <row r="776" spans="1:2" ht="14.5">
      <c r="A776" s="291" t="s">
        <v>972</v>
      </c>
      <c r="B776" s="291">
        <v>0</v>
      </c>
    </row>
    <row r="777" spans="1:2" ht="14.5">
      <c r="A777" s="291" t="s">
        <v>973</v>
      </c>
      <c r="B777" s="291">
        <v>242</v>
      </c>
    </row>
    <row r="778" spans="1:2" ht="14.5">
      <c r="A778" s="291" t="s">
        <v>974</v>
      </c>
      <c r="B778" s="291">
        <v>1498</v>
      </c>
    </row>
    <row r="779" spans="1:2" ht="14.5">
      <c r="A779" s="291" t="s">
        <v>975</v>
      </c>
      <c r="B779" s="291">
        <v>0</v>
      </c>
    </row>
    <row r="780" spans="1:2" ht="14.5">
      <c r="A780" s="291" t="s">
        <v>976</v>
      </c>
      <c r="B780" s="291">
        <v>0</v>
      </c>
    </row>
    <row r="781" spans="1:2" ht="14.5">
      <c r="A781" s="291" t="s">
        <v>977</v>
      </c>
      <c r="B781" s="291">
        <v>0</v>
      </c>
    </row>
    <row r="782" spans="1:2" ht="14.5">
      <c r="A782" s="291" t="s">
        <v>978</v>
      </c>
      <c r="B782" s="291">
        <v>120</v>
      </c>
    </row>
    <row r="783" spans="1:2" ht="14.5">
      <c r="A783" s="291" t="s">
        <v>979</v>
      </c>
      <c r="B783" s="291">
        <v>2</v>
      </c>
    </row>
    <row r="784" spans="1:2" ht="29">
      <c r="A784" s="291" t="s">
        <v>980</v>
      </c>
      <c r="B784" s="291">
        <v>0</v>
      </c>
    </row>
    <row r="785" spans="1:2" ht="29">
      <c r="A785" s="291" t="s">
        <v>981</v>
      </c>
      <c r="B785" s="291">
        <v>0</v>
      </c>
    </row>
    <row r="786" spans="1:2" ht="29">
      <c r="A786" s="291" t="s">
        <v>982</v>
      </c>
      <c r="B786" s="291">
        <v>0</v>
      </c>
    </row>
    <row r="787" spans="1:2" ht="29">
      <c r="A787" s="291" t="s">
        <v>983</v>
      </c>
      <c r="B787" s="291">
        <v>0</v>
      </c>
    </row>
    <row r="788" spans="1:2" ht="29">
      <c r="A788" s="291" t="s">
        <v>984</v>
      </c>
      <c r="B788" s="291">
        <v>0</v>
      </c>
    </row>
    <row r="789" spans="1:2" ht="29">
      <c r="A789" s="291" t="s">
        <v>985</v>
      </c>
      <c r="B789" s="291">
        <v>0</v>
      </c>
    </row>
    <row r="790" spans="1:2" ht="14.5">
      <c r="A790" s="291" t="s">
        <v>986</v>
      </c>
      <c r="B790" s="291">
        <v>0</v>
      </c>
    </row>
    <row r="791" spans="1:2" ht="14.5">
      <c r="A791" s="291" t="s">
        <v>987</v>
      </c>
      <c r="B791" s="291">
        <v>3</v>
      </c>
    </row>
    <row r="792" spans="1:2" ht="29">
      <c r="A792" s="291" t="s">
        <v>988</v>
      </c>
      <c r="B792" s="291">
        <v>0</v>
      </c>
    </row>
    <row r="793" spans="1:2" ht="29">
      <c r="A793" s="291" t="s">
        <v>989</v>
      </c>
      <c r="B793" s="291">
        <v>0</v>
      </c>
    </row>
    <row r="794" spans="1:2" ht="43.5">
      <c r="A794" s="291" t="s">
        <v>81</v>
      </c>
      <c r="B794" s="291">
        <v>16</v>
      </c>
    </row>
    <row r="795" spans="1:2" ht="29">
      <c r="A795" s="291" t="s">
        <v>990</v>
      </c>
      <c r="B795" s="291">
        <v>0</v>
      </c>
    </row>
    <row r="796" spans="1:2" ht="58">
      <c r="A796" s="291" t="s">
        <v>991</v>
      </c>
      <c r="B796" s="291">
        <v>0</v>
      </c>
    </row>
    <row r="797" spans="1:2" ht="58">
      <c r="A797" s="291" t="s">
        <v>992</v>
      </c>
      <c r="B797" s="291">
        <v>0</v>
      </c>
    </row>
    <row r="798" spans="1:2" ht="14.5">
      <c r="A798" s="291" t="s">
        <v>993</v>
      </c>
      <c r="B798" s="291">
        <v>0</v>
      </c>
    </row>
    <row r="799" spans="1:2" ht="14.5">
      <c r="A799" s="291" t="s">
        <v>994</v>
      </c>
      <c r="B799" s="291">
        <v>0</v>
      </c>
    </row>
    <row r="800" spans="1:2" ht="43.5">
      <c r="A800" s="291" t="s">
        <v>995</v>
      </c>
      <c r="B800" s="291">
        <v>0</v>
      </c>
    </row>
    <row r="801" spans="1:2" ht="29">
      <c r="A801" s="291" t="s">
        <v>996</v>
      </c>
      <c r="B801" s="291">
        <v>0</v>
      </c>
    </row>
    <row r="802" spans="1:2" ht="29">
      <c r="A802" s="291" t="s">
        <v>997</v>
      </c>
      <c r="B802" s="291">
        <v>0</v>
      </c>
    </row>
    <row r="803" spans="1:2" ht="29">
      <c r="A803" s="291" t="s">
        <v>998</v>
      </c>
      <c r="B803" s="291">
        <v>0</v>
      </c>
    </row>
    <row r="804" spans="1:2" ht="29">
      <c r="A804" s="291" t="s">
        <v>999</v>
      </c>
      <c r="B804" s="291">
        <v>0</v>
      </c>
    </row>
    <row r="805" spans="1:2" ht="29">
      <c r="A805" s="291" t="s">
        <v>1000</v>
      </c>
      <c r="B805" s="291">
        <v>0</v>
      </c>
    </row>
    <row r="806" spans="1:2" ht="29">
      <c r="A806" s="291" t="s">
        <v>1001</v>
      </c>
      <c r="B806" s="291">
        <v>0</v>
      </c>
    </row>
    <row r="807" spans="1:2" ht="29">
      <c r="A807" s="291" t="s">
        <v>1002</v>
      </c>
      <c r="B807" s="291">
        <v>0</v>
      </c>
    </row>
    <row r="808" spans="1:2" ht="29">
      <c r="A808" s="291" t="s">
        <v>1003</v>
      </c>
      <c r="B808" s="291">
        <v>0</v>
      </c>
    </row>
    <row r="809" spans="1:2" ht="29">
      <c r="A809" s="291" t="s">
        <v>1004</v>
      </c>
      <c r="B809" s="291">
        <v>0</v>
      </c>
    </row>
    <row r="810" spans="1:2" ht="29">
      <c r="A810" s="291" t="s">
        <v>1005</v>
      </c>
      <c r="B810" s="291">
        <v>0</v>
      </c>
    </row>
    <row r="811" spans="1:2" ht="29">
      <c r="A811" s="291" t="s">
        <v>1006</v>
      </c>
      <c r="B811" s="291">
        <v>0</v>
      </c>
    </row>
    <row r="812" spans="1:2" ht="29">
      <c r="A812" s="291" t="s">
        <v>1007</v>
      </c>
      <c r="B812" s="291">
        <v>0</v>
      </c>
    </row>
    <row r="813" spans="1:2" ht="29">
      <c r="A813" s="291" t="s">
        <v>1008</v>
      </c>
      <c r="B813" s="291">
        <v>0</v>
      </c>
    </row>
    <row r="814" spans="1:2" ht="29">
      <c r="A814" s="291" t="s">
        <v>1009</v>
      </c>
      <c r="B814" s="291">
        <v>0</v>
      </c>
    </row>
    <row r="815" spans="1:2" ht="29">
      <c r="A815" s="291" t="s">
        <v>1010</v>
      </c>
      <c r="B815" s="291">
        <v>0</v>
      </c>
    </row>
    <row r="816" spans="1:2" ht="29">
      <c r="A816" s="291" t="s">
        <v>1011</v>
      </c>
      <c r="B816" s="291">
        <v>0</v>
      </c>
    </row>
    <row r="817" spans="1:2" ht="29">
      <c r="A817" s="291" t="s">
        <v>1012</v>
      </c>
      <c r="B817" s="291">
        <v>0</v>
      </c>
    </row>
    <row r="818" spans="1:2" ht="29">
      <c r="A818" s="291" t="s">
        <v>1013</v>
      </c>
      <c r="B818" s="291">
        <v>0</v>
      </c>
    </row>
    <row r="819" spans="1:2" ht="29">
      <c r="A819" s="291" t="s">
        <v>1014</v>
      </c>
      <c r="B819" s="291">
        <v>0</v>
      </c>
    </row>
    <row r="820" spans="1:2" ht="29">
      <c r="A820" s="291" t="s">
        <v>1015</v>
      </c>
      <c r="B820" s="291">
        <v>0</v>
      </c>
    </row>
    <row r="821" spans="1:2" ht="29">
      <c r="A821" s="291" t="s">
        <v>1016</v>
      </c>
      <c r="B821" s="291">
        <v>0</v>
      </c>
    </row>
    <row r="822" spans="1:2" ht="29">
      <c r="A822" s="291" t="s">
        <v>1017</v>
      </c>
      <c r="B822" s="291">
        <v>486</v>
      </c>
    </row>
    <row r="823" spans="1:2" ht="29">
      <c r="A823" s="291" t="s">
        <v>1018</v>
      </c>
      <c r="B823" s="291">
        <v>0</v>
      </c>
    </row>
    <row r="824" spans="1:2" ht="29">
      <c r="A824" s="291" t="s">
        <v>1019</v>
      </c>
      <c r="B824" s="291">
        <v>288</v>
      </c>
    </row>
    <row r="825" spans="1:2" ht="43.5">
      <c r="A825" s="291" t="s">
        <v>1020</v>
      </c>
      <c r="B825" s="291">
        <v>0</v>
      </c>
    </row>
    <row r="826" spans="1:2" ht="29">
      <c r="A826" s="291" t="s">
        <v>1021</v>
      </c>
      <c r="B826" s="291">
        <v>0</v>
      </c>
    </row>
    <row r="827" spans="1:2" ht="29">
      <c r="A827" s="291" t="s">
        <v>1022</v>
      </c>
      <c r="B827" s="291">
        <v>0</v>
      </c>
    </row>
    <row r="828" spans="1:2" ht="29">
      <c r="A828" s="291" t="s">
        <v>1023</v>
      </c>
      <c r="B828" s="291">
        <v>0</v>
      </c>
    </row>
    <row r="829" spans="1:2" ht="29">
      <c r="A829" s="291" t="s">
        <v>1024</v>
      </c>
      <c r="B829" s="291">
        <v>0</v>
      </c>
    </row>
    <row r="830" spans="1:2" ht="29">
      <c r="A830" s="291" t="s">
        <v>1025</v>
      </c>
      <c r="B830" s="291">
        <v>0</v>
      </c>
    </row>
    <row r="831" spans="1:2" ht="29">
      <c r="A831" s="291" t="s">
        <v>1026</v>
      </c>
      <c r="B831" s="291">
        <v>0</v>
      </c>
    </row>
    <row r="832" spans="1:2" ht="29">
      <c r="A832" s="291" t="s">
        <v>1027</v>
      </c>
      <c r="B832" s="291">
        <v>0</v>
      </c>
    </row>
    <row r="833" spans="1:2" ht="29">
      <c r="A833" s="291" t="s">
        <v>1028</v>
      </c>
      <c r="B833" s="291">
        <v>0</v>
      </c>
    </row>
    <row r="834" spans="1:2" ht="29">
      <c r="A834" s="291" t="s">
        <v>1029</v>
      </c>
      <c r="B834" s="291">
        <v>0</v>
      </c>
    </row>
    <row r="835" spans="1:2" ht="29">
      <c r="A835" s="291" t="s">
        <v>1030</v>
      </c>
      <c r="B835" s="291">
        <v>0</v>
      </c>
    </row>
    <row r="836" spans="1:2" ht="29">
      <c r="A836" s="291" t="s">
        <v>1031</v>
      </c>
      <c r="B836" s="291">
        <v>0</v>
      </c>
    </row>
    <row r="837" spans="1:2" ht="29">
      <c r="A837" s="291" t="s">
        <v>1032</v>
      </c>
      <c r="B837" s="291">
        <v>0</v>
      </c>
    </row>
    <row r="838" spans="1:2" ht="29">
      <c r="A838" s="291" t="s">
        <v>1033</v>
      </c>
      <c r="B838" s="291">
        <v>0</v>
      </c>
    </row>
    <row r="839" spans="1:2" ht="29">
      <c r="A839" s="291" t="s">
        <v>1034</v>
      </c>
      <c r="B839" s="291">
        <v>0</v>
      </c>
    </row>
    <row r="840" spans="1:2" ht="29">
      <c r="A840" s="291" t="s">
        <v>1035</v>
      </c>
      <c r="B840" s="291">
        <v>0</v>
      </c>
    </row>
    <row r="841" spans="1:2" ht="29">
      <c r="A841" s="291" t="s">
        <v>1036</v>
      </c>
      <c r="B841" s="291">
        <v>0</v>
      </c>
    </row>
    <row r="842" spans="1:2" ht="29">
      <c r="A842" s="291" t="s">
        <v>1037</v>
      </c>
      <c r="B842" s="291">
        <v>0</v>
      </c>
    </row>
    <row r="843" spans="1:2" ht="29">
      <c r="A843" s="291" t="s">
        <v>1038</v>
      </c>
      <c r="B843" s="291">
        <v>0</v>
      </c>
    </row>
    <row r="844" spans="1:2" ht="29">
      <c r="A844" s="291" t="s">
        <v>1039</v>
      </c>
      <c r="B844" s="291">
        <v>0</v>
      </c>
    </row>
    <row r="845" spans="1:2" ht="29">
      <c r="A845" s="291" t="s">
        <v>1040</v>
      </c>
      <c r="B845" s="291">
        <v>0</v>
      </c>
    </row>
    <row r="846" spans="1:2" ht="29">
      <c r="A846" s="291" t="s">
        <v>1041</v>
      </c>
      <c r="B846" s="291">
        <v>0</v>
      </c>
    </row>
    <row r="847" spans="1:2" ht="29">
      <c r="A847" s="291" t="s">
        <v>1042</v>
      </c>
      <c r="B847" s="291">
        <v>0</v>
      </c>
    </row>
    <row r="848" spans="1:2" ht="29">
      <c r="A848" s="291" t="s">
        <v>1043</v>
      </c>
      <c r="B848" s="291">
        <v>0</v>
      </c>
    </row>
    <row r="849" spans="1:2" ht="29">
      <c r="A849" s="291" t="s">
        <v>1044</v>
      </c>
      <c r="B849" s="291">
        <v>0</v>
      </c>
    </row>
    <row r="850" spans="1:2" ht="29">
      <c r="A850" s="291" t="s">
        <v>1045</v>
      </c>
      <c r="B850" s="291">
        <v>0</v>
      </c>
    </row>
    <row r="851" spans="1:2" ht="29">
      <c r="A851" s="291" t="s">
        <v>1046</v>
      </c>
      <c r="B851" s="291">
        <v>0</v>
      </c>
    </row>
    <row r="852" spans="1:2" ht="29">
      <c r="A852" s="291" t="s">
        <v>1047</v>
      </c>
      <c r="B852" s="291">
        <v>0</v>
      </c>
    </row>
    <row r="853" spans="1:2" ht="29">
      <c r="A853" s="291" t="s">
        <v>1048</v>
      </c>
      <c r="B853" s="291">
        <v>0</v>
      </c>
    </row>
    <row r="854" spans="1:2" ht="29">
      <c r="A854" s="291" t="s">
        <v>1049</v>
      </c>
      <c r="B854" s="291">
        <v>0</v>
      </c>
    </row>
    <row r="855" spans="1:2" ht="29">
      <c r="A855" s="291" t="s">
        <v>1050</v>
      </c>
      <c r="B855" s="291">
        <v>0</v>
      </c>
    </row>
    <row r="856" spans="1:2" ht="29">
      <c r="A856" s="291" t="s">
        <v>1051</v>
      </c>
      <c r="B856" s="291">
        <v>0</v>
      </c>
    </row>
    <row r="857" spans="1:2" ht="29">
      <c r="A857" s="291" t="s">
        <v>1052</v>
      </c>
      <c r="B857" s="291">
        <v>0</v>
      </c>
    </row>
    <row r="858" spans="1:2" ht="29">
      <c r="A858" s="291" t="s">
        <v>1053</v>
      </c>
      <c r="B858" s="291">
        <v>0</v>
      </c>
    </row>
    <row r="859" spans="1:2" ht="29">
      <c r="A859" s="291" t="s">
        <v>1054</v>
      </c>
      <c r="B859" s="291">
        <v>0</v>
      </c>
    </row>
    <row r="860" spans="1:2" ht="29">
      <c r="A860" s="291" t="s">
        <v>1055</v>
      </c>
      <c r="B860" s="291">
        <v>0</v>
      </c>
    </row>
    <row r="861" spans="1:2" ht="29">
      <c r="A861" s="291" t="s">
        <v>1056</v>
      </c>
      <c r="B861" s="291">
        <v>0</v>
      </c>
    </row>
    <row r="862" spans="1:2" ht="29">
      <c r="A862" s="291" t="s">
        <v>1057</v>
      </c>
      <c r="B862" s="291">
        <v>0</v>
      </c>
    </row>
    <row r="863" spans="1:2" ht="29">
      <c r="A863" s="291" t="s">
        <v>1058</v>
      </c>
      <c r="B863" s="291">
        <v>0</v>
      </c>
    </row>
    <row r="864" spans="1:2" ht="29">
      <c r="A864" s="291" t="s">
        <v>1059</v>
      </c>
      <c r="B864" s="291">
        <v>0</v>
      </c>
    </row>
    <row r="865" spans="1:2" ht="29">
      <c r="A865" s="291" t="s">
        <v>1060</v>
      </c>
      <c r="B865" s="291">
        <v>0</v>
      </c>
    </row>
    <row r="866" spans="1:2" ht="29">
      <c r="A866" s="291" t="s">
        <v>1061</v>
      </c>
      <c r="B866" s="291">
        <v>0</v>
      </c>
    </row>
    <row r="867" spans="1:2" ht="29">
      <c r="A867" s="291" t="s">
        <v>1062</v>
      </c>
      <c r="B867" s="291">
        <v>0</v>
      </c>
    </row>
    <row r="868" spans="1:2" ht="29">
      <c r="A868" s="291" t="s">
        <v>1063</v>
      </c>
      <c r="B868" s="291">
        <v>0</v>
      </c>
    </row>
    <row r="869" spans="1:2" ht="29">
      <c r="A869" s="291" t="s">
        <v>1064</v>
      </c>
      <c r="B869" s="291">
        <v>0</v>
      </c>
    </row>
    <row r="870" spans="1:2" ht="29">
      <c r="A870" s="291" t="s">
        <v>1065</v>
      </c>
      <c r="B870" s="291">
        <v>0</v>
      </c>
    </row>
    <row r="871" spans="1:2" ht="29">
      <c r="A871" s="291" t="s">
        <v>1066</v>
      </c>
      <c r="B871" s="291">
        <v>0</v>
      </c>
    </row>
    <row r="872" spans="1:2" ht="29">
      <c r="A872" s="291" t="s">
        <v>1067</v>
      </c>
      <c r="B872" s="291">
        <v>0</v>
      </c>
    </row>
    <row r="873" spans="1:2" ht="29">
      <c r="A873" s="291" t="s">
        <v>1068</v>
      </c>
      <c r="B873" s="291">
        <v>0</v>
      </c>
    </row>
    <row r="874" spans="1:2" ht="29">
      <c r="A874" s="291" t="s">
        <v>1069</v>
      </c>
      <c r="B874" s="291">
        <v>0</v>
      </c>
    </row>
    <row r="875" spans="1:2" ht="29">
      <c r="A875" s="291" t="s">
        <v>1070</v>
      </c>
      <c r="B875" s="291">
        <v>0</v>
      </c>
    </row>
    <row r="876" spans="1:2" ht="29">
      <c r="A876" s="291" t="s">
        <v>1071</v>
      </c>
      <c r="B876" s="291">
        <v>0</v>
      </c>
    </row>
    <row r="877" spans="1:2" ht="29">
      <c r="A877" s="291" t="s">
        <v>1072</v>
      </c>
      <c r="B877" s="291">
        <v>0</v>
      </c>
    </row>
    <row r="878" spans="1:2" ht="29">
      <c r="A878" s="291" t="s">
        <v>1073</v>
      </c>
      <c r="B878" s="291">
        <v>0</v>
      </c>
    </row>
    <row r="879" spans="1:2" ht="29">
      <c r="A879" s="291" t="s">
        <v>1074</v>
      </c>
      <c r="B879" s="291">
        <v>0</v>
      </c>
    </row>
    <row r="880" spans="1:2" ht="29">
      <c r="A880" s="291" t="s">
        <v>1075</v>
      </c>
      <c r="B880" s="291">
        <v>0</v>
      </c>
    </row>
    <row r="881" spans="1:2" ht="29">
      <c r="A881" s="291" t="s">
        <v>1076</v>
      </c>
      <c r="B881" s="291">
        <v>0</v>
      </c>
    </row>
    <row r="882" spans="1:2" ht="29">
      <c r="A882" s="291" t="s">
        <v>1077</v>
      </c>
      <c r="B882" s="291">
        <v>0</v>
      </c>
    </row>
    <row r="883" spans="1:2" ht="29">
      <c r="A883" s="291" t="s">
        <v>1078</v>
      </c>
      <c r="B883" s="291">
        <v>0</v>
      </c>
    </row>
    <row r="884" spans="1:2" ht="29">
      <c r="A884" s="291" t="s">
        <v>1079</v>
      </c>
      <c r="B884" s="291">
        <v>0</v>
      </c>
    </row>
    <row r="885" spans="1:2" ht="29">
      <c r="A885" s="291" t="s">
        <v>1080</v>
      </c>
      <c r="B885" s="291">
        <v>0</v>
      </c>
    </row>
    <row r="886" spans="1:2" ht="29">
      <c r="A886" s="291" t="s">
        <v>1081</v>
      </c>
      <c r="B886" s="291">
        <v>0</v>
      </c>
    </row>
    <row r="887" spans="1:2" ht="29">
      <c r="A887" s="291" t="s">
        <v>1082</v>
      </c>
      <c r="B887" s="291">
        <v>0</v>
      </c>
    </row>
    <row r="888" spans="1:2" ht="29">
      <c r="A888" s="291" t="s">
        <v>1083</v>
      </c>
      <c r="B888" s="291">
        <v>0</v>
      </c>
    </row>
    <row r="889" spans="1:2" ht="29">
      <c r="A889" s="291" t="s">
        <v>1084</v>
      </c>
      <c r="B889" s="291">
        <v>0</v>
      </c>
    </row>
    <row r="890" spans="1:2" ht="29">
      <c r="A890" s="291" t="s">
        <v>1085</v>
      </c>
      <c r="B890" s="291">
        <v>0</v>
      </c>
    </row>
    <row r="891" spans="1:2" ht="29">
      <c r="A891" s="291" t="s">
        <v>1086</v>
      </c>
      <c r="B891" s="291">
        <v>0</v>
      </c>
    </row>
    <row r="892" spans="1:2" ht="29">
      <c r="A892" s="291" t="s">
        <v>1087</v>
      </c>
      <c r="B892" s="291">
        <v>0</v>
      </c>
    </row>
    <row r="893" spans="1:2" ht="29">
      <c r="A893" s="291" t="s">
        <v>1088</v>
      </c>
      <c r="B893" s="291">
        <v>0</v>
      </c>
    </row>
    <row r="894" spans="1:2" ht="29">
      <c r="A894" s="291" t="s">
        <v>1089</v>
      </c>
      <c r="B894" s="291">
        <v>0</v>
      </c>
    </row>
    <row r="895" spans="1:2" ht="29">
      <c r="A895" s="291" t="s">
        <v>1090</v>
      </c>
      <c r="B895" s="291">
        <v>0</v>
      </c>
    </row>
    <row r="896" spans="1:2" ht="29">
      <c r="A896" s="291" t="s">
        <v>1091</v>
      </c>
      <c r="B896" s="291">
        <v>0</v>
      </c>
    </row>
    <row r="897" spans="1:2" ht="29">
      <c r="A897" s="291" t="s">
        <v>1092</v>
      </c>
      <c r="B897" s="291">
        <v>0</v>
      </c>
    </row>
    <row r="898" spans="1:2" ht="29">
      <c r="A898" s="291" t="s">
        <v>1093</v>
      </c>
      <c r="B898" s="291">
        <v>0</v>
      </c>
    </row>
    <row r="899" spans="1:2" ht="29">
      <c r="A899" s="291" t="s">
        <v>1094</v>
      </c>
      <c r="B899" s="291">
        <v>0</v>
      </c>
    </row>
    <row r="900" spans="1:2" ht="29">
      <c r="A900" s="291" t="s">
        <v>1095</v>
      </c>
      <c r="B900" s="291">
        <v>0</v>
      </c>
    </row>
    <row r="901" spans="1:2" ht="29">
      <c r="A901" s="291" t="s">
        <v>1096</v>
      </c>
      <c r="B901" s="291">
        <v>0</v>
      </c>
    </row>
    <row r="902" spans="1:2" ht="29">
      <c r="A902" s="291" t="s">
        <v>1097</v>
      </c>
      <c r="B902" s="291">
        <v>0</v>
      </c>
    </row>
    <row r="903" spans="1:2" ht="29">
      <c r="A903" s="291" t="s">
        <v>1098</v>
      </c>
      <c r="B903" s="291">
        <v>0</v>
      </c>
    </row>
    <row r="904" spans="1:2" ht="29">
      <c r="A904" s="291" t="s">
        <v>1099</v>
      </c>
      <c r="B904" s="291">
        <v>0</v>
      </c>
    </row>
    <row r="905" spans="1:2" ht="29">
      <c r="A905" s="291" t="s">
        <v>1100</v>
      </c>
      <c r="B905" s="291">
        <v>0</v>
      </c>
    </row>
    <row r="906" spans="1:2" ht="29">
      <c r="A906" s="291" t="s">
        <v>1101</v>
      </c>
      <c r="B906" s="291">
        <v>0</v>
      </c>
    </row>
    <row r="907" spans="1:2" ht="29">
      <c r="A907" s="291" t="s">
        <v>1102</v>
      </c>
      <c r="B907" s="291">
        <v>0</v>
      </c>
    </row>
    <row r="908" spans="1:2" ht="29">
      <c r="A908" s="291" t="s">
        <v>1103</v>
      </c>
      <c r="B908" s="291">
        <v>0</v>
      </c>
    </row>
    <row r="909" spans="1:2" ht="29">
      <c r="A909" s="291" t="s">
        <v>1104</v>
      </c>
      <c r="B909" s="291">
        <v>0</v>
      </c>
    </row>
    <row r="910" spans="1:2" ht="29">
      <c r="A910" s="291" t="s">
        <v>1105</v>
      </c>
      <c r="B910" s="291">
        <v>0</v>
      </c>
    </row>
    <row r="911" spans="1:2" ht="29">
      <c r="A911" s="291" t="s">
        <v>1106</v>
      </c>
      <c r="B911" s="291">
        <v>0</v>
      </c>
    </row>
    <row r="912" spans="1:2" ht="29">
      <c r="A912" s="291" t="s">
        <v>1107</v>
      </c>
      <c r="B912" s="291">
        <v>0</v>
      </c>
    </row>
    <row r="913" spans="1:2" ht="29">
      <c r="A913" s="291" t="s">
        <v>1108</v>
      </c>
      <c r="B913" s="291">
        <v>0</v>
      </c>
    </row>
    <row r="914" spans="1:2" ht="29">
      <c r="A914" s="291" t="s">
        <v>1109</v>
      </c>
      <c r="B914" s="291">
        <v>0</v>
      </c>
    </row>
    <row r="915" spans="1:2" ht="29">
      <c r="A915" s="291" t="s">
        <v>1110</v>
      </c>
      <c r="B915" s="291">
        <v>0</v>
      </c>
    </row>
    <row r="916" spans="1:2" ht="29">
      <c r="A916" s="291" t="s">
        <v>1111</v>
      </c>
      <c r="B916" s="291">
        <v>0</v>
      </c>
    </row>
    <row r="917" spans="1:2" ht="29">
      <c r="A917" s="291" t="s">
        <v>1112</v>
      </c>
      <c r="B917" s="291">
        <v>0</v>
      </c>
    </row>
    <row r="918" spans="1:2" ht="29">
      <c r="A918" s="291" t="s">
        <v>1113</v>
      </c>
      <c r="B918" s="291">
        <v>0</v>
      </c>
    </row>
    <row r="919" spans="1:2" ht="29">
      <c r="A919" s="291" t="s">
        <v>1114</v>
      </c>
      <c r="B919" s="291">
        <v>0</v>
      </c>
    </row>
    <row r="920" spans="1:2" ht="29">
      <c r="A920" s="291" t="s">
        <v>1115</v>
      </c>
      <c r="B920" s="291">
        <v>0</v>
      </c>
    </row>
    <row r="921" spans="1:2" ht="29">
      <c r="A921" s="291" t="s">
        <v>1116</v>
      </c>
      <c r="B921" s="291">
        <v>0</v>
      </c>
    </row>
    <row r="922" spans="1:2" ht="29">
      <c r="A922" s="291" t="s">
        <v>1117</v>
      </c>
      <c r="B922" s="291">
        <v>0</v>
      </c>
    </row>
    <row r="923" spans="1:2" ht="29">
      <c r="A923" s="291" t="s">
        <v>1118</v>
      </c>
      <c r="B923" s="291">
        <v>0</v>
      </c>
    </row>
    <row r="924" spans="1:2" ht="29">
      <c r="A924" s="291" t="s">
        <v>1119</v>
      </c>
      <c r="B924" s="291">
        <v>0</v>
      </c>
    </row>
    <row r="925" spans="1:2" ht="29">
      <c r="A925" s="291" t="s">
        <v>1120</v>
      </c>
      <c r="B925" s="291">
        <v>0</v>
      </c>
    </row>
    <row r="926" spans="1:2" ht="29">
      <c r="A926" s="291" t="s">
        <v>1121</v>
      </c>
      <c r="B926" s="291">
        <v>0</v>
      </c>
    </row>
    <row r="927" spans="1:2" ht="29">
      <c r="A927" s="291" t="s">
        <v>1122</v>
      </c>
      <c r="B927" s="291">
        <v>0</v>
      </c>
    </row>
    <row r="928" spans="1:2" ht="29">
      <c r="A928" s="291" t="s">
        <v>1123</v>
      </c>
      <c r="B928" s="291">
        <v>0</v>
      </c>
    </row>
    <row r="929" spans="1:2" ht="29">
      <c r="A929" s="291" t="s">
        <v>1124</v>
      </c>
      <c r="B929" s="291">
        <v>0</v>
      </c>
    </row>
    <row r="930" spans="1:2" ht="29">
      <c r="A930" s="291" t="s">
        <v>1125</v>
      </c>
      <c r="B930" s="291">
        <v>0</v>
      </c>
    </row>
    <row r="931" spans="1:2" ht="29">
      <c r="A931" s="291" t="s">
        <v>1126</v>
      </c>
      <c r="B931" s="291">
        <v>0</v>
      </c>
    </row>
    <row r="932" spans="1:2" ht="29">
      <c r="A932" s="291" t="s">
        <v>1127</v>
      </c>
      <c r="B932" s="291">
        <v>0</v>
      </c>
    </row>
    <row r="933" spans="1:2" ht="29">
      <c r="A933" s="291" t="s">
        <v>1128</v>
      </c>
      <c r="B933" s="291">
        <v>0</v>
      </c>
    </row>
    <row r="934" spans="1:2" ht="29">
      <c r="A934" s="291" t="s">
        <v>1129</v>
      </c>
      <c r="B934" s="291">
        <v>0</v>
      </c>
    </row>
    <row r="935" spans="1:2" ht="29">
      <c r="A935" s="291" t="s">
        <v>1130</v>
      </c>
      <c r="B935" s="291">
        <v>0</v>
      </c>
    </row>
    <row r="936" spans="1:2" ht="29">
      <c r="A936" s="291" t="s">
        <v>1131</v>
      </c>
      <c r="B936" s="291">
        <v>0</v>
      </c>
    </row>
    <row r="937" spans="1:2" ht="29">
      <c r="A937" s="291" t="s">
        <v>1132</v>
      </c>
      <c r="B937" s="291">
        <v>0</v>
      </c>
    </row>
    <row r="938" spans="1:2" ht="29">
      <c r="A938" s="291" t="s">
        <v>1133</v>
      </c>
      <c r="B938" s="291">
        <v>0</v>
      </c>
    </row>
    <row r="939" spans="1:2" ht="29">
      <c r="A939" s="291" t="s">
        <v>1134</v>
      </c>
      <c r="B939" s="291">
        <v>0</v>
      </c>
    </row>
    <row r="940" spans="1:2" ht="29">
      <c r="A940" s="291" t="s">
        <v>1135</v>
      </c>
      <c r="B940" s="291">
        <v>0</v>
      </c>
    </row>
    <row r="941" spans="1:2" ht="29">
      <c r="A941" s="291" t="s">
        <v>1136</v>
      </c>
      <c r="B941" s="291">
        <v>0</v>
      </c>
    </row>
    <row r="942" spans="1:2" ht="29">
      <c r="A942" s="291" t="s">
        <v>1137</v>
      </c>
      <c r="B942" s="291">
        <v>0</v>
      </c>
    </row>
    <row r="943" spans="1:2" ht="29">
      <c r="A943" s="291" t="s">
        <v>1138</v>
      </c>
      <c r="B943" s="291">
        <v>0</v>
      </c>
    </row>
    <row r="944" spans="1:2" ht="29">
      <c r="A944" s="291" t="s">
        <v>1139</v>
      </c>
      <c r="B944" s="291">
        <v>0</v>
      </c>
    </row>
    <row r="945" spans="1:2" ht="29">
      <c r="A945" s="291" t="s">
        <v>1140</v>
      </c>
      <c r="B945" s="291">
        <v>0</v>
      </c>
    </row>
    <row r="946" spans="1:2" ht="29">
      <c r="A946" s="291" t="s">
        <v>1141</v>
      </c>
      <c r="B946" s="291">
        <v>0</v>
      </c>
    </row>
    <row r="947" spans="1:2" ht="29">
      <c r="A947" s="291" t="s">
        <v>1142</v>
      </c>
      <c r="B947" s="291">
        <v>0</v>
      </c>
    </row>
    <row r="948" spans="1:2" ht="29">
      <c r="A948" s="291" t="s">
        <v>1143</v>
      </c>
      <c r="B948" s="291">
        <v>0</v>
      </c>
    </row>
    <row r="949" spans="1:2" ht="29">
      <c r="A949" s="291" t="s">
        <v>1144</v>
      </c>
      <c r="B949" s="291">
        <v>0</v>
      </c>
    </row>
    <row r="950" spans="1:2" ht="29">
      <c r="A950" s="291" t="s">
        <v>1145</v>
      </c>
      <c r="B950" s="291">
        <v>0</v>
      </c>
    </row>
    <row r="951" spans="1:2" ht="29">
      <c r="A951" s="291" t="s">
        <v>1146</v>
      </c>
      <c r="B951" s="291">
        <v>0</v>
      </c>
    </row>
    <row r="952" spans="1:2" ht="29">
      <c r="A952" s="291" t="s">
        <v>1147</v>
      </c>
      <c r="B952" s="291">
        <v>0</v>
      </c>
    </row>
    <row r="953" spans="1:2" ht="29">
      <c r="A953" s="291" t="s">
        <v>1148</v>
      </c>
      <c r="B953" s="291">
        <v>0</v>
      </c>
    </row>
    <row r="954" spans="1:2" ht="29">
      <c r="A954" s="291" t="s">
        <v>1149</v>
      </c>
      <c r="B954" s="291">
        <v>0</v>
      </c>
    </row>
    <row r="955" spans="1:2" ht="29">
      <c r="A955" s="291" t="s">
        <v>1150</v>
      </c>
      <c r="B955" s="291">
        <v>0</v>
      </c>
    </row>
    <row r="956" spans="1:2" ht="29">
      <c r="A956" s="291" t="s">
        <v>1151</v>
      </c>
      <c r="B956" s="291">
        <v>0</v>
      </c>
    </row>
    <row r="957" spans="1:2" ht="29">
      <c r="A957" s="291" t="s">
        <v>1152</v>
      </c>
      <c r="B957" s="291">
        <v>0</v>
      </c>
    </row>
    <row r="958" spans="1:2" ht="29">
      <c r="A958" s="291" t="s">
        <v>1153</v>
      </c>
      <c r="B958" s="291">
        <v>0</v>
      </c>
    </row>
    <row r="959" spans="1:2" ht="29">
      <c r="A959" s="291" t="s">
        <v>1154</v>
      </c>
      <c r="B959" s="291">
        <v>0</v>
      </c>
    </row>
    <row r="960" spans="1:2" ht="29">
      <c r="A960" s="291" t="s">
        <v>1155</v>
      </c>
      <c r="B960" s="291">
        <v>0</v>
      </c>
    </row>
    <row r="961" spans="1:2" ht="29">
      <c r="A961" s="291" t="s">
        <v>1156</v>
      </c>
      <c r="B961" s="291">
        <v>0</v>
      </c>
    </row>
    <row r="962" spans="1:2" ht="29">
      <c r="A962" s="291" t="s">
        <v>1157</v>
      </c>
      <c r="B962" s="291">
        <v>0</v>
      </c>
    </row>
    <row r="963" spans="1:2" ht="29">
      <c r="A963" s="291" t="s">
        <v>1158</v>
      </c>
      <c r="B963" s="291">
        <v>0</v>
      </c>
    </row>
    <row r="964" spans="1:2" ht="29">
      <c r="A964" s="291" t="s">
        <v>1159</v>
      </c>
      <c r="B964" s="291">
        <v>0</v>
      </c>
    </row>
    <row r="965" spans="1:2" ht="29">
      <c r="A965" s="291" t="s">
        <v>1160</v>
      </c>
      <c r="B965" s="291">
        <v>0</v>
      </c>
    </row>
    <row r="966" spans="1:2" ht="29">
      <c r="A966" s="291" t="s">
        <v>1161</v>
      </c>
      <c r="B966" s="291">
        <v>0</v>
      </c>
    </row>
    <row r="967" spans="1:2" ht="29">
      <c r="A967" s="291" t="s">
        <v>1162</v>
      </c>
      <c r="B967" s="291">
        <v>0</v>
      </c>
    </row>
    <row r="968" spans="1:2" ht="29">
      <c r="A968" s="291" t="s">
        <v>1163</v>
      </c>
      <c r="B968" s="291">
        <v>0</v>
      </c>
    </row>
    <row r="969" spans="1:2" ht="29">
      <c r="A969" s="291" t="s">
        <v>1164</v>
      </c>
      <c r="B969" s="291">
        <v>0</v>
      </c>
    </row>
    <row r="970" spans="1:2" ht="29">
      <c r="A970" s="291" t="s">
        <v>1165</v>
      </c>
      <c r="B970" s="291">
        <v>0</v>
      </c>
    </row>
    <row r="971" spans="1:2" ht="29">
      <c r="A971" s="291" t="s">
        <v>1166</v>
      </c>
      <c r="B971" s="291">
        <v>0</v>
      </c>
    </row>
    <row r="972" spans="1:2" ht="29">
      <c r="A972" s="291" t="s">
        <v>1167</v>
      </c>
      <c r="B972" s="291">
        <v>0</v>
      </c>
    </row>
    <row r="973" spans="1:2" ht="29">
      <c r="A973" s="291" t="s">
        <v>1168</v>
      </c>
      <c r="B973" s="291">
        <v>0</v>
      </c>
    </row>
    <row r="974" spans="1:2" ht="29">
      <c r="A974" s="291" t="s">
        <v>1169</v>
      </c>
      <c r="B974" s="291">
        <v>0</v>
      </c>
    </row>
    <row r="975" spans="1:2" ht="29">
      <c r="A975" s="291" t="s">
        <v>1170</v>
      </c>
      <c r="B975" s="291">
        <v>0</v>
      </c>
    </row>
    <row r="976" spans="1:2" ht="29">
      <c r="A976" s="291" t="s">
        <v>1171</v>
      </c>
      <c r="B976" s="291">
        <v>0</v>
      </c>
    </row>
    <row r="977" spans="1:2" ht="29">
      <c r="A977" s="291" t="s">
        <v>1172</v>
      </c>
      <c r="B977" s="291">
        <v>0</v>
      </c>
    </row>
    <row r="978" spans="1:2" ht="29">
      <c r="A978" s="291" t="s">
        <v>1173</v>
      </c>
      <c r="B978" s="291">
        <v>0</v>
      </c>
    </row>
    <row r="979" spans="1:2" ht="29">
      <c r="A979" s="291" t="s">
        <v>1174</v>
      </c>
      <c r="B979" s="291">
        <v>0</v>
      </c>
    </row>
    <row r="980" spans="1:2" ht="29">
      <c r="A980" s="291" t="s">
        <v>1175</v>
      </c>
      <c r="B980" s="291">
        <v>0</v>
      </c>
    </row>
    <row r="981" spans="1:2" ht="29">
      <c r="A981" s="291" t="s">
        <v>1176</v>
      </c>
      <c r="B981" s="291">
        <v>0</v>
      </c>
    </row>
    <row r="982" spans="1:2" ht="29">
      <c r="A982" s="291" t="s">
        <v>1177</v>
      </c>
      <c r="B982" s="291">
        <v>0</v>
      </c>
    </row>
    <row r="983" spans="1:2" ht="29">
      <c r="A983" s="291" t="s">
        <v>1178</v>
      </c>
      <c r="B983" s="291">
        <v>0</v>
      </c>
    </row>
    <row r="984" spans="1:2" ht="29">
      <c r="A984" s="291" t="s">
        <v>1179</v>
      </c>
      <c r="B984" s="291">
        <v>0</v>
      </c>
    </row>
    <row r="985" spans="1:2" ht="29">
      <c r="A985" s="291" t="s">
        <v>1180</v>
      </c>
      <c r="B985" s="291">
        <v>0</v>
      </c>
    </row>
    <row r="986" spans="1:2" ht="29">
      <c r="A986" s="291" t="s">
        <v>1181</v>
      </c>
      <c r="B986" s="291">
        <v>0</v>
      </c>
    </row>
    <row r="987" spans="1:2" ht="29">
      <c r="A987" s="291" t="s">
        <v>1182</v>
      </c>
      <c r="B987" s="291">
        <v>0</v>
      </c>
    </row>
    <row r="988" spans="1:2" ht="29">
      <c r="A988" s="291" t="s">
        <v>1183</v>
      </c>
      <c r="B988" s="291">
        <v>0</v>
      </c>
    </row>
    <row r="989" spans="1:2" ht="29">
      <c r="A989" s="291" t="s">
        <v>1184</v>
      </c>
      <c r="B989" s="291">
        <v>0</v>
      </c>
    </row>
    <row r="990" spans="1:2" ht="29">
      <c r="A990" s="291" t="s">
        <v>1185</v>
      </c>
      <c r="B990" s="291">
        <v>0</v>
      </c>
    </row>
    <row r="991" spans="1:2" ht="29">
      <c r="A991" s="291" t="s">
        <v>1186</v>
      </c>
      <c r="B991" s="291">
        <v>0</v>
      </c>
    </row>
    <row r="992" spans="1:2" ht="29">
      <c r="A992" s="291" t="s">
        <v>1187</v>
      </c>
      <c r="B992" s="291">
        <v>0</v>
      </c>
    </row>
    <row r="993" spans="1:2" ht="29">
      <c r="A993" s="291" t="s">
        <v>1188</v>
      </c>
      <c r="B993" s="291">
        <v>0</v>
      </c>
    </row>
    <row r="994" spans="1:2" ht="29">
      <c r="A994" s="291" t="s">
        <v>1189</v>
      </c>
      <c r="B994" s="291">
        <v>0</v>
      </c>
    </row>
    <row r="995" spans="1:2" ht="29">
      <c r="A995" s="291" t="s">
        <v>1190</v>
      </c>
      <c r="B995" s="291">
        <v>0</v>
      </c>
    </row>
    <row r="996" spans="1:2" ht="29">
      <c r="A996" s="291" t="s">
        <v>1191</v>
      </c>
      <c r="B996" s="291">
        <v>0</v>
      </c>
    </row>
    <row r="997" spans="1:2" ht="29">
      <c r="A997" s="291" t="s">
        <v>1192</v>
      </c>
      <c r="B997" s="291">
        <v>0</v>
      </c>
    </row>
    <row r="998" spans="1:2" ht="29">
      <c r="A998" s="291" t="s">
        <v>1193</v>
      </c>
      <c r="B998" s="291">
        <v>0</v>
      </c>
    </row>
    <row r="999" spans="1:2" ht="29">
      <c r="A999" s="291" t="s">
        <v>1194</v>
      </c>
      <c r="B999" s="291">
        <v>0</v>
      </c>
    </row>
    <row r="1000" spans="1:2" ht="29">
      <c r="A1000" s="291" t="s">
        <v>1195</v>
      </c>
      <c r="B1000" s="291">
        <v>0</v>
      </c>
    </row>
    <row r="1001" spans="1:2" ht="29">
      <c r="A1001" s="291" t="s">
        <v>1196</v>
      </c>
      <c r="B1001" s="291">
        <v>0</v>
      </c>
    </row>
    <row r="1002" spans="1:2" ht="29">
      <c r="A1002" s="291" t="s">
        <v>1197</v>
      </c>
      <c r="B1002" s="291">
        <v>0</v>
      </c>
    </row>
    <row r="1003" spans="1:2" ht="29">
      <c r="A1003" s="291" t="s">
        <v>1198</v>
      </c>
      <c r="B1003" s="291">
        <v>0</v>
      </c>
    </row>
    <row r="1004" spans="1:2" ht="29">
      <c r="A1004" s="291" t="s">
        <v>1199</v>
      </c>
      <c r="B1004" s="291">
        <v>0</v>
      </c>
    </row>
    <row r="1005" spans="1:2" ht="29">
      <c r="A1005" s="291" t="s">
        <v>1200</v>
      </c>
      <c r="B1005" s="291">
        <v>0</v>
      </c>
    </row>
    <row r="1006" spans="1:2" ht="29">
      <c r="A1006" s="291" t="s">
        <v>1201</v>
      </c>
      <c r="B1006" s="291">
        <v>0</v>
      </c>
    </row>
    <row r="1007" spans="1:2" ht="29">
      <c r="A1007" s="291" t="s">
        <v>1202</v>
      </c>
      <c r="B1007" s="291">
        <v>0</v>
      </c>
    </row>
    <row r="1008" spans="1:2" ht="29">
      <c r="A1008" s="291" t="s">
        <v>1203</v>
      </c>
      <c r="B1008" s="291">
        <v>0</v>
      </c>
    </row>
    <row r="1009" spans="1:2" ht="29">
      <c r="A1009" s="291" t="s">
        <v>1204</v>
      </c>
      <c r="B1009" s="291">
        <v>0</v>
      </c>
    </row>
    <row r="1010" spans="1:2" ht="29">
      <c r="A1010" s="291" t="s">
        <v>1205</v>
      </c>
      <c r="B1010" s="291">
        <v>0</v>
      </c>
    </row>
    <row r="1011" spans="1:2" ht="29">
      <c r="A1011" s="291" t="s">
        <v>1206</v>
      </c>
      <c r="B1011" s="291">
        <v>0</v>
      </c>
    </row>
    <row r="1012" spans="1:2" ht="29">
      <c r="A1012" s="291" t="s">
        <v>1207</v>
      </c>
      <c r="B1012" s="291">
        <v>0</v>
      </c>
    </row>
    <row r="1013" spans="1:2" ht="29">
      <c r="A1013" s="291" t="s">
        <v>1208</v>
      </c>
      <c r="B1013" s="291">
        <v>0</v>
      </c>
    </row>
    <row r="1014" spans="1:2" ht="29">
      <c r="A1014" s="291" t="s">
        <v>1209</v>
      </c>
      <c r="B1014" s="291">
        <v>0</v>
      </c>
    </row>
    <row r="1015" spans="1:2" ht="29">
      <c r="A1015" s="291" t="s">
        <v>1210</v>
      </c>
      <c r="B1015" s="291">
        <v>0</v>
      </c>
    </row>
    <row r="1016" spans="1:2" ht="29">
      <c r="A1016" s="291" t="s">
        <v>1211</v>
      </c>
      <c r="B1016" s="291">
        <v>0</v>
      </c>
    </row>
    <row r="1017" spans="1:2" ht="29">
      <c r="A1017" s="291" t="s">
        <v>1212</v>
      </c>
      <c r="B1017" s="291">
        <v>0</v>
      </c>
    </row>
    <row r="1018" spans="1:2" ht="29">
      <c r="A1018" s="291" t="s">
        <v>1213</v>
      </c>
      <c r="B1018" s="291">
        <v>0</v>
      </c>
    </row>
    <row r="1019" spans="1:2" ht="29">
      <c r="A1019" s="291" t="s">
        <v>1214</v>
      </c>
      <c r="B1019" s="291">
        <v>0</v>
      </c>
    </row>
    <row r="1020" spans="1:2" ht="29">
      <c r="A1020" s="291" t="s">
        <v>1215</v>
      </c>
      <c r="B1020" s="291">
        <v>0</v>
      </c>
    </row>
    <row r="1021" spans="1:2" ht="29">
      <c r="A1021" s="291" t="s">
        <v>1216</v>
      </c>
      <c r="B1021" s="291">
        <v>0</v>
      </c>
    </row>
    <row r="1022" spans="1:2" ht="29">
      <c r="A1022" s="291" t="s">
        <v>1217</v>
      </c>
      <c r="B1022" s="291">
        <v>0</v>
      </c>
    </row>
    <row r="1023" spans="1:2" ht="29">
      <c r="A1023" s="291" t="s">
        <v>1218</v>
      </c>
      <c r="B1023" s="291">
        <v>0</v>
      </c>
    </row>
    <row r="1024" spans="1:2" ht="29">
      <c r="A1024" s="291" t="s">
        <v>1219</v>
      </c>
      <c r="B1024" s="291">
        <v>0</v>
      </c>
    </row>
    <row r="1025" spans="1:2" ht="29">
      <c r="A1025" s="291" t="s">
        <v>1220</v>
      </c>
      <c r="B1025" s="291">
        <v>0</v>
      </c>
    </row>
    <row r="1026" spans="1:2" ht="29">
      <c r="A1026" s="291" t="s">
        <v>1221</v>
      </c>
      <c r="B1026" s="291">
        <v>0</v>
      </c>
    </row>
    <row r="1027" spans="1:2" ht="29">
      <c r="A1027" s="291" t="s">
        <v>1222</v>
      </c>
      <c r="B1027" s="291">
        <v>0</v>
      </c>
    </row>
    <row r="1028" spans="1:2" ht="29">
      <c r="A1028" s="291" t="s">
        <v>1223</v>
      </c>
      <c r="B1028" s="291">
        <v>0</v>
      </c>
    </row>
    <row r="1029" spans="1:2" ht="29">
      <c r="A1029" s="291" t="s">
        <v>1224</v>
      </c>
      <c r="B1029" s="291">
        <v>0</v>
      </c>
    </row>
    <row r="1030" spans="1:2" ht="29">
      <c r="A1030" s="291" t="s">
        <v>1225</v>
      </c>
      <c r="B1030" s="291">
        <v>0</v>
      </c>
    </row>
    <row r="1031" spans="1:2" ht="29">
      <c r="A1031" s="291" t="s">
        <v>1226</v>
      </c>
      <c r="B1031" s="291">
        <v>0</v>
      </c>
    </row>
    <row r="1032" spans="1:2" ht="29">
      <c r="A1032" s="291" t="s">
        <v>1227</v>
      </c>
      <c r="B1032" s="291">
        <v>0</v>
      </c>
    </row>
    <row r="1033" spans="1:2" ht="29">
      <c r="A1033" s="291" t="s">
        <v>1228</v>
      </c>
      <c r="B1033" s="291">
        <v>0</v>
      </c>
    </row>
    <row r="1034" spans="1:2" ht="29">
      <c r="A1034" s="291" t="s">
        <v>1229</v>
      </c>
      <c r="B1034" s="291">
        <v>0</v>
      </c>
    </row>
    <row r="1035" spans="1:2" ht="29">
      <c r="A1035" s="291" t="s">
        <v>1230</v>
      </c>
      <c r="B1035" s="291">
        <v>0</v>
      </c>
    </row>
    <row r="1036" spans="1:2" ht="29">
      <c r="A1036" s="291" t="s">
        <v>1231</v>
      </c>
      <c r="B1036" s="291">
        <v>0</v>
      </c>
    </row>
    <row r="1037" spans="1:2" ht="29">
      <c r="A1037" s="291" t="s">
        <v>1232</v>
      </c>
      <c r="B1037" s="291">
        <v>300</v>
      </c>
    </row>
    <row r="1038" spans="1:2" ht="29">
      <c r="A1038" s="291" t="s">
        <v>1233</v>
      </c>
      <c r="B1038" s="291">
        <v>0</v>
      </c>
    </row>
    <row r="1039" spans="1:2" ht="29">
      <c r="A1039" s="291" t="s">
        <v>1234</v>
      </c>
      <c r="B1039" s="291">
        <v>0</v>
      </c>
    </row>
    <row r="1040" spans="1:2" ht="29">
      <c r="A1040" s="291" t="s">
        <v>1235</v>
      </c>
      <c r="B1040" s="291">
        <v>0</v>
      </c>
    </row>
    <row r="1041" spans="1:2" ht="29">
      <c r="A1041" s="291" t="s">
        <v>1236</v>
      </c>
      <c r="B1041" s="291">
        <v>0</v>
      </c>
    </row>
    <row r="1042" spans="1:2" ht="29">
      <c r="A1042" s="291" t="s">
        <v>1237</v>
      </c>
      <c r="B1042" s="291">
        <v>0</v>
      </c>
    </row>
    <row r="1043" spans="1:2" ht="29">
      <c r="A1043" s="291" t="s">
        <v>1238</v>
      </c>
      <c r="B1043" s="291">
        <v>0</v>
      </c>
    </row>
    <row r="1044" spans="1:2" ht="29">
      <c r="A1044" s="291" t="s">
        <v>1239</v>
      </c>
      <c r="B1044" s="291">
        <v>0</v>
      </c>
    </row>
    <row r="1045" spans="1:2" ht="29">
      <c r="A1045" s="291" t="s">
        <v>1240</v>
      </c>
      <c r="B1045" s="291">
        <v>0</v>
      </c>
    </row>
    <row r="1046" spans="1:2" ht="29">
      <c r="A1046" s="291" t="s">
        <v>1241</v>
      </c>
      <c r="B1046" s="291">
        <v>0</v>
      </c>
    </row>
    <row r="1047" spans="1:2" ht="29">
      <c r="A1047" s="291" t="s">
        <v>1242</v>
      </c>
      <c r="B1047" s="291">
        <v>0</v>
      </c>
    </row>
    <row r="1048" spans="1:2" ht="29">
      <c r="A1048" s="291" t="s">
        <v>1243</v>
      </c>
      <c r="B1048" s="291">
        <v>0</v>
      </c>
    </row>
    <row r="1049" spans="1:2" ht="29">
      <c r="A1049" s="291" t="s">
        <v>1244</v>
      </c>
      <c r="B1049" s="291">
        <v>0</v>
      </c>
    </row>
    <row r="1050" spans="1:2" ht="29">
      <c r="A1050" s="291" t="s">
        <v>1245</v>
      </c>
      <c r="B1050" s="291">
        <v>0</v>
      </c>
    </row>
    <row r="1051" spans="1:2" ht="29">
      <c r="A1051" s="291" t="s">
        <v>1246</v>
      </c>
      <c r="B1051" s="291">
        <v>0</v>
      </c>
    </row>
    <row r="1052" spans="1:2" ht="29">
      <c r="A1052" s="291" t="s">
        <v>1247</v>
      </c>
      <c r="B1052" s="291">
        <v>0</v>
      </c>
    </row>
    <row r="1053" spans="1:2" ht="29">
      <c r="A1053" s="291" t="s">
        <v>1248</v>
      </c>
      <c r="B1053" s="291">
        <v>0</v>
      </c>
    </row>
    <row r="1054" spans="1:2" ht="29">
      <c r="A1054" s="291" t="s">
        <v>1249</v>
      </c>
      <c r="B1054" s="291">
        <v>0</v>
      </c>
    </row>
    <row r="1055" spans="1:2" ht="29">
      <c r="A1055" s="291" t="s">
        <v>1250</v>
      </c>
      <c r="B1055" s="291">
        <v>0</v>
      </c>
    </row>
    <row r="1056" spans="1:2" ht="29">
      <c r="A1056" s="291" t="s">
        <v>1251</v>
      </c>
      <c r="B1056" s="291">
        <v>0</v>
      </c>
    </row>
    <row r="1057" spans="1:2" ht="29">
      <c r="A1057" s="291" t="s">
        <v>1252</v>
      </c>
      <c r="B1057" s="291">
        <v>0</v>
      </c>
    </row>
    <row r="1058" spans="1:2" ht="29">
      <c r="A1058" s="291" t="s">
        <v>1253</v>
      </c>
      <c r="B1058" s="291">
        <v>0</v>
      </c>
    </row>
    <row r="1059" spans="1:2" ht="29">
      <c r="A1059" s="291" t="s">
        <v>1254</v>
      </c>
      <c r="B1059" s="291">
        <v>0</v>
      </c>
    </row>
    <row r="1060" spans="1:2" ht="29">
      <c r="A1060" s="291" t="s">
        <v>1255</v>
      </c>
      <c r="B1060" s="291">
        <v>0</v>
      </c>
    </row>
    <row r="1061" spans="1:2" ht="29">
      <c r="A1061" s="291" t="s">
        <v>1256</v>
      </c>
      <c r="B1061" s="291">
        <v>0</v>
      </c>
    </row>
    <row r="1062" spans="1:2" ht="29">
      <c r="A1062" s="291" t="s">
        <v>1257</v>
      </c>
      <c r="B1062" s="291">
        <v>0</v>
      </c>
    </row>
    <row r="1063" spans="1:2" ht="29">
      <c r="A1063" s="291" t="s">
        <v>1258</v>
      </c>
      <c r="B1063" s="291">
        <v>0</v>
      </c>
    </row>
    <row r="1064" spans="1:2" ht="29">
      <c r="A1064" s="291" t="s">
        <v>1259</v>
      </c>
      <c r="B1064" s="291">
        <v>0</v>
      </c>
    </row>
    <row r="1065" spans="1:2" ht="29">
      <c r="A1065" s="291" t="s">
        <v>1260</v>
      </c>
      <c r="B1065" s="291">
        <v>0</v>
      </c>
    </row>
    <row r="1066" spans="1:2" ht="29">
      <c r="A1066" s="291" t="s">
        <v>1261</v>
      </c>
      <c r="B1066" s="291">
        <v>0</v>
      </c>
    </row>
    <row r="1067" spans="1:2" ht="29">
      <c r="A1067" s="291" t="s">
        <v>1262</v>
      </c>
      <c r="B1067" s="291">
        <v>0</v>
      </c>
    </row>
    <row r="1068" spans="1:2" ht="29">
      <c r="A1068" s="291" t="s">
        <v>1263</v>
      </c>
      <c r="B1068" s="291">
        <v>0</v>
      </c>
    </row>
    <row r="1069" spans="1:2" ht="29">
      <c r="A1069" s="291" t="s">
        <v>1264</v>
      </c>
      <c r="B1069" s="291">
        <v>0</v>
      </c>
    </row>
    <row r="1070" spans="1:2" ht="29">
      <c r="A1070" s="291" t="s">
        <v>1265</v>
      </c>
      <c r="B1070" s="291">
        <v>0</v>
      </c>
    </row>
    <row r="1071" spans="1:2" ht="29">
      <c r="A1071" s="291" t="s">
        <v>1266</v>
      </c>
      <c r="B1071" s="291">
        <v>0</v>
      </c>
    </row>
    <row r="1072" spans="1:2" ht="29">
      <c r="A1072" s="291" t="s">
        <v>1267</v>
      </c>
      <c r="B1072" s="291">
        <v>0</v>
      </c>
    </row>
    <row r="1073" spans="1:2" ht="29">
      <c r="A1073" s="291" t="s">
        <v>1268</v>
      </c>
      <c r="B1073" s="291">
        <v>0</v>
      </c>
    </row>
    <row r="1074" spans="1:2" ht="29">
      <c r="A1074" s="291" t="s">
        <v>1269</v>
      </c>
      <c r="B1074" s="291">
        <v>0</v>
      </c>
    </row>
    <row r="1075" spans="1:2" ht="29">
      <c r="A1075" s="291" t="s">
        <v>1270</v>
      </c>
      <c r="B1075" s="291">
        <v>0</v>
      </c>
    </row>
    <row r="1076" spans="1:2" ht="29">
      <c r="A1076" s="291" t="s">
        <v>1271</v>
      </c>
      <c r="B1076" s="291">
        <v>0</v>
      </c>
    </row>
    <row r="1077" spans="1:2" ht="29">
      <c r="A1077" s="291" t="s">
        <v>1272</v>
      </c>
      <c r="B1077" s="291">
        <v>0</v>
      </c>
    </row>
    <row r="1078" spans="1:2" ht="29">
      <c r="A1078" s="291" t="s">
        <v>1273</v>
      </c>
      <c r="B1078" s="291">
        <v>0</v>
      </c>
    </row>
    <row r="1079" spans="1:2" ht="29">
      <c r="A1079" s="291" t="s">
        <v>1274</v>
      </c>
      <c r="B1079" s="291">
        <v>0</v>
      </c>
    </row>
    <row r="1080" spans="1:2" ht="29">
      <c r="A1080" s="291" t="s">
        <v>1275</v>
      </c>
      <c r="B1080" s="291">
        <v>0</v>
      </c>
    </row>
    <row r="1081" spans="1:2" ht="29">
      <c r="A1081" s="291" t="s">
        <v>1276</v>
      </c>
      <c r="B1081" s="291">
        <v>0</v>
      </c>
    </row>
    <row r="1082" spans="1:2" ht="29">
      <c r="A1082" s="291" t="s">
        <v>1277</v>
      </c>
      <c r="B1082" s="291">
        <v>0</v>
      </c>
    </row>
    <row r="1083" spans="1:2" ht="29">
      <c r="A1083" s="291" t="s">
        <v>1278</v>
      </c>
      <c r="B1083" s="291">
        <v>0</v>
      </c>
    </row>
    <row r="1084" spans="1:2" ht="29">
      <c r="A1084" s="291" t="s">
        <v>1279</v>
      </c>
      <c r="B1084" s="291">
        <v>0</v>
      </c>
    </row>
    <row r="1085" spans="1:2" ht="29">
      <c r="A1085" s="291" t="s">
        <v>1280</v>
      </c>
      <c r="B1085" s="291">
        <v>0</v>
      </c>
    </row>
    <row r="1086" spans="1:2" ht="29">
      <c r="A1086" s="291" t="s">
        <v>1281</v>
      </c>
      <c r="B1086" s="291">
        <v>0</v>
      </c>
    </row>
    <row r="1087" spans="1:2" ht="29">
      <c r="A1087" s="291" t="s">
        <v>1282</v>
      </c>
      <c r="B1087" s="291">
        <v>0</v>
      </c>
    </row>
    <row r="1088" spans="1:2" ht="29">
      <c r="A1088" s="291" t="s">
        <v>1283</v>
      </c>
      <c r="B1088" s="291">
        <v>0</v>
      </c>
    </row>
    <row r="1089" spans="1:2" ht="29">
      <c r="A1089" s="291" t="s">
        <v>1284</v>
      </c>
      <c r="B1089" s="291">
        <v>0</v>
      </c>
    </row>
    <row r="1090" spans="1:2" ht="29">
      <c r="A1090" s="291" t="s">
        <v>1285</v>
      </c>
      <c r="B1090" s="291">
        <v>0</v>
      </c>
    </row>
    <row r="1091" spans="1:2" ht="29">
      <c r="A1091" s="291" t="s">
        <v>1286</v>
      </c>
      <c r="B1091" s="291">
        <v>0</v>
      </c>
    </row>
    <row r="1092" spans="1:2" ht="29">
      <c r="A1092" s="291" t="s">
        <v>1287</v>
      </c>
      <c r="B1092" s="291">
        <v>0</v>
      </c>
    </row>
    <row r="1093" spans="1:2" ht="29">
      <c r="A1093" s="291" t="s">
        <v>1288</v>
      </c>
      <c r="B1093" s="291">
        <v>0</v>
      </c>
    </row>
    <row r="1094" spans="1:2" ht="29">
      <c r="A1094" s="291" t="s">
        <v>1289</v>
      </c>
      <c r="B1094" s="291">
        <v>0</v>
      </c>
    </row>
    <row r="1095" spans="1:2" ht="29">
      <c r="A1095" s="291" t="s">
        <v>1290</v>
      </c>
      <c r="B1095" s="291">
        <v>0</v>
      </c>
    </row>
    <row r="1096" spans="1:2" ht="29">
      <c r="A1096" s="291" t="s">
        <v>1291</v>
      </c>
      <c r="B1096" s="291">
        <v>0</v>
      </c>
    </row>
    <row r="1097" spans="1:2" ht="29">
      <c r="A1097" s="291" t="s">
        <v>1292</v>
      </c>
      <c r="B1097" s="291">
        <v>0</v>
      </c>
    </row>
    <row r="1098" spans="1:2" ht="29">
      <c r="A1098" s="291" t="s">
        <v>1293</v>
      </c>
      <c r="B1098" s="291">
        <v>0</v>
      </c>
    </row>
    <row r="1099" spans="1:2" ht="29">
      <c r="A1099" s="291" t="s">
        <v>1294</v>
      </c>
      <c r="B1099" s="291">
        <v>0</v>
      </c>
    </row>
    <row r="1100" spans="1:2" ht="29">
      <c r="A1100" s="291" t="s">
        <v>1295</v>
      </c>
      <c r="B1100" s="291">
        <v>0</v>
      </c>
    </row>
    <row r="1101" spans="1:2" ht="29">
      <c r="A1101" s="291" t="s">
        <v>1296</v>
      </c>
      <c r="B1101" s="291">
        <v>0</v>
      </c>
    </row>
    <row r="1102" spans="1:2" ht="29">
      <c r="A1102" s="291" t="s">
        <v>1297</v>
      </c>
      <c r="B1102" s="291">
        <v>0</v>
      </c>
    </row>
    <row r="1103" spans="1:2" ht="29">
      <c r="A1103" s="291" t="s">
        <v>1298</v>
      </c>
      <c r="B1103" s="291">
        <v>0</v>
      </c>
    </row>
    <row r="1104" spans="1:2" ht="29">
      <c r="A1104" s="291" t="s">
        <v>1299</v>
      </c>
      <c r="B1104" s="291">
        <v>0</v>
      </c>
    </row>
    <row r="1105" spans="1:2" ht="29">
      <c r="A1105" s="291" t="s">
        <v>1300</v>
      </c>
      <c r="B1105" s="291">
        <v>0</v>
      </c>
    </row>
    <row r="1106" spans="1:2" ht="29">
      <c r="A1106" s="291" t="s">
        <v>1301</v>
      </c>
      <c r="B1106" s="291">
        <v>0</v>
      </c>
    </row>
    <row r="1107" spans="1:2" ht="29">
      <c r="A1107" s="291" t="s">
        <v>1302</v>
      </c>
      <c r="B1107" s="291">
        <v>0</v>
      </c>
    </row>
    <row r="1108" spans="1:2" ht="29">
      <c r="A1108" s="291" t="s">
        <v>1303</v>
      </c>
      <c r="B1108" s="291">
        <v>0</v>
      </c>
    </row>
    <row r="1109" spans="1:2" ht="29">
      <c r="A1109" s="291" t="s">
        <v>1304</v>
      </c>
      <c r="B1109" s="291">
        <v>0</v>
      </c>
    </row>
    <row r="1110" spans="1:2" ht="29">
      <c r="A1110" s="291" t="s">
        <v>1305</v>
      </c>
      <c r="B1110" s="291">
        <v>0</v>
      </c>
    </row>
    <row r="1111" spans="1:2" ht="29">
      <c r="A1111" s="291" t="s">
        <v>1306</v>
      </c>
      <c r="B1111" s="291">
        <v>0</v>
      </c>
    </row>
    <row r="1112" spans="1:2" ht="29">
      <c r="A1112" s="291" t="s">
        <v>1307</v>
      </c>
      <c r="B1112" s="291">
        <v>0</v>
      </c>
    </row>
    <row r="1113" spans="1:2" ht="29">
      <c r="A1113" s="291" t="s">
        <v>1308</v>
      </c>
      <c r="B1113" s="291">
        <v>0</v>
      </c>
    </row>
    <row r="1114" spans="1:2" ht="29">
      <c r="A1114" s="291" t="s">
        <v>1309</v>
      </c>
      <c r="B1114" s="291">
        <v>0</v>
      </c>
    </row>
    <row r="1115" spans="1:2" ht="29">
      <c r="A1115" s="291" t="s">
        <v>1310</v>
      </c>
      <c r="B1115" s="291">
        <v>0</v>
      </c>
    </row>
    <row r="1116" spans="1:2" ht="29">
      <c r="A1116" s="291" t="s">
        <v>1311</v>
      </c>
      <c r="B1116" s="291">
        <v>0</v>
      </c>
    </row>
    <row r="1117" spans="1:2" ht="29">
      <c r="A1117" s="291" t="s">
        <v>1312</v>
      </c>
      <c r="B1117" s="291">
        <v>0</v>
      </c>
    </row>
    <row r="1118" spans="1:2" ht="29">
      <c r="A1118" s="291" t="s">
        <v>1313</v>
      </c>
      <c r="B1118" s="291">
        <v>0</v>
      </c>
    </row>
    <row r="1119" spans="1:2" ht="29">
      <c r="A1119" s="291" t="s">
        <v>1314</v>
      </c>
      <c r="B1119" s="291">
        <v>0</v>
      </c>
    </row>
    <row r="1120" spans="1:2" ht="29">
      <c r="A1120" s="291" t="s">
        <v>1315</v>
      </c>
      <c r="B1120" s="291">
        <v>0</v>
      </c>
    </row>
    <row r="1121" spans="1:2" ht="29">
      <c r="A1121" s="291" t="s">
        <v>1316</v>
      </c>
      <c r="B1121" s="291">
        <v>0</v>
      </c>
    </row>
    <row r="1122" spans="1:2" ht="29">
      <c r="A1122" s="291" t="s">
        <v>1317</v>
      </c>
      <c r="B1122" s="291">
        <v>0</v>
      </c>
    </row>
    <row r="1123" spans="1:2" ht="29">
      <c r="A1123" s="291" t="s">
        <v>1318</v>
      </c>
      <c r="B1123" s="291">
        <v>0</v>
      </c>
    </row>
    <row r="1124" spans="1:2" ht="29">
      <c r="A1124" s="291" t="s">
        <v>1319</v>
      </c>
      <c r="B1124" s="291">
        <v>0</v>
      </c>
    </row>
    <row r="1125" spans="1:2" ht="29">
      <c r="A1125" s="291" t="s">
        <v>1320</v>
      </c>
      <c r="B1125" s="291">
        <v>0</v>
      </c>
    </row>
    <row r="1126" spans="1:2" ht="29">
      <c r="A1126" s="291" t="s">
        <v>1321</v>
      </c>
      <c r="B1126" s="291">
        <v>0</v>
      </c>
    </row>
    <row r="1127" spans="1:2" ht="29">
      <c r="A1127" s="291" t="s">
        <v>1322</v>
      </c>
      <c r="B1127" s="291">
        <v>0</v>
      </c>
    </row>
    <row r="1128" spans="1:2" ht="29">
      <c r="A1128" s="291" t="s">
        <v>1323</v>
      </c>
      <c r="B1128" s="291">
        <v>0</v>
      </c>
    </row>
    <row r="1129" spans="1:2" ht="29">
      <c r="A1129" s="291" t="s">
        <v>1324</v>
      </c>
      <c r="B1129" s="291">
        <v>0</v>
      </c>
    </row>
    <row r="1130" spans="1:2" ht="29">
      <c r="A1130" s="291" t="s">
        <v>1325</v>
      </c>
      <c r="B1130" s="291">
        <v>1300</v>
      </c>
    </row>
    <row r="1131" spans="1:2" ht="29">
      <c r="A1131" s="291" t="s">
        <v>1326</v>
      </c>
      <c r="B1131" s="291">
        <v>0</v>
      </c>
    </row>
    <row r="1132" spans="1:2" ht="29">
      <c r="A1132" s="291" t="s">
        <v>1327</v>
      </c>
      <c r="B1132" s="291">
        <v>0</v>
      </c>
    </row>
    <row r="1133" spans="1:2" ht="29">
      <c r="A1133" s="291" t="s">
        <v>1328</v>
      </c>
      <c r="B1133" s="291">
        <v>0</v>
      </c>
    </row>
    <row r="1134" spans="1:2" ht="29">
      <c r="A1134" s="291" t="s">
        <v>1329</v>
      </c>
      <c r="B1134" s="291">
        <v>0</v>
      </c>
    </row>
    <row r="1135" spans="1:2" ht="29">
      <c r="A1135" s="291" t="s">
        <v>1330</v>
      </c>
      <c r="B1135" s="291">
        <v>0</v>
      </c>
    </row>
    <row r="1136" spans="1:2" ht="29">
      <c r="A1136" s="291" t="s">
        <v>1331</v>
      </c>
      <c r="B1136" s="291">
        <v>0</v>
      </c>
    </row>
    <row r="1137" spans="1:2" ht="29">
      <c r="A1137" s="291" t="s">
        <v>1332</v>
      </c>
      <c r="B1137" s="291">
        <v>0</v>
      </c>
    </row>
    <row r="1138" spans="1:2" ht="29">
      <c r="A1138" s="291" t="s">
        <v>1333</v>
      </c>
      <c r="B1138" s="291">
        <v>0</v>
      </c>
    </row>
    <row r="1139" spans="1:2" ht="29">
      <c r="A1139" s="291" t="s">
        <v>1334</v>
      </c>
      <c r="B1139" s="291">
        <v>0</v>
      </c>
    </row>
    <row r="1140" spans="1:2" ht="29">
      <c r="A1140" s="291" t="s">
        <v>1335</v>
      </c>
      <c r="B1140" s="291">
        <v>0</v>
      </c>
    </row>
    <row r="1141" spans="1:2" ht="29">
      <c r="A1141" s="291" t="s">
        <v>1336</v>
      </c>
      <c r="B1141" s="291">
        <v>0</v>
      </c>
    </row>
    <row r="1142" spans="1:2" ht="29">
      <c r="A1142" s="291" t="s">
        <v>1337</v>
      </c>
      <c r="B1142" s="291">
        <v>0</v>
      </c>
    </row>
    <row r="1143" spans="1:2" ht="29">
      <c r="A1143" s="291" t="s">
        <v>1338</v>
      </c>
      <c r="B1143" s="291">
        <v>0</v>
      </c>
    </row>
    <row r="1144" spans="1:2" ht="29">
      <c r="A1144" s="291" t="s">
        <v>1339</v>
      </c>
      <c r="B1144" s="291">
        <v>0</v>
      </c>
    </row>
    <row r="1145" spans="1:2" ht="29">
      <c r="A1145" s="291" t="s">
        <v>1340</v>
      </c>
      <c r="B1145" s="291">
        <v>0</v>
      </c>
    </row>
    <row r="1146" spans="1:2" ht="29">
      <c r="A1146" s="291" t="s">
        <v>1341</v>
      </c>
      <c r="B1146" s="291">
        <v>0</v>
      </c>
    </row>
    <row r="1147" spans="1:2" ht="29">
      <c r="A1147" s="291" t="s">
        <v>1342</v>
      </c>
      <c r="B1147" s="291">
        <v>0</v>
      </c>
    </row>
    <row r="1148" spans="1:2" ht="29">
      <c r="A1148" s="291" t="s">
        <v>1343</v>
      </c>
      <c r="B1148" s="291">
        <v>0</v>
      </c>
    </row>
    <row r="1149" spans="1:2" ht="29">
      <c r="A1149" s="291" t="s">
        <v>1344</v>
      </c>
      <c r="B1149" s="291">
        <v>0</v>
      </c>
    </row>
    <row r="1150" spans="1:2" ht="29">
      <c r="A1150" s="291" t="s">
        <v>1345</v>
      </c>
      <c r="B1150" s="291">
        <v>25</v>
      </c>
    </row>
    <row r="1151" spans="1:2" ht="29">
      <c r="A1151" s="291" t="s">
        <v>1346</v>
      </c>
      <c r="B1151" s="291">
        <v>0</v>
      </c>
    </row>
    <row r="1152" spans="1:2" ht="29">
      <c r="A1152" s="291" t="s">
        <v>1347</v>
      </c>
      <c r="B1152" s="291">
        <v>0</v>
      </c>
    </row>
    <row r="1153" spans="1:2" ht="29">
      <c r="A1153" s="291" t="s">
        <v>1348</v>
      </c>
      <c r="B1153" s="291">
        <v>0</v>
      </c>
    </row>
    <row r="1154" spans="1:2" ht="29">
      <c r="A1154" s="291" t="s">
        <v>1349</v>
      </c>
      <c r="B1154" s="291">
        <v>0</v>
      </c>
    </row>
    <row r="1155" spans="1:2" ht="29">
      <c r="A1155" s="291" t="s">
        <v>1350</v>
      </c>
      <c r="B1155" s="291">
        <v>0</v>
      </c>
    </row>
    <row r="1156" spans="1:2" ht="29">
      <c r="A1156" s="291" t="s">
        <v>1351</v>
      </c>
      <c r="B1156" s="291">
        <v>0</v>
      </c>
    </row>
    <row r="1157" spans="1:2" ht="29">
      <c r="A1157" s="291" t="s">
        <v>1352</v>
      </c>
      <c r="B1157" s="291">
        <v>0</v>
      </c>
    </row>
    <row r="1158" spans="1:2" ht="29">
      <c r="A1158" s="291" t="s">
        <v>1353</v>
      </c>
      <c r="B1158" s="291">
        <v>0</v>
      </c>
    </row>
    <row r="1159" spans="1:2" ht="29">
      <c r="A1159" s="291" t="s">
        <v>1354</v>
      </c>
      <c r="B1159" s="291">
        <v>0</v>
      </c>
    </row>
    <row r="1160" spans="1:2" ht="29">
      <c r="A1160" s="291" t="s">
        <v>1355</v>
      </c>
      <c r="B1160" s="291">
        <v>0</v>
      </c>
    </row>
    <row r="1161" spans="1:2" ht="29">
      <c r="A1161" s="291" t="s">
        <v>1356</v>
      </c>
      <c r="B1161" s="291">
        <v>0</v>
      </c>
    </row>
    <row r="1162" spans="1:2" ht="29">
      <c r="A1162" s="291" t="s">
        <v>1357</v>
      </c>
      <c r="B1162" s="291">
        <v>0</v>
      </c>
    </row>
    <row r="1163" spans="1:2" ht="29">
      <c r="A1163" s="291" t="s">
        <v>1358</v>
      </c>
      <c r="B1163" s="291">
        <v>0</v>
      </c>
    </row>
    <row r="1164" spans="1:2" ht="29">
      <c r="A1164" s="291" t="s">
        <v>1359</v>
      </c>
      <c r="B1164" s="291">
        <v>0</v>
      </c>
    </row>
    <row r="1165" spans="1:2" ht="29">
      <c r="A1165" s="291" t="s">
        <v>1360</v>
      </c>
      <c r="B1165" s="291">
        <v>0</v>
      </c>
    </row>
    <row r="1166" spans="1:2" ht="29">
      <c r="A1166" s="291" t="s">
        <v>1361</v>
      </c>
      <c r="B1166" s="291">
        <v>0</v>
      </c>
    </row>
    <row r="1167" spans="1:2" ht="29">
      <c r="A1167" s="291" t="s">
        <v>1362</v>
      </c>
      <c r="B1167" s="291">
        <v>0</v>
      </c>
    </row>
    <row r="1168" spans="1:2" ht="29">
      <c r="A1168" s="291" t="s">
        <v>1363</v>
      </c>
      <c r="B1168" s="291">
        <v>0</v>
      </c>
    </row>
    <row r="1169" spans="1:2" ht="29">
      <c r="A1169" s="291" t="s">
        <v>1364</v>
      </c>
      <c r="B1169" s="291">
        <v>0</v>
      </c>
    </row>
    <row r="1170" spans="1:2" ht="29">
      <c r="A1170" s="291" t="s">
        <v>1365</v>
      </c>
      <c r="B1170" s="291">
        <v>0</v>
      </c>
    </row>
    <row r="1171" spans="1:2" ht="29">
      <c r="A1171" s="291" t="s">
        <v>1366</v>
      </c>
      <c r="B1171" s="291">
        <v>0</v>
      </c>
    </row>
    <row r="1172" spans="1:2" ht="29">
      <c r="A1172" s="291" t="s">
        <v>1367</v>
      </c>
      <c r="B1172" s="291">
        <v>0</v>
      </c>
    </row>
    <row r="1173" spans="1:2" ht="29">
      <c r="A1173" s="291" t="s">
        <v>1368</v>
      </c>
      <c r="B1173" s="291">
        <v>0</v>
      </c>
    </row>
    <row r="1174" spans="1:2" ht="29">
      <c r="A1174" s="291" t="s">
        <v>1369</v>
      </c>
      <c r="B1174" s="291">
        <v>0</v>
      </c>
    </row>
    <row r="1175" spans="1:2" ht="29">
      <c r="A1175" s="291" t="s">
        <v>1370</v>
      </c>
      <c r="B1175" s="291">
        <v>0</v>
      </c>
    </row>
    <row r="1176" spans="1:2" ht="29">
      <c r="A1176" s="291" t="s">
        <v>1371</v>
      </c>
      <c r="B1176" s="291">
        <v>0</v>
      </c>
    </row>
    <row r="1177" spans="1:2" ht="29">
      <c r="A1177" s="291" t="s">
        <v>1372</v>
      </c>
      <c r="B1177" s="291">
        <v>0</v>
      </c>
    </row>
    <row r="1178" spans="1:2" ht="29">
      <c r="A1178" s="291" t="s">
        <v>1373</v>
      </c>
      <c r="B1178" s="291">
        <v>0</v>
      </c>
    </row>
    <row r="1179" spans="1:2" ht="29">
      <c r="A1179" s="291" t="s">
        <v>1374</v>
      </c>
      <c r="B1179" s="291">
        <v>0</v>
      </c>
    </row>
    <row r="1180" spans="1:2" ht="29">
      <c r="A1180" s="291" t="s">
        <v>1375</v>
      </c>
      <c r="B1180" s="291">
        <v>0</v>
      </c>
    </row>
    <row r="1181" spans="1:2" ht="29">
      <c r="A1181" s="291" t="s">
        <v>1376</v>
      </c>
      <c r="B1181" s="291">
        <v>0</v>
      </c>
    </row>
    <row r="1182" spans="1:2" ht="29">
      <c r="A1182" s="291" t="s">
        <v>1377</v>
      </c>
      <c r="B1182" s="291">
        <v>0</v>
      </c>
    </row>
    <row r="1183" spans="1:2" ht="29">
      <c r="A1183" s="291" t="s">
        <v>1378</v>
      </c>
      <c r="B1183" s="291">
        <v>0</v>
      </c>
    </row>
    <row r="1184" spans="1:2" ht="29">
      <c r="A1184" s="291" t="s">
        <v>1379</v>
      </c>
      <c r="B1184" s="291">
        <v>0</v>
      </c>
    </row>
    <row r="1185" spans="1:2" ht="29">
      <c r="A1185" s="291" t="s">
        <v>1380</v>
      </c>
      <c r="B1185" s="291">
        <v>0</v>
      </c>
    </row>
    <row r="1186" spans="1:2" ht="29">
      <c r="A1186" s="291" t="s">
        <v>1381</v>
      </c>
      <c r="B1186" s="291">
        <v>0</v>
      </c>
    </row>
    <row r="1187" spans="1:2" ht="29">
      <c r="A1187" s="291" t="s">
        <v>1382</v>
      </c>
      <c r="B1187" s="291">
        <v>0</v>
      </c>
    </row>
    <row r="1188" spans="1:2" ht="29">
      <c r="A1188" s="291" t="s">
        <v>1383</v>
      </c>
      <c r="B1188" s="291">
        <v>0</v>
      </c>
    </row>
    <row r="1189" spans="1:2" ht="29">
      <c r="A1189" s="291" t="s">
        <v>1384</v>
      </c>
      <c r="B1189" s="291">
        <v>0</v>
      </c>
    </row>
    <row r="1190" spans="1:2" ht="29">
      <c r="A1190" s="291" t="s">
        <v>1385</v>
      </c>
      <c r="B1190" s="291">
        <v>0</v>
      </c>
    </row>
    <row r="1191" spans="1:2" ht="29">
      <c r="A1191" s="291" t="s">
        <v>1386</v>
      </c>
      <c r="B1191" s="291">
        <v>0</v>
      </c>
    </row>
    <row r="1192" spans="1:2" ht="29">
      <c r="A1192" s="291" t="s">
        <v>1387</v>
      </c>
      <c r="B1192" s="291">
        <v>0</v>
      </c>
    </row>
    <row r="1193" spans="1:2" ht="29">
      <c r="A1193" s="291" t="s">
        <v>1388</v>
      </c>
      <c r="B1193" s="292">
        <v>0</v>
      </c>
    </row>
    <row r="1194" spans="1:2" ht="29">
      <c r="A1194" s="291" t="s">
        <v>1389</v>
      </c>
      <c r="B1194" s="291">
        <v>0</v>
      </c>
    </row>
    <row r="1195" spans="1:2" ht="29">
      <c r="A1195" s="291" t="s">
        <v>1390</v>
      </c>
      <c r="B1195" s="291">
        <v>0</v>
      </c>
    </row>
    <row r="1196" spans="1:2" ht="29">
      <c r="A1196" s="291" t="s">
        <v>1391</v>
      </c>
      <c r="B1196" s="291">
        <v>4580</v>
      </c>
    </row>
    <row r="1197" spans="1:2" ht="29">
      <c r="A1197" s="291" t="s">
        <v>1392</v>
      </c>
      <c r="B1197" s="291">
        <v>0</v>
      </c>
    </row>
    <row r="1198" spans="1:2" ht="29">
      <c r="A1198" s="291" t="s">
        <v>1393</v>
      </c>
      <c r="B1198" s="291">
        <v>0</v>
      </c>
    </row>
    <row r="1199" spans="1:2" ht="29">
      <c r="A1199" s="291" t="s">
        <v>1394</v>
      </c>
      <c r="B1199" s="291">
        <v>0</v>
      </c>
    </row>
    <row r="1200" spans="1:2" ht="29">
      <c r="A1200" s="291" t="s">
        <v>1395</v>
      </c>
      <c r="B1200" s="291">
        <v>0</v>
      </c>
    </row>
    <row r="1201" spans="1:2" ht="29">
      <c r="A1201" s="291" t="s">
        <v>1396</v>
      </c>
      <c r="B1201" s="291">
        <v>0</v>
      </c>
    </row>
    <row r="1202" spans="1:2" ht="29">
      <c r="A1202" s="291" t="s">
        <v>1397</v>
      </c>
      <c r="B1202" s="291">
        <v>0</v>
      </c>
    </row>
    <row r="1203" spans="1:2" ht="29">
      <c r="A1203" s="291" t="s">
        <v>1398</v>
      </c>
      <c r="B1203" s="291">
        <v>0</v>
      </c>
    </row>
    <row r="1204" spans="1:2" ht="29">
      <c r="A1204" s="291" t="s">
        <v>1399</v>
      </c>
      <c r="B1204" s="291">
        <v>0</v>
      </c>
    </row>
    <row r="1205" spans="1:2" ht="29">
      <c r="A1205" s="291" t="s">
        <v>1400</v>
      </c>
      <c r="B1205" s="291">
        <v>0</v>
      </c>
    </row>
    <row r="1206" spans="1:2" ht="29">
      <c r="A1206" s="291" t="s">
        <v>1401</v>
      </c>
      <c r="B1206" s="291">
        <v>0</v>
      </c>
    </row>
    <row r="1207" spans="1:2" ht="29">
      <c r="A1207" s="291" t="s">
        <v>1402</v>
      </c>
      <c r="B1207" s="291">
        <v>0</v>
      </c>
    </row>
    <row r="1208" spans="1:2" ht="29">
      <c r="A1208" s="291" t="s">
        <v>1403</v>
      </c>
      <c r="B1208" s="291">
        <v>0</v>
      </c>
    </row>
    <row r="1209" spans="1:2" ht="29">
      <c r="A1209" s="291" t="s">
        <v>1404</v>
      </c>
      <c r="B1209" s="291">
        <v>0</v>
      </c>
    </row>
    <row r="1210" spans="1:2" ht="29">
      <c r="A1210" s="291" t="s">
        <v>1405</v>
      </c>
      <c r="B1210" s="291">
        <v>0</v>
      </c>
    </row>
    <row r="1211" spans="1:2" ht="29">
      <c r="A1211" s="291" t="s">
        <v>1406</v>
      </c>
      <c r="B1211" s="291">
        <v>0</v>
      </c>
    </row>
    <row r="1212" spans="1:2" ht="29">
      <c r="A1212" s="291" t="s">
        <v>1407</v>
      </c>
      <c r="B1212" s="291">
        <v>0</v>
      </c>
    </row>
    <row r="1213" spans="1:2" ht="29">
      <c r="A1213" s="291" t="s">
        <v>1408</v>
      </c>
      <c r="B1213" s="291">
        <v>0</v>
      </c>
    </row>
    <row r="1214" spans="1:2" ht="29">
      <c r="A1214" s="291" t="s">
        <v>1409</v>
      </c>
      <c r="B1214" s="291">
        <v>0</v>
      </c>
    </row>
    <row r="1215" spans="1:2" ht="29">
      <c r="A1215" s="291" t="s">
        <v>1410</v>
      </c>
      <c r="B1215" s="291">
        <v>0</v>
      </c>
    </row>
    <row r="1216" spans="1:2" ht="29">
      <c r="A1216" s="291" t="s">
        <v>1411</v>
      </c>
      <c r="B1216" s="291">
        <v>0</v>
      </c>
    </row>
    <row r="1217" spans="1:2" ht="29">
      <c r="A1217" s="291" t="s">
        <v>1412</v>
      </c>
      <c r="B1217" s="291">
        <v>0</v>
      </c>
    </row>
    <row r="1218" spans="1:2" ht="29">
      <c r="A1218" s="291" t="s">
        <v>1413</v>
      </c>
      <c r="B1218" s="291">
        <v>0</v>
      </c>
    </row>
    <row r="1219" spans="1:2" ht="29">
      <c r="A1219" s="291" t="s">
        <v>1414</v>
      </c>
      <c r="B1219" s="291">
        <v>0</v>
      </c>
    </row>
    <row r="1220" spans="1:2" ht="29">
      <c r="A1220" s="291" t="s">
        <v>1415</v>
      </c>
      <c r="B1220" s="291">
        <v>0</v>
      </c>
    </row>
    <row r="1221" spans="1:2" ht="29">
      <c r="A1221" s="291" t="s">
        <v>1416</v>
      </c>
      <c r="B1221" s="291">
        <v>0</v>
      </c>
    </row>
    <row r="1222" spans="1:2" ht="29">
      <c r="A1222" s="291" t="s">
        <v>1417</v>
      </c>
      <c r="B1222" s="291">
        <v>0</v>
      </c>
    </row>
    <row r="1223" spans="1:2" ht="29">
      <c r="A1223" s="291" t="s">
        <v>1418</v>
      </c>
      <c r="B1223" s="291">
        <v>0</v>
      </c>
    </row>
    <row r="1224" spans="1:2" ht="29">
      <c r="A1224" s="291" t="s">
        <v>1419</v>
      </c>
      <c r="B1224" s="291">
        <v>0</v>
      </c>
    </row>
    <row r="1225" spans="1:2" ht="29">
      <c r="A1225" s="291" t="s">
        <v>1420</v>
      </c>
      <c r="B1225" s="291">
        <v>0</v>
      </c>
    </row>
    <row r="1226" spans="1:2" ht="29">
      <c r="A1226" s="291" t="s">
        <v>1421</v>
      </c>
      <c r="B1226" s="291">
        <v>0</v>
      </c>
    </row>
    <row r="1227" spans="1:2" ht="29">
      <c r="A1227" s="291" t="s">
        <v>1422</v>
      </c>
      <c r="B1227" s="291">
        <v>0</v>
      </c>
    </row>
    <row r="1228" spans="1:2" ht="29">
      <c r="A1228" s="291" t="s">
        <v>1423</v>
      </c>
      <c r="B1228" s="291">
        <v>0</v>
      </c>
    </row>
    <row r="1229" spans="1:2" ht="29">
      <c r="A1229" s="291" t="s">
        <v>1424</v>
      </c>
      <c r="B1229" s="291">
        <v>0</v>
      </c>
    </row>
    <row r="1230" spans="1:2" ht="29">
      <c r="A1230" s="291" t="s">
        <v>1425</v>
      </c>
      <c r="B1230" s="291">
        <v>0</v>
      </c>
    </row>
    <row r="1231" spans="1:2" ht="29">
      <c r="A1231" s="291" t="s">
        <v>1426</v>
      </c>
      <c r="B1231" s="291">
        <v>0</v>
      </c>
    </row>
    <row r="1232" spans="1:2" ht="29">
      <c r="A1232" s="291" t="s">
        <v>1427</v>
      </c>
      <c r="B1232" s="291">
        <v>0</v>
      </c>
    </row>
    <row r="1233" spans="1:2" ht="29">
      <c r="A1233" s="291" t="s">
        <v>1428</v>
      </c>
      <c r="B1233" s="291">
        <v>0</v>
      </c>
    </row>
    <row r="1234" spans="1:2" ht="29">
      <c r="A1234" s="291" t="s">
        <v>1429</v>
      </c>
      <c r="B1234" s="291">
        <v>0</v>
      </c>
    </row>
    <row r="1235" spans="1:2" ht="29">
      <c r="A1235" s="291" t="s">
        <v>1430</v>
      </c>
      <c r="B1235" s="291">
        <v>0</v>
      </c>
    </row>
    <row r="1236" spans="1:2" ht="29">
      <c r="A1236" s="291" t="s">
        <v>1431</v>
      </c>
      <c r="B1236" s="291">
        <v>0</v>
      </c>
    </row>
    <row r="1237" spans="1:2" ht="29">
      <c r="A1237" s="291" t="s">
        <v>1432</v>
      </c>
      <c r="B1237" s="291">
        <v>0</v>
      </c>
    </row>
    <row r="1238" spans="1:2" ht="29">
      <c r="A1238" s="291" t="s">
        <v>1433</v>
      </c>
      <c r="B1238" s="291">
        <v>0</v>
      </c>
    </row>
    <row r="1239" spans="1:2" ht="29">
      <c r="A1239" s="291" t="s">
        <v>1434</v>
      </c>
      <c r="B1239" s="291">
        <v>95</v>
      </c>
    </row>
    <row r="1240" spans="1:2" ht="29">
      <c r="A1240" s="291" t="s">
        <v>1435</v>
      </c>
      <c r="B1240" s="291">
        <v>0</v>
      </c>
    </row>
    <row r="1241" spans="1:2" ht="29">
      <c r="A1241" s="291" t="s">
        <v>1436</v>
      </c>
      <c r="B1241" s="291">
        <v>33</v>
      </c>
    </row>
    <row r="1242" spans="1:2" ht="29">
      <c r="A1242" s="291" t="s">
        <v>1437</v>
      </c>
      <c r="B1242" s="291">
        <v>0</v>
      </c>
    </row>
    <row r="1243" spans="1:2" ht="29">
      <c r="A1243" s="291" t="s">
        <v>1438</v>
      </c>
      <c r="B1243" s="291">
        <v>0</v>
      </c>
    </row>
    <row r="1244" spans="1:2" ht="29">
      <c r="A1244" s="291" t="s">
        <v>1439</v>
      </c>
      <c r="B1244" s="291">
        <v>0</v>
      </c>
    </row>
    <row r="1245" spans="1:2" ht="29">
      <c r="A1245" s="291" t="s">
        <v>1440</v>
      </c>
      <c r="B1245" s="291">
        <v>0</v>
      </c>
    </row>
    <row r="1246" spans="1:2" ht="29">
      <c r="A1246" s="291" t="s">
        <v>1441</v>
      </c>
      <c r="B1246" s="291">
        <v>0</v>
      </c>
    </row>
    <row r="1247" spans="1:2" ht="29">
      <c r="A1247" s="291" t="s">
        <v>1442</v>
      </c>
      <c r="B1247" s="291">
        <v>0</v>
      </c>
    </row>
    <row r="1248" spans="1:2" ht="29">
      <c r="A1248" s="291" t="s">
        <v>1443</v>
      </c>
      <c r="B1248" s="291">
        <v>0</v>
      </c>
    </row>
    <row r="1249" spans="1:2" ht="29">
      <c r="A1249" s="291" t="s">
        <v>1444</v>
      </c>
      <c r="B1249" s="291">
        <v>0</v>
      </c>
    </row>
    <row r="1250" spans="1:2" ht="29">
      <c r="A1250" s="291" t="s">
        <v>1445</v>
      </c>
      <c r="B1250" s="291">
        <v>0</v>
      </c>
    </row>
    <row r="1251" spans="1:2" ht="29">
      <c r="A1251" s="291" t="s">
        <v>1446</v>
      </c>
      <c r="B1251" s="291">
        <v>0</v>
      </c>
    </row>
    <row r="1252" spans="1:2" ht="29">
      <c r="A1252" s="291" t="s">
        <v>1447</v>
      </c>
      <c r="B1252" s="291">
        <v>0</v>
      </c>
    </row>
    <row r="1253" spans="1:2" ht="29">
      <c r="A1253" s="291" t="s">
        <v>1448</v>
      </c>
      <c r="B1253" s="291">
        <v>0</v>
      </c>
    </row>
    <row r="1254" spans="1:2" ht="29">
      <c r="A1254" s="291" t="s">
        <v>1449</v>
      </c>
      <c r="B1254" s="291">
        <v>0</v>
      </c>
    </row>
    <row r="1255" spans="1:2" ht="29">
      <c r="A1255" s="291" t="s">
        <v>1450</v>
      </c>
      <c r="B1255" s="291">
        <v>0</v>
      </c>
    </row>
    <row r="1256" spans="1:2" ht="29">
      <c r="A1256" s="291" t="s">
        <v>1451</v>
      </c>
      <c r="B1256" s="291">
        <v>0</v>
      </c>
    </row>
    <row r="1257" spans="1:2" ht="29">
      <c r="A1257" s="291" t="s">
        <v>1452</v>
      </c>
      <c r="B1257" s="291">
        <v>0</v>
      </c>
    </row>
    <row r="1258" spans="1:2" ht="29">
      <c r="A1258" s="291" t="s">
        <v>1453</v>
      </c>
      <c r="B1258" s="291">
        <v>0</v>
      </c>
    </row>
    <row r="1259" spans="1:2" ht="29">
      <c r="A1259" s="291" t="s">
        <v>1454</v>
      </c>
      <c r="B1259" s="291">
        <v>0</v>
      </c>
    </row>
    <row r="1260" spans="1:2" ht="29">
      <c r="A1260" s="291" t="s">
        <v>1455</v>
      </c>
      <c r="B1260" s="291">
        <v>0</v>
      </c>
    </row>
    <row r="1261" spans="1:2" ht="29">
      <c r="A1261" s="291" t="s">
        <v>1456</v>
      </c>
      <c r="B1261" s="291">
        <v>0</v>
      </c>
    </row>
    <row r="1262" spans="1:2" ht="29">
      <c r="A1262" s="291" t="s">
        <v>1457</v>
      </c>
      <c r="B1262" s="291">
        <v>0</v>
      </c>
    </row>
    <row r="1263" spans="1:2" ht="29">
      <c r="A1263" s="291" t="s">
        <v>1458</v>
      </c>
      <c r="B1263" s="291">
        <v>0</v>
      </c>
    </row>
    <row r="1264" spans="1:2" ht="29">
      <c r="A1264" s="291" t="s">
        <v>1459</v>
      </c>
      <c r="B1264" s="291">
        <v>0</v>
      </c>
    </row>
    <row r="1265" spans="1:2" ht="29">
      <c r="A1265" s="291" t="s">
        <v>1460</v>
      </c>
      <c r="B1265" s="291">
        <v>0</v>
      </c>
    </row>
    <row r="1266" spans="1:2" ht="29">
      <c r="A1266" s="291" t="s">
        <v>1461</v>
      </c>
      <c r="B1266" s="291">
        <v>310</v>
      </c>
    </row>
    <row r="1267" spans="1:2" ht="29">
      <c r="A1267" s="291" t="s">
        <v>1462</v>
      </c>
      <c r="B1267" s="291">
        <v>0</v>
      </c>
    </row>
    <row r="1268" spans="1:2" ht="29">
      <c r="A1268" s="291" t="s">
        <v>1463</v>
      </c>
      <c r="B1268" s="291">
        <v>0</v>
      </c>
    </row>
    <row r="1269" spans="1:2" ht="29">
      <c r="A1269" s="291" t="s">
        <v>1464</v>
      </c>
      <c r="B1269" s="291">
        <v>0</v>
      </c>
    </row>
    <row r="1270" spans="1:2" ht="29">
      <c r="A1270" s="291" t="s">
        <v>1465</v>
      </c>
      <c r="B1270" s="291">
        <v>0</v>
      </c>
    </row>
    <row r="1271" spans="1:2" ht="29">
      <c r="A1271" s="291" t="s">
        <v>1466</v>
      </c>
      <c r="B1271" s="291">
        <v>0</v>
      </c>
    </row>
    <row r="1272" spans="1:2" ht="29">
      <c r="A1272" s="291" t="s">
        <v>1467</v>
      </c>
      <c r="B1272" s="291">
        <v>0</v>
      </c>
    </row>
    <row r="1273" spans="1:2" ht="29">
      <c r="A1273" s="291" t="s">
        <v>1468</v>
      </c>
      <c r="B1273" s="291">
        <v>0</v>
      </c>
    </row>
    <row r="1274" spans="1:2" ht="29">
      <c r="A1274" s="291" t="s">
        <v>1469</v>
      </c>
      <c r="B1274" s="291">
        <v>0</v>
      </c>
    </row>
    <row r="1275" spans="1:2" ht="29">
      <c r="A1275" s="291" t="s">
        <v>1470</v>
      </c>
      <c r="B1275" s="291">
        <v>0</v>
      </c>
    </row>
    <row r="1276" spans="1:2" ht="29">
      <c r="A1276" s="291" t="s">
        <v>1471</v>
      </c>
      <c r="B1276" s="291">
        <v>0</v>
      </c>
    </row>
    <row r="1277" spans="1:2" ht="29">
      <c r="A1277" s="291" t="s">
        <v>1472</v>
      </c>
      <c r="B1277" s="291">
        <v>0</v>
      </c>
    </row>
    <row r="1278" spans="1:2" ht="29">
      <c r="A1278" s="291" t="s">
        <v>1473</v>
      </c>
      <c r="B1278" s="291">
        <v>0</v>
      </c>
    </row>
    <row r="1279" spans="1:2" ht="29">
      <c r="A1279" s="291" t="s">
        <v>1474</v>
      </c>
      <c r="B1279" s="291">
        <v>0</v>
      </c>
    </row>
    <row r="1280" spans="1:2" ht="29">
      <c r="A1280" s="291" t="s">
        <v>1475</v>
      </c>
      <c r="B1280" s="291">
        <v>0</v>
      </c>
    </row>
    <row r="1281" spans="1:2" ht="29">
      <c r="A1281" s="291" t="s">
        <v>1476</v>
      </c>
      <c r="B1281" s="291">
        <v>0</v>
      </c>
    </row>
    <row r="1282" spans="1:2" ht="29">
      <c r="A1282" s="291" t="s">
        <v>1477</v>
      </c>
      <c r="B1282" s="291">
        <v>0</v>
      </c>
    </row>
    <row r="1283" spans="1:2" ht="29">
      <c r="A1283" s="291" t="s">
        <v>1478</v>
      </c>
      <c r="B1283" s="291">
        <v>0</v>
      </c>
    </row>
    <row r="1284" spans="1:2" ht="29">
      <c r="A1284" s="291" t="s">
        <v>1479</v>
      </c>
      <c r="B1284" s="291">
        <v>0</v>
      </c>
    </row>
    <row r="1285" spans="1:2" ht="29">
      <c r="A1285" s="291" t="s">
        <v>1480</v>
      </c>
      <c r="B1285" s="291">
        <v>0</v>
      </c>
    </row>
    <row r="1286" spans="1:2" ht="29">
      <c r="A1286" s="291" t="s">
        <v>1481</v>
      </c>
      <c r="B1286" s="291">
        <v>0</v>
      </c>
    </row>
    <row r="1287" spans="1:2" ht="29">
      <c r="A1287" s="291" t="s">
        <v>1482</v>
      </c>
      <c r="B1287" s="291">
        <v>0</v>
      </c>
    </row>
    <row r="1288" spans="1:2" ht="29">
      <c r="A1288" s="291" t="s">
        <v>1483</v>
      </c>
      <c r="B1288" s="291">
        <v>0</v>
      </c>
    </row>
    <row r="1289" spans="1:2" ht="29">
      <c r="A1289" s="291" t="s">
        <v>1484</v>
      </c>
      <c r="B1289" s="291">
        <v>0</v>
      </c>
    </row>
    <row r="1290" spans="1:2" ht="29">
      <c r="A1290" s="291" t="s">
        <v>1485</v>
      </c>
      <c r="B1290" s="291">
        <v>0</v>
      </c>
    </row>
    <row r="1291" spans="1:2" ht="29">
      <c r="A1291" s="291" t="s">
        <v>1486</v>
      </c>
      <c r="B1291" s="291">
        <v>0</v>
      </c>
    </row>
    <row r="1292" spans="1:2" ht="29">
      <c r="A1292" s="291" t="s">
        <v>1487</v>
      </c>
      <c r="B1292" s="291">
        <v>0</v>
      </c>
    </row>
    <row r="1293" spans="1:2" ht="29">
      <c r="A1293" s="291" t="s">
        <v>1488</v>
      </c>
      <c r="B1293" s="291">
        <v>0</v>
      </c>
    </row>
    <row r="1294" spans="1:2" ht="29">
      <c r="A1294" s="291" t="s">
        <v>1489</v>
      </c>
      <c r="B1294" s="291">
        <v>0</v>
      </c>
    </row>
    <row r="1295" spans="1:2" ht="29">
      <c r="A1295" s="291" t="s">
        <v>1490</v>
      </c>
      <c r="B1295" s="291">
        <v>0</v>
      </c>
    </row>
    <row r="1296" spans="1:2" ht="29">
      <c r="A1296" s="291" t="s">
        <v>1491</v>
      </c>
      <c r="B1296" s="291">
        <v>0</v>
      </c>
    </row>
    <row r="1297" spans="1:2" ht="29">
      <c r="A1297" s="291" t="s">
        <v>1492</v>
      </c>
      <c r="B1297" s="291">
        <v>0</v>
      </c>
    </row>
    <row r="1298" spans="1:2" ht="29">
      <c r="A1298" s="291" t="s">
        <v>1493</v>
      </c>
      <c r="B1298" s="291">
        <v>0</v>
      </c>
    </row>
    <row r="1299" spans="1:2" ht="29">
      <c r="A1299" s="291" t="s">
        <v>1494</v>
      </c>
      <c r="B1299" s="291">
        <v>0</v>
      </c>
    </row>
    <row r="1300" spans="1:2" ht="29">
      <c r="A1300" s="291" t="s">
        <v>1495</v>
      </c>
      <c r="B1300" s="291">
        <v>0</v>
      </c>
    </row>
    <row r="1301" spans="1:2" ht="29">
      <c r="A1301" s="291" t="s">
        <v>1496</v>
      </c>
      <c r="B1301" s="291">
        <v>0</v>
      </c>
    </row>
    <row r="1302" spans="1:2" ht="29">
      <c r="A1302" s="291" t="s">
        <v>1497</v>
      </c>
      <c r="B1302" s="291">
        <v>0</v>
      </c>
    </row>
    <row r="1303" spans="1:2" ht="29">
      <c r="A1303" s="291" t="s">
        <v>1498</v>
      </c>
      <c r="B1303" s="291">
        <v>0</v>
      </c>
    </row>
    <row r="1304" spans="1:2" ht="29">
      <c r="A1304" s="291" t="s">
        <v>1499</v>
      </c>
      <c r="B1304" s="291">
        <v>0</v>
      </c>
    </row>
    <row r="1305" spans="1:2" ht="29">
      <c r="A1305" s="291" t="s">
        <v>1500</v>
      </c>
      <c r="B1305" s="291">
        <v>0</v>
      </c>
    </row>
    <row r="1306" spans="1:2" ht="29">
      <c r="A1306" s="291" t="s">
        <v>1501</v>
      </c>
      <c r="B1306" s="291">
        <v>0</v>
      </c>
    </row>
    <row r="1307" spans="1:2" ht="29">
      <c r="A1307" s="291" t="s">
        <v>1502</v>
      </c>
      <c r="B1307" s="291">
        <v>0</v>
      </c>
    </row>
    <row r="1308" spans="1:2" ht="29">
      <c r="A1308" s="291" t="s">
        <v>1503</v>
      </c>
      <c r="B1308" s="291">
        <v>0</v>
      </c>
    </row>
    <row r="1309" spans="1:2" ht="29">
      <c r="A1309" s="291" t="s">
        <v>1504</v>
      </c>
      <c r="B1309" s="291">
        <v>0</v>
      </c>
    </row>
    <row r="1310" spans="1:2" ht="29">
      <c r="A1310" s="291" t="s">
        <v>1505</v>
      </c>
      <c r="B1310" s="291">
        <v>0</v>
      </c>
    </row>
    <row r="1311" spans="1:2" ht="29">
      <c r="A1311" s="291" t="s">
        <v>1506</v>
      </c>
      <c r="B1311" s="291">
        <v>0</v>
      </c>
    </row>
    <row r="1312" spans="1:2" ht="29">
      <c r="A1312" s="291" t="s">
        <v>1507</v>
      </c>
      <c r="B1312" s="291">
        <v>0</v>
      </c>
    </row>
    <row r="1313" spans="1:2" ht="29">
      <c r="A1313" s="291" t="s">
        <v>1508</v>
      </c>
      <c r="B1313" s="291">
        <v>0</v>
      </c>
    </row>
    <row r="1314" spans="1:2" ht="29">
      <c r="A1314" s="291" t="s">
        <v>1509</v>
      </c>
      <c r="B1314" s="291">
        <v>0</v>
      </c>
    </row>
    <row r="1315" spans="1:2" ht="29">
      <c r="A1315" s="291" t="s">
        <v>1510</v>
      </c>
      <c r="B1315" s="291">
        <v>0</v>
      </c>
    </row>
    <row r="1316" spans="1:2" ht="29">
      <c r="A1316" s="291" t="s">
        <v>1511</v>
      </c>
      <c r="B1316" s="291">
        <v>0</v>
      </c>
    </row>
    <row r="1317" spans="1:2" ht="29">
      <c r="A1317" s="291" t="s">
        <v>1512</v>
      </c>
      <c r="B1317" s="291">
        <v>0</v>
      </c>
    </row>
    <row r="1318" spans="1:2" ht="29">
      <c r="A1318" s="291" t="s">
        <v>1513</v>
      </c>
      <c r="B1318" s="291">
        <v>0</v>
      </c>
    </row>
    <row r="1319" spans="1:2" ht="29">
      <c r="A1319" s="291" t="s">
        <v>1514</v>
      </c>
      <c r="B1319" s="291">
        <v>0</v>
      </c>
    </row>
    <row r="1320" spans="1:2" ht="29">
      <c r="A1320" s="291" t="s">
        <v>1515</v>
      </c>
      <c r="B1320" s="291">
        <v>0</v>
      </c>
    </row>
    <row r="1321" spans="1:2" ht="29">
      <c r="A1321" s="291" t="s">
        <v>1516</v>
      </c>
      <c r="B1321" s="291">
        <v>0</v>
      </c>
    </row>
    <row r="1322" spans="1:2" ht="29">
      <c r="A1322" s="291" t="s">
        <v>1517</v>
      </c>
      <c r="B1322" s="291">
        <v>0</v>
      </c>
    </row>
    <row r="1323" spans="1:2" ht="29">
      <c r="A1323" s="291" t="s">
        <v>1518</v>
      </c>
      <c r="B1323" s="291">
        <v>0</v>
      </c>
    </row>
    <row r="1324" spans="1:2" ht="29">
      <c r="A1324" s="291" t="s">
        <v>1519</v>
      </c>
      <c r="B1324" s="291">
        <v>0</v>
      </c>
    </row>
    <row r="1325" spans="1:2" ht="29">
      <c r="A1325" s="291" t="s">
        <v>1520</v>
      </c>
      <c r="B1325" s="291">
        <v>0</v>
      </c>
    </row>
    <row r="1326" spans="1:2" ht="29">
      <c r="A1326" s="291" t="s">
        <v>1521</v>
      </c>
      <c r="B1326" s="291">
        <v>0</v>
      </c>
    </row>
    <row r="1327" spans="1:2" ht="29">
      <c r="A1327" s="291" t="s">
        <v>1522</v>
      </c>
      <c r="B1327" s="291">
        <v>0</v>
      </c>
    </row>
    <row r="1328" spans="1:2" ht="29">
      <c r="A1328" s="291" t="s">
        <v>1523</v>
      </c>
      <c r="B1328" s="291">
        <v>0</v>
      </c>
    </row>
    <row r="1329" spans="1:2" ht="29">
      <c r="A1329" s="291" t="s">
        <v>1524</v>
      </c>
      <c r="B1329" s="291">
        <v>0</v>
      </c>
    </row>
    <row r="1330" spans="1:2" ht="29">
      <c r="A1330" s="291" t="s">
        <v>1525</v>
      </c>
      <c r="B1330" s="291">
        <v>0</v>
      </c>
    </row>
    <row r="1331" spans="1:2" ht="29">
      <c r="A1331" s="291" t="s">
        <v>1526</v>
      </c>
      <c r="B1331" s="291">
        <v>0</v>
      </c>
    </row>
    <row r="1332" spans="1:2" ht="29">
      <c r="A1332" s="291" t="s">
        <v>1527</v>
      </c>
      <c r="B1332" s="291">
        <v>0</v>
      </c>
    </row>
    <row r="1333" spans="1:2" ht="29">
      <c r="A1333" s="291" t="s">
        <v>1528</v>
      </c>
      <c r="B1333" s="291">
        <v>0</v>
      </c>
    </row>
    <row r="1334" spans="1:2" ht="29">
      <c r="A1334" s="291" t="s">
        <v>1529</v>
      </c>
      <c r="B1334" s="291">
        <v>0</v>
      </c>
    </row>
    <row r="1335" spans="1:2" ht="29">
      <c r="A1335" s="291" t="s">
        <v>1530</v>
      </c>
      <c r="B1335" s="291">
        <v>0</v>
      </c>
    </row>
    <row r="1336" spans="1:2" ht="29">
      <c r="A1336" s="291" t="s">
        <v>1531</v>
      </c>
      <c r="B1336" s="291">
        <v>0</v>
      </c>
    </row>
    <row r="1337" spans="1:2" ht="29">
      <c r="A1337" s="291" t="s">
        <v>1532</v>
      </c>
      <c r="B1337" s="291">
        <v>0</v>
      </c>
    </row>
    <row r="1338" spans="1:2" ht="29">
      <c r="A1338" s="291" t="s">
        <v>1533</v>
      </c>
      <c r="B1338" s="291">
        <v>0</v>
      </c>
    </row>
    <row r="1339" spans="1:2" ht="29">
      <c r="A1339" s="291" t="s">
        <v>1534</v>
      </c>
      <c r="B1339" s="291">
        <v>0</v>
      </c>
    </row>
    <row r="1340" spans="1:2" ht="29">
      <c r="A1340" s="291" t="s">
        <v>1535</v>
      </c>
      <c r="B1340" s="291">
        <v>0</v>
      </c>
    </row>
    <row r="1341" spans="1:2" ht="29">
      <c r="A1341" s="291" t="s">
        <v>1536</v>
      </c>
      <c r="B1341" s="291">
        <v>0</v>
      </c>
    </row>
    <row r="1342" spans="1:2" ht="29">
      <c r="A1342" s="291" t="s">
        <v>1537</v>
      </c>
      <c r="B1342" s="291">
        <v>0</v>
      </c>
    </row>
    <row r="1343" spans="1:2" ht="29">
      <c r="A1343" s="291" t="s">
        <v>1538</v>
      </c>
      <c r="B1343" s="291">
        <v>0</v>
      </c>
    </row>
    <row r="1344" spans="1:2" ht="29">
      <c r="A1344" s="291" t="s">
        <v>1539</v>
      </c>
      <c r="B1344" s="291">
        <v>0</v>
      </c>
    </row>
    <row r="1345" spans="1:2" ht="29">
      <c r="A1345" s="291" t="s">
        <v>1540</v>
      </c>
      <c r="B1345" s="291">
        <v>0</v>
      </c>
    </row>
    <row r="1346" spans="1:2" ht="29">
      <c r="A1346" s="291" t="s">
        <v>1541</v>
      </c>
      <c r="B1346" s="291">
        <v>0</v>
      </c>
    </row>
    <row r="1347" spans="1:2" ht="29">
      <c r="A1347" s="291" t="s">
        <v>1542</v>
      </c>
      <c r="B1347" s="291">
        <v>0</v>
      </c>
    </row>
    <row r="1348" spans="1:2" ht="29">
      <c r="A1348" s="291" t="s">
        <v>1543</v>
      </c>
      <c r="B1348" s="291">
        <v>0</v>
      </c>
    </row>
    <row r="1349" spans="1:2" ht="29">
      <c r="A1349" s="291" t="s">
        <v>1544</v>
      </c>
      <c r="B1349" s="291">
        <v>0</v>
      </c>
    </row>
    <row r="1350" spans="1:2" ht="29">
      <c r="A1350" s="291" t="s">
        <v>1545</v>
      </c>
      <c r="B1350" s="291">
        <v>0</v>
      </c>
    </row>
    <row r="1351" spans="1:2" ht="29">
      <c r="A1351" s="291" t="s">
        <v>1546</v>
      </c>
      <c r="B1351" s="291">
        <v>0</v>
      </c>
    </row>
    <row r="1352" spans="1:2" ht="29">
      <c r="A1352" s="291" t="s">
        <v>1547</v>
      </c>
      <c r="B1352" s="291">
        <v>0</v>
      </c>
    </row>
    <row r="1353" spans="1:2" ht="29">
      <c r="A1353" s="291" t="s">
        <v>1548</v>
      </c>
      <c r="B1353" s="291">
        <v>0</v>
      </c>
    </row>
    <row r="1354" spans="1:2" ht="29">
      <c r="A1354" s="291" t="s">
        <v>1549</v>
      </c>
      <c r="B1354" s="291">
        <v>0</v>
      </c>
    </row>
    <row r="1355" spans="1:2" ht="29">
      <c r="A1355" s="291" t="s">
        <v>1550</v>
      </c>
      <c r="B1355" s="291">
        <v>0</v>
      </c>
    </row>
    <row r="1356" spans="1:2" ht="29">
      <c r="A1356" s="291" t="s">
        <v>1551</v>
      </c>
      <c r="B1356" s="291">
        <v>0</v>
      </c>
    </row>
    <row r="1357" spans="1:2" ht="29">
      <c r="A1357" s="291" t="s">
        <v>1552</v>
      </c>
      <c r="B1357" s="291">
        <v>0</v>
      </c>
    </row>
    <row r="1358" spans="1:2" ht="29">
      <c r="A1358" s="291" t="s">
        <v>1553</v>
      </c>
      <c r="B1358" s="291">
        <v>0</v>
      </c>
    </row>
    <row r="1359" spans="1:2" ht="29">
      <c r="A1359" s="291" t="s">
        <v>1554</v>
      </c>
      <c r="B1359" s="291">
        <v>0</v>
      </c>
    </row>
    <row r="1360" spans="1:2" ht="29">
      <c r="A1360" s="291" t="s">
        <v>1555</v>
      </c>
      <c r="B1360" s="291">
        <v>0</v>
      </c>
    </row>
    <row r="1361" spans="1:2" ht="29">
      <c r="A1361" s="291" t="s">
        <v>1556</v>
      </c>
      <c r="B1361" s="291">
        <v>0</v>
      </c>
    </row>
    <row r="1362" spans="1:2" ht="29">
      <c r="A1362" s="291" t="s">
        <v>1557</v>
      </c>
      <c r="B1362" s="291">
        <v>0</v>
      </c>
    </row>
    <row r="1363" spans="1:2" ht="29">
      <c r="A1363" s="291" t="s">
        <v>1558</v>
      </c>
      <c r="B1363" s="291">
        <v>0</v>
      </c>
    </row>
    <row r="1364" spans="1:2" ht="29">
      <c r="A1364" s="291" t="s">
        <v>1559</v>
      </c>
      <c r="B1364" s="291">
        <v>0</v>
      </c>
    </row>
    <row r="1365" spans="1:2" ht="29">
      <c r="A1365" s="291" t="s">
        <v>1560</v>
      </c>
      <c r="B1365" s="291">
        <v>0</v>
      </c>
    </row>
    <row r="1366" spans="1:2" ht="29">
      <c r="A1366" s="291" t="s">
        <v>1561</v>
      </c>
      <c r="B1366" s="291">
        <v>0</v>
      </c>
    </row>
    <row r="1367" spans="1:2" ht="29">
      <c r="A1367" s="291" t="s">
        <v>1562</v>
      </c>
      <c r="B1367" s="291">
        <v>0</v>
      </c>
    </row>
    <row r="1368" spans="1:2" ht="29">
      <c r="A1368" s="291" t="s">
        <v>1563</v>
      </c>
      <c r="B1368" s="291">
        <v>0</v>
      </c>
    </row>
    <row r="1369" spans="1:2" ht="29">
      <c r="A1369" s="291" t="s">
        <v>1564</v>
      </c>
      <c r="B1369" s="291">
        <v>0</v>
      </c>
    </row>
    <row r="1370" spans="1:2" ht="29">
      <c r="A1370" s="291" t="s">
        <v>1565</v>
      </c>
      <c r="B1370" s="291">
        <v>0</v>
      </c>
    </row>
    <row r="1371" spans="1:2" ht="29">
      <c r="A1371" s="291" t="s">
        <v>1566</v>
      </c>
      <c r="B1371" s="291">
        <v>0</v>
      </c>
    </row>
    <row r="1372" spans="1:2" ht="29">
      <c r="A1372" s="291" t="s">
        <v>1567</v>
      </c>
      <c r="B1372" s="291">
        <v>0</v>
      </c>
    </row>
    <row r="1373" spans="1:2" ht="29">
      <c r="A1373" s="291" t="s">
        <v>1568</v>
      </c>
      <c r="B1373" s="291">
        <v>0</v>
      </c>
    </row>
    <row r="1374" spans="1:2" ht="29">
      <c r="A1374" s="291" t="s">
        <v>1569</v>
      </c>
      <c r="B1374" s="291">
        <v>300</v>
      </c>
    </row>
    <row r="1375" spans="1:2" ht="29">
      <c r="A1375" s="291" t="s">
        <v>1570</v>
      </c>
      <c r="B1375" s="291">
        <v>0</v>
      </c>
    </row>
    <row r="1376" spans="1:2" ht="29">
      <c r="A1376" s="291" t="s">
        <v>1571</v>
      </c>
      <c r="B1376" s="291">
        <v>0</v>
      </c>
    </row>
    <row r="1377" spans="1:2" ht="29">
      <c r="A1377" s="291" t="s">
        <v>1572</v>
      </c>
      <c r="B1377" s="291">
        <v>0</v>
      </c>
    </row>
    <row r="1378" spans="1:2" ht="29">
      <c r="A1378" s="291" t="s">
        <v>1573</v>
      </c>
      <c r="B1378" s="291">
        <v>0</v>
      </c>
    </row>
    <row r="1379" spans="1:2" ht="29">
      <c r="A1379" s="291" t="s">
        <v>1574</v>
      </c>
      <c r="B1379" s="291">
        <v>0</v>
      </c>
    </row>
    <row r="1380" spans="1:2" ht="29">
      <c r="A1380" s="291" t="s">
        <v>1575</v>
      </c>
      <c r="B1380" s="291">
        <v>0</v>
      </c>
    </row>
    <row r="1381" spans="1:2" ht="29">
      <c r="A1381" s="291" t="s">
        <v>1576</v>
      </c>
      <c r="B1381" s="291">
        <v>0</v>
      </c>
    </row>
    <row r="1382" spans="1:2" ht="29">
      <c r="A1382" s="291" t="s">
        <v>1577</v>
      </c>
      <c r="B1382" s="291">
        <v>0</v>
      </c>
    </row>
    <row r="1383" spans="1:2" ht="29">
      <c r="A1383" s="291" t="s">
        <v>1578</v>
      </c>
      <c r="B1383" s="291">
        <v>0</v>
      </c>
    </row>
    <row r="1384" spans="1:2" ht="29">
      <c r="A1384" s="291" t="s">
        <v>1579</v>
      </c>
      <c r="B1384" s="291">
        <v>0</v>
      </c>
    </row>
    <row r="1385" spans="1:2" ht="29">
      <c r="A1385" s="291" t="s">
        <v>1580</v>
      </c>
      <c r="B1385" s="291">
        <v>0</v>
      </c>
    </row>
    <row r="1386" spans="1:2" ht="29">
      <c r="A1386" s="291" t="s">
        <v>1581</v>
      </c>
      <c r="B1386" s="291">
        <v>0</v>
      </c>
    </row>
    <row r="1387" spans="1:2" ht="29">
      <c r="A1387" s="291" t="s">
        <v>1582</v>
      </c>
      <c r="B1387" s="291">
        <v>0</v>
      </c>
    </row>
    <row r="1388" spans="1:2" ht="29">
      <c r="A1388" s="291" t="s">
        <v>1583</v>
      </c>
      <c r="B1388" s="291">
        <v>0</v>
      </c>
    </row>
    <row r="1389" spans="1:2" ht="29">
      <c r="A1389" s="291" t="s">
        <v>1584</v>
      </c>
      <c r="B1389" s="291">
        <v>0</v>
      </c>
    </row>
    <row r="1390" spans="1:2" ht="29">
      <c r="A1390" s="291" t="s">
        <v>1585</v>
      </c>
      <c r="B1390" s="291">
        <v>0</v>
      </c>
    </row>
    <row r="1391" spans="1:2" ht="29">
      <c r="A1391" s="291" t="s">
        <v>1586</v>
      </c>
      <c r="B1391" s="291">
        <v>0</v>
      </c>
    </row>
    <row r="1392" spans="1:2" ht="29">
      <c r="A1392" s="291" t="s">
        <v>1587</v>
      </c>
      <c r="B1392" s="291">
        <v>0</v>
      </c>
    </row>
    <row r="1393" spans="1:2" ht="29">
      <c r="A1393" s="291" t="s">
        <v>1588</v>
      </c>
      <c r="B1393" s="291">
        <v>0</v>
      </c>
    </row>
    <row r="1394" spans="1:2" ht="29">
      <c r="A1394" s="291" t="s">
        <v>1589</v>
      </c>
      <c r="B1394" s="291">
        <v>0</v>
      </c>
    </row>
    <row r="1395" spans="1:2" ht="29">
      <c r="A1395" s="291" t="s">
        <v>1590</v>
      </c>
      <c r="B1395" s="291">
        <v>0</v>
      </c>
    </row>
    <row r="1396" spans="1:2" ht="29">
      <c r="A1396" s="291" t="s">
        <v>1591</v>
      </c>
      <c r="B1396" s="291">
        <v>0</v>
      </c>
    </row>
    <row r="1397" spans="1:2" ht="29">
      <c r="A1397" s="291" t="s">
        <v>1592</v>
      </c>
      <c r="B1397" s="291">
        <v>0</v>
      </c>
    </row>
    <row r="1398" spans="1:2" ht="29">
      <c r="A1398" s="291" t="s">
        <v>1593</v>
      </c>
      <c r="B1398" s="291">
        <v>0</v>
      </c>
    </row>
    <row r="1399" spans="1:2" ht="29">
      <c r="A1399" s="291" t="s">
        <v>1594</v>
      </c>
      <c r="B1399" s="291">
        <v>0</v>
      </c>
    </row>
    <row r="1400" spans="1:2" ht="29">
      <c r="A1400" s="291" t="s">
        <v>1595</v>
      </c>
      <c r="B1400" s="291">
        <v>0</v>
      </c>
    </row>
    <row r="1401" spans="1:2" ht="29">
      <c r="A1401" s="291" t="s">
        <v>1596</v>
      </c>
      <c r="B1401" s="291">
        <v>0</v>
      </c>
    </row>
    <row r="1402" spans="1:2" ht="29">
      <c r="A1402" s="291" t="s">
        <v>1597</v>
      </c>
      <c r="B1402" s="291">
        <v>0</v>
      </c>
    </row>
    <row r="1403" spans="1:2" ht="29">
      <c r="A1403" s="291" t="s">
        <v>1598</v>
      </c>
      <c r="B1403" s="291">
        <v>0</v>
      </c>
    </row>
    <row r="1404" spans="1:2" ht="29">
      <c r="A1404" s="291" t="s">
        <v>1599</v>
      </c>
      <c r="B1404" s="291">
        <v>0</v>
      </c>
    </row>
    <row r="1405" spans="1:2" ht="29">
      <c r="A1405" s="291" t="s">
        <v>1600</v>
      </c>
      <c r="B1405" s="291">
        <v>0</v>
      </c>
    </row>
    <row r="1406" spans="1:2" ht="29">
      <c r="A1406" s="291" t="s">
        <v>1601</v>
      </c>
      <c r="B1406" s="291">
        <v>0</v>
      </c>
    </row>
    <row r="1407" spans="1:2" ht="29">
      <c r="A1407" s="291" t="s">
        <v>1602</v>
      </c>
      <c r="B1407" s="291">
        <v>0</v>
      </c>
    </row>
    <row r="1408" spans="1:2" ht="29">
      <c r="A1408" s="291" t="s">
        <v>1603</v>
      </c>
      <c r="B1408" s="291">
        <v>0</v>
      </c>
    </row>
    <row r="1409" spans="1:2" ht="29">
      <c r="A1409" s="291" t="s">
        <v>1604</v>
      </c>
      <c r="B1409" s="291">
        <v>0</v>
      </c>
    </row>
    <row r="1410" spans="1:2" ht="29">
      <c r="A1410" s="291" t="s">
        <v>1605</v>
      </c>
      <c r="B1410" s="291">
        <v>0</v>
      </c>
    </row>
    <row r="1411" spans="1:2" ht="29">
      <c r="A1411" s="291" t="s">
        <v>1606</v>
      </c>
      <c r="B1411" s="291">
        <v>0</v>
      </c>
    </row>
    <row r="1412" spans="1:2" ht="29">
      <c r="A1412" s="291" t="s">
        <v>1607</v>
      </c>
      <c r="B1412" s="291">
        <v>0</v>
      </c>
    </row>
    <row r="1413" spans="1:2" ht="29">
      <c r="A1413" s="291" t="s">
        <v>1608</v>
      </c>
      <c r="B1413" s="291">
        <v>0</v>
      </c>
    </row>
    <row r="1414" spans="1:2" ht="29">
      <c r="A1414" s="291" t="s">
        <v>1609</v>
      </c>
      <c r="B1414" s="291">
        <v>0</v>
      </c>
    </row>
    <row r="1415" spans="1:2" ht="29">
      <c r="A1415" s="291" t="s">
        <v>1610</v>
      </c>
      <c r="B1415" s="291">
        <v>0</v>
      </c>
    </row>
    <row r="1416" spans="1:2" ht="29">
      <c r="A1416" s="291" t="s">
        <v>1611</v>
      </c>
      <c r="B1416" s="291">
        <v>0</v>
      </c>
    </row>
    <row r="1417" spans="1:2" ht="29">
      <c r="A1417" s="291" t="s">
        <v>1612</v>
      </c>
      <c r="B1417" s="291">
        <v>0</v>
      </c>
    </row>
    <row r="1418" spans="1:2" ht="29">
      <c r="A1418" s="291" t="s">
        <v>1613</v>
      </c>
      <c r="B1418" s="291">
        <v>0</v>
      </c>
    </row>
    <row r="1419" spans="1:2" ht="29">
      <c r="A1419" s="291" t="s">
        <v>1614</v>
      </c>
      <c r="B1419" s="291">
        <v>0</v>
      </c>
    </row>
    <row r="1420" spans="1:2" ht="29">
      <c r="A1420" s="291" t="s">
        <v>1615</v>
      </c>
      <c r="B1420" s="291">
        <v>0</v>
      </c>
    </row>
    <row r="1421" spans="1:2" ht="29">
      <c r="A1421" s="291" t="s">
        <v>1616</v>
      </c>
      <c r="B1421" s="291">
        <v>0</v>
      </c>
    </row>
    <row r="1422" spans="1:2" ht="29">
      <c r="A1422" s="291" t="s">
        <v>1617</v>
      </c>
      <c r="B1422" s="291">
        <v>0</v>
      </c>
    </row>
    <row r="1423" spans="1:2" ht="29">
      <c r="A1423" s="291" t="s">
        <v>1618</v>
      </c>
      <c r="B1423" s="291">
        <v>0</v>
      </c>
    </row>
    <row r="1424" spans="1:2" ht="29">
      <c r="A1424" s="291" t="s">
        <v>1619</v>
      </c>
      <c r="B1424" s="291">
        <v>0</v>
      </c>
    </row>
    <row r="1425" spans="1:2" ht="29">
      <c r="A1425" s="291" t="s">
        <v>1620</v>
      </c>
      <c r="B1425" s="291">
        <v>0</v>
      </c>
    </row>
    <row r="1426" spans="1:2" ht="29">
      <c r="A1426" s="291" t="s">
        <v>1621</v>
      </c>
      <c r="B1426" s="291">
        <v>0</v>
      </c>
    </row>
    <row r="1427" spans="1:2" ht="29">
      <c r="A1427" s="291" t="s">
        <v>1622</v>
      </c>
      <c r="B1427" s="291">
        <v>0</v>
      </c>
    </row>
    <row r="1428" spans="1:2" ht="29">
      <c r="A1428" s="291" t="s">
        <v>1623</v>
      </c>
      <c r="B1428" s="291">
        <v>0</v>
      </c>
    </row>
    <row r="1429" spans="1:2" ht="29">
      <c r="A1429" s="291" t="s">
        <v>1624</v>
      </c>
      <c r="B1429" s="291">
        <v>0</v>
      </c>
    </row>
    <row r="1430" spans="1:2" ht="29">
      <c r="A1430" s="291" t="s">
        <v>1625</v>
      </c>
      <c r="B1430" s="291">
        <v>0</v>
      </c>
    </row>
    <row r="1431" spans="1:2" ht="29">
      <c r="A1431" s="291" t="s">
        <v>1626</v>
      </c>
      <c r="B1431" s="291">
        <v>0</v>
      </c>
    </row>
    <row r="1432" spans="1:2" ht="29">
      <c r="A1432" s="291" t="s">
        <v>1627</v>
      </c>
      <c r="B1432" s="291">
        <v>0</v>
      </c>
    </row>
    <row r="1433" spans="1:2" ht="29">
      <c r="A1433" s="291" t="s">
        <v>1628</v>
      </c>
      <c r="B1433" s="291">
        <v>0</v>
      </c>
    </row>
    <row r="1434" spans="1:2" ht="29">
      <c r="A1434" s="291" t="s">
        <v>1629</v>
      </c>
      <c r="B1434" s="291">
        <v>0</v>
      </c>
    </row>
    <row r="1435" spans="1:2" ht="29">
      <c r="A1435" s="291" t="s">
        <v>1630</v>
      </c>
      <c r="B1435" s="291">
        <v>0</v>
      </c>
    </row>
    <row r="1436" spans="1:2" ht="29">
      <c r="A1436" s="291" t="s">
        <v>1631</v>
      </c>
      <c r="B1436" s="291">
        <v>0</v>
      </c>
    </row>
    <row r="1437" spans="1:2" ht="29">
      <c r="A1437" s="291" t="s">
        <v>1632</v>
      </c>
      <c r="B1437" s="291">
        <v>0</v>
      </c>
    </row>
    <row r="1438" spans="1:2" ht="29">
      <c r="A1438" s="291" t="s">
        <v>1633</v>
      </c>
      <c r="B1438" s="291">
        <v>0</v>
      </c>
    </row>
    <row r="1439" spans="1:2" ht="29">
      <c r="A1439" s="291" t="s">
        <v>1634</v>
      </c>
      <c r="B1439" s="291">
        <v>0</v>
      </c>
    </row>
    <row r="1440" spans="1:2" ht="29">
      <c r="A1440" s="291" t="s">
        <v>1635</v>
      </c>
      <c r="B1440" s="291">
        <v>0</v>
      </c>
    </row>
    <row r="1441" spans="1:2" ht="29">
      <c r="A1441" s="291" t="s">
        <v>1636</v>
      </c>
      <c r="B1441" s="291">
        <v>0</v>
      </c>
    </row>
    <row r="1442" spans="1:2" ht="29">
      <c r="A1442" s="291" t="s">
        <v>1637</v>
      </c>
      <c r="B1442" s="291">
        <v>0</v>
      </c>
    </row>
    <row r="1443" spans="1:2" ht="29">
      <c r="A1443" s="291" t="s">
        <v>1638</v>
      </c>
      <c r="B1443" s="291">
        <v>0</v>
      </c>
    </row>
    <row r="1444" spans="1:2" ht="29">
      <c r="A1444" s="291" t="s">
        <v>1639</v>
      </c>
      <c r="B1444" s="291">
        <v>0</v>
      </c>
    </row>
    <row r="1445" spans="1:2" ht="29">
      <c r="A1445" s="291" t="s">
        <v>1640</v>
      </c>
      <c r="B1445" s="291">
        <v>0</v>
      </c>
    </row>
    <row r="1446" spans="1:2" ht="29">
      <c r="A1446" s="291" t="s">
        <v>1641</v>
      </c>
      <c r="B1446" s="291">
        <v>0</v>
      </c>
    </row>
    <row r="1447" spans="1:2" ht="29">
      <c r="A1447" s="291" t="s">
        <v>1642</v>
      </c>
      <c r="B1447" s="291">
        <v>0</v>
      </c>
    </row>
    <row r="1448" spans="1:2" ht="29">
      <c r="A1448" s="291" t="s">
        <v>1643</v>
      </c>
      <c r="B1448" s="291">
        <v>0</v>
      </c>
    </row>
    <row r="1449" spans="1:2" ht="29">
      <c r="A1449" s="291" t="s">
        <v>1644</v>
      </c>
      <c r="B1449" s="291">
        <v>0</v>
      </c>
    </row>
    <row r="1450" spans="1:2" ht="29">
      <c r="A1450" s="291" t="s">
        <v>1645</v>
      </c>
      <c r="B1450" s="291">
        <v>0</v>
      </c>
    </row>
    <row r="1451" spans="1:2" ht="29">
      <c r="A1451" s="291" t="s">
        <v>1646</v>
      </c>
      <c r="B1451" s="291">
        <v>0</v>
      </c>
    </row>
    <row r="1452" spans="1:2" ht="29">
      <c r="A1452" s="291" t="s">
        <v>1647</v>
      </c>
      <c r="B1452" s="291">
        <v>0</v>
      </c>
    </row>
    <row r="1453" spans="1:2" ht="29">
      <c r="A1453" s="291" t="s">
        <v>1648</v>
      </c>
      <c r="B1453" s="291">
        <v>0</v>
      </c>
    </row>
    <row r="1454" spans="1:2" ht="29">
      <c r="A1454" s="291" t="s">
        <v>1649</v>
      </c>
      <c r="B1454" s="291">
        <v>0</v>
      </c>
    </row>
    <row r="1455" spans="1:2" ht="29">
      <c r="A1455" s="291" t="s">
        <v>1650</v>
      </c>
      <c r="B1455" s="291">
        <v>0</v>
      </c>
    </row>
    <row r="1456" spans="1:2" ht="29">
      <c r="A1456" s="291" t="s">
        <v>1651</v>
      </c>
      <c r="B1456" s="291">
        <v>0</v>
      </c>
    </row>
    <row r="1457" spans="1:2" ht="29">
      <c r="A1457" s="291" t="s">
        <v>1652</v>
      </c>
      <c r="B1457" s="291">
        <v>0</v>
      </c>
    </row>
    <row r="1458" spans="1:2" ht="29">
      <c r="A1458" s="291" t="s">
        <v>1653</v>
      </c>
      <c r="B1458" s="291">
        <v>0</v>
      </c>
    </row>
    <row r="1459" spans="1:2" ht="29">
      <c r="A1459" s="291" t="s">
        <v>1654</v>
      </c>
      <c r="B1459" s="291">
        <v>0</v>
      </c>
    </row>
    <row r="1460" spans="1:2" ht="29">
      <c r="A1460" s="291" t="s">
        <v>1655</v>
      </c>
      <c r="B1460" s="291">
        <v>0</v>
      </c>
    </row>
    <row r="1461" spans="1:2" ht="29">
      <c r="A1461" s="291" t="s">
        <v>1656</v>
      </c>
      <c r="B1461" s="291">
        <v>0</v>
      </c>
    </row>
    <row r="1462" spans="1:2" ht="29">
      <c r="A1462" s="291" t="s">
        <v>1657</v>
      </c>
      <c r="B1462" s="291">
        <v>0</v>
      </c>
    </row>
    <row r="1463" spans="1:2" ht="29">
      <c r="A1463" s="291" t="s">
        <v>1658</v>
      </c>
      <c r="B1463" s="291">
        <v>0</v>
      </c>
    </row>
    <row r="1464" spans="1:2" ht="29">
      <c r="A1464" s="291" t="s">
        <v>1659</v>
      </c>
      <c r="B1464" s="291">
        <v>0</v>
      </c>
    </row>
    <row r="1465" spans="1:2" ht="29">
      <c r="A1465" s="291" t="s">
        <v>1660</v>
      </c>
      <c r="B1465" s="291">
        <v>0</v>
      </c>
    </row>
    <row r="1466" spans="1:2" ht="29">
      <c r="A1466" s="291" t="s">
        <v>1661</v>
      </c>
      <c r="B1466" s="291">
        <v>0</v>
      </c>
    </row>
    <row r="1467" spans="1:2" ht="29">
      <c r="A1467" s="291" t="s">
        <v>1662</v>
      </c>
      <c r="B1467" s="291">
        <v>0</v>
      </c>
    </row>
    <row r="1468" spans="1:2" ht="29">
      <c r="A1468" s="291" t="s">
        <v>1663</v>
      </c>
      <c r="B1468" s="291">
        <v>0</v>
      </c>
    </row>
    <row r="1469" spans="1:2" ht="29">
      <c r="A1469" s="291" t="s">
        <v>1664</v>
      </c>
      <c r="B1469" s="291">
        <v>0</v>
      </c>
    </row>
    <row r="1470" spans="1:2" ht="29">
      <c r="A1470" s="291" t="s">
        <v>1665</v>
      </c>
      <c r="B1470" s="291">
        <v>0</v>
      </c>
    </row>
    <row r="1471" spans="1:2" ht="29">
      <c r="A1471" s="291" t="s">
        <v>1666</v>
      </c>
      <c r="B1471" s="291">
        <v>0</v>
      </c>
    </row>
    <row r="1472" spans="1:2" ht="29">
      <c r="A1472" s="291" t="s">
        <v>1667</v>
      </c>
      <c r="B1472" s="291">
        <v>0</v>
      </c>
    </row>
    <row r="1473" spans="1:2" ht="29">
      <c r="A1473" s="291" t="s">
        <v>1668</v>
      </c>
      <c r="B1473" s="291">
        <v>0</v>
      </c>
    </row>
    <row r="1474" spans="1:2" ht="29">
      <c r="A1474" s="291" t="s">
        <v>1669</v>
      </c>
      <c r="B1474" s="291">
        <v>0</v>
      </c>
    </row>
    <row r="1475" spans="1:2" ht="29">
      <c r="A1475" s="291" t="s">
        <v>1670</v>
      </c>
      <c r="B1475" s="291">
        <v>0</v>
      </c>
    </row>
    <row r="1476" spans="1:2" ht="29">
      <c r="A1476" s="291" t="s">
        <v>1671</v>
      </c>
      <c r="B1476" s="291">
        <v>0</v>
      </c>
    </row>
    <row r="1477" spans="1:2" ht="29">
      <c r="A1477" s="291" t="s">
        <v>1672</v>
      </c>
      <c r="B1477" s="291">
        <v>1000</v>
      </c>
    </row>
    <row r="1478" spans="1:2" ht="29">
      <c r="A1478" s="291" t="s">
        <v>1673</v>
      </c>
      <c r="B1478" s="291">
        <v>6800</v>
      </c>
    </row>
    <row r="1479" spans="1:2" ht="29">
      <c r="A1479" s="291" t="s">
        <v>1674</v>
      </c>
      <c r="B1479" s="291">
        <v>300</v>
      </c>
    </row>
    <row r="1480" spans="1:2" ht="29">
      <c r="A1480" s="291" t="s">
        <v>1675</v>
      </c>
      <c r="B1480" s="291">
        <v>1300</v>
      </c>
    </row>
    <row r="1481" spans="1:2" ht="29">
      <c r="A1481" s="291" t="s">
        <v>1676</v>
      </c>
      <c r="B1481" s="291">
        <v>0</v>
      </c>
    </row>
    <row r="1482" spans="1:2" ht="29">
      <c r="A1482" s="291" t="s">
        <v>1677</v>
      </c>
      <c r="B1482" s="291">
        <v>400</v>
      </c>
    </row>
    <row r="1483" spans="1:2" ht="29">
      <c r="A1483" s="291" t="s">
        <v>1678</v>
      </c>
      <c r="B1483" s="291">
        <v>2900</v>
      </c>
    </row>
    <row r="1484" spans="1:2" ht="29">
      <c r="A1484" s="291" t="s">
        <v>1679</v>
      </c>
      <c r="B1484" s="291">
        <v>0</v>
      </c>
    </row>
    <row r="1485" spans="1:2" ht="29">
      <c r="A1485" s="291" t="s">
        <v>1680</v>
      </c>
      <c r="B1485" s="291">
        <v>16600</v>
      </c>
    </row>
    <row r="1486" spans="1:2" ht="29">
      <c r="A1486" s="291" t="s">
        <v>1681</v>
      </c>
      <c r="B1486" s="291">
        <v>17500</v>
      </c>
    </row>
    <row r="1487" spans="1:2" ht="29">
      <c r="A1487" s="291" t="s">
        <v>1682</v>
      </c>
      <c r="B1487" s="291">
        <v>22300</v>
      </c>
    </row>
    <row r="1488" spans="1:2" ht="29">
      <c r="A1488" s="291" t="s">
        <v>1683</v>
      </c>
      <c r="B1488" s="291">
        <v>0</v>
      </c>
    </row>
    <row r="1489" spans="1:2" ht="29">
      <c r="A1489" s="291" t="s">
        <v>1684</v>
      </c>
      <c r="B1489" s="291">
        <v>0</v>
      </c>
    </row>
    <row r="1490" spans="1:2" ht="29">
      <c r="A1490" s="291" t="s">
        <v>1685</v>
      </c>
      <c r="B1490" s="291">
        <v>0</v>
      </c>
    </row>
    <row r="1491" spans="1:2" ht="29">
      <c r="A1491" s="291" t="s">
        <v>1686</v>
      </c>
      <c r="B1491" s="291">
        <v>0</v>
      </c>
    </row>
    <row r="1492" spans="1:2" ht="29">
      <c r="A1492" s="291" t="s">
        <v>1687</v>
      </c>
      <c r="B1492" s="291">
        <v>0</v>
      </c>
    </row>
    <row r="1493" spans="1:2" ht="29">
      <c r="A1493" s="291" t="s">
        <v>1688</v>
      </c>
      <c r="B1493" s="291">
        <v>0</v>
      </c>
    </row>
    <row r="1494" spans="1:2" ht="29">
      <c r="A1494" s="291" t="s">
        <v>1689</v>
      </c>
      <c r="B1494" s="291">
        <v>0</v>
      </c>
    </row>
    <row r="1495" spans="1:2" ht="29">
      <c r="A1495" s="291" t="s">
        <v>1690</v>
      </c>
      <c r="B1495" s="291">
        <v>0</v>
      </c>
    </row>
    <row r="1496" spans="1:2" ht="29">
      <c r="A1496" s="291" t="s">
        <v>1691</v>
      </c>
      <c r="B1496" s="291">
        <v>0</v>
      </c>
    </row>
    <row r="1497" spans="1:2" ht="29">
      <c r="A1497" s="291" t="s">
        <v>1692</v>
      </c>
      <c r="B1497" s="291">
        <v>0</v>
      </c>
    </row>
    <row r="1498" spans="1:2" ht="29">
      <c r="A1498" s="291" t="s">
        <v>1693</v>
      </c>
      <c r="B1498" s="291">
        <v>0</v>
      </c>
    </row>
    <row r="1499" spans="1:2" ht="29">
      <c r="A1499" s="291" t="s">
        <v>1694</v>
      </c>
      <c r="B1499" s="291">
        <v>0</v>
      </c>
    </row>
    <row r="1500" spans="1:2" ht="29">
      <c r="A1500" s="291" t="s">
        <v>1695</v>
      </c>
      <c r="B1500" s="291">
        <v>0</v>
      </c>
    </row>
    <row r="1501" spans="1:2" ht="29">
      <c r="A1501" s="291" t="s">
        <v>1696</v>
      </c>
      <c r="B1501" s="291">
        <v>0</v>
      </c>
    </row>
    <row r="1502" spans="1:2" ht="29">
      <c r="A1502" s="291" t="s">
        <v>1697</v>
      </c>
      <c r="B1502" s="291">
        <v>0</v>
      </c>
    </row>
    <row r="1503" spans="1:2" ht="29">
      <c r="A1503" s="291" t="s">
        <v>1698</v>
      </c>
      <c r="B1503" s="291">
        <v>0</v>
      </c>
    </row>
    <row r="1504" spans="1:2" ht="29">
      <c r="A1504" s="291" t="s">
        <v>1699</v>
      </c>
      <c r="B1504" s="291">
        <v>0</v>
      </c>
    </row>
    <row r="1505" spans="1:2" ht="29">
      <c r="A1505" s="291" t="s">
        <v>1700</v>
      </c>
      <c r="B1505" s="291">
        <v>0</v>
      </c>
    </row>
    <row r="1506" spans="1:2" ht="29">
      <c r="A1506" s="291" t="s">
        <v>1701</v>
      </c>
      <c r="B1506" s="291">
        <v>0</v>
      </c>
    </row>
    <row r="1507" spans="1:2" ht="29">
      <c r="A1507" s="291" t="s">
        <v>1702</v>
      </c>
      <c r="B1507" s="291">
        <v>0</v>
      </c>
    </row>
    <row r="1508" spans="1:2" ht="29">
      <c r="A1508" s="291" t="s">
        <v>1703</v>
      </c>
      <c r="B1508" s="291">
        <v>0</v>
      </c>
    </row>
    <row r="1509" spans="1:2" ht="29">
      <c r="A1509" s="291" t="s">
        <v>1704</v>
      </c>
      <c r="B1509" s="291">
        <v>0</v>
      </c>
    </row>
    <row r="1510" spans="1:2" ht="29">
      <c r="A1510" s="291" t="s">
        <v>1705</v>
      </c>
      <c r="B1510" s="291">
        <v>0</v>
      </c>
    </row>
    <row r="1511" spans="1:2" ht="29">
      <c r="A1511" s="291" t="s">
        <v>1706</v>
      </c>
      <c r="B1511" s="291">
        <v>0</v>
      </c>
    </row>
    <row r="1512" spans="1:2" ht="29">
      <c r="A1512" s="291" t="s">
        <v>1707</v>
      </c>
      <c r="B1512" s="291">
        <v>0</v>
      </c>
    </row>
    <row r="1513" spans="1:2" ht="29">
      <c r="A1513" s="291" t="s">
        <v>1708</v>
      </c>
      <c r="B1513" s="291">
        <v>0</v>
      </c>
    </row>
    <row r="1514" spans="1:2" ht="29">
      <c r="A1514" s="291" t="s">
        <v>1709</v>
      </c>
      <c r="B1514" s="291">
        <v>5</v>
      </c>
    </row>
    <row r="1515" spans="1:2" ht="29">
      <c r="A1515" s="291" t="s">
        <v>1710</v>
      </c>
      <c r="B1515" s="291">
        <v>0</v>
      </c>
    </row>
    <row r="1516" spans="1:2" ht="29">
      <c r="A1516" s="291" t="s">
        <v>1711</v>
      </c>
      <c r="B1516" s="291">
        <v>0</v>
      </c>
    </row>
    <row r="1517" spans="1:2" ht="29">
      <c r="A1517" s="291" t="s">
        <v>1712</v>
      </c>
      <c r="B1517" s="291">
        <v>0</v>
      </c>
    </row>
    <row r="1518" spans="1:2" ht="29">
      <c r="A1518" s="291" t="s">
        <v>1713</v>
      </c>
      <c r="B1518" s="291">
        <v>0</v>
      </c>
    </row>
    <row r="1519" spans="1:2" ht="29">
      <c r="A1519" s="291" t="s">
        <v>1714</v>
      </c>
      <c r="B1519" s="291">
        <v>0</v>
      </c>
    </row>
    <row r="1520" spans="1:2" ht="29">
      <c r="A1520" s="291" t="s">
        <v>1715</v>
      </c>
      <c r="B1520" s="291">
        <v>0</v>
      </c>
    </row>
    <row r="1521" spans="1:2" ht="29">
      <c r="A1521" s="291" t="s">
        <v>1716</v>
      </c>
      <c r="B1521" s="291">
        <v>0</v>
      </c>
    </row>
    <row r="1522" spans="1:2" ht="29">
      <c r="A1522" s="291" t="s">
        <v>1717</v>
      </c>
      <c r="B1522" s="291">
        <v>0</v>
      </c>
    </row>
    <row r="1523" spans="1:2" ht="29">
      <c r="A1523" s="291" t="s">
        <v>1718</v>
      </c>
      <c r="B1523" s="291">
        <v>0</v>
      </c>
    </row>
    <row r="1524" spans="1:2" ht="29">
      <c r="A1524" s="291" t="s">
        <v>1719</v>
      </c>
      <c r="B1524" s="291">
        <v>0</v>
      </c>
    </row>
    <row r="1525" spans="1:2" ht="29">
      <c r="A1525" s="291" t="s">
        <v>1720</v>
      </c>
      <c r="B1525" s="291">
        <v>0</v>
      </c>
    </row>
    <row r="1526" spans="1:2" ht="29">
      <c r="A1526" s="291" t="s">
        <v>1721</v>
      </c>
      <c r="B1526" s="291">
        <v>0</v>
      </c>
    </row>
    <row r="1527" spans="1:2" ht="29">
      <c r="A1527" s="291" t="s">
        <v>1722</v>
      </c>
      <c r="B1527" s="291">
        <v>0</v>
      </c>
    </row>
    <row r="1528" spans="1:2" ht="29">
      <c r="A1528" s="291" t="s">
        <v>1723</v>
      </c>
      <c r="B1528" s="291">
        <v>0</v>
      </c>
    </row>
    <row r="1529" spans="1:2" ht="29">
      <c r="A1529" s="291" t="s">
        <v>1724</v>
      </c>
      <c r="B1529" s="291">
        <v>0</v>
      </c>
    </row>
    <row r="1530" spans="1:2" ht="29">
      <c r="A1530" s="291" t="s">
        <v>1725</v>
      </c>
      <c r="B1530" s="291">
        <v>0</v>
      </c>
    </row>
    <row r="1531" spans="1:2" ht="29">
      <c r="A1531" s="291" t="s">
        <v>1726</v>
      </c>
      <c r="B1531" s="291">
        <v>0</v>
      </c>
    </row>
    <row r="1532" spans="1:2" ht="29">
      <c r="A1532" s="291" t="s">
        <v>1727</v>
      </c>
      <c r="B1532" s="291">
        <v>0</v>
      </c>
    </row>
    <row r="1533" spans="1:2" ht="29">
      <c r="A1533" s="291" t="s">
        <v>1728</v>
      </c>
      <c r="B1533" s="291">
        <v>0</v>
      </c>
    </row>
    <row r="1534" spans="1:2" ht="29">
      <c r="A1534" s="291" t="s">
        <v>1729</v>
      </c>
      <c r="B1534" s="291">
        <v>55.11</v>
      </c>
    </row>
    <row r="1535" spans="1:2" ht="29">
      <c r="A1535" s="291" t="s">
        <v>1730</v>
      </c>
      <c r="B1535" s="291">
        <v>0</v>
      </c>
    </row>
    <row r="1536" spans="1:2" ht="29">
      <c r="A1536" s="291" t="s">
        <v>1731</v>
      </c>
      <c r="B1536" s="291">
        <v>0</v>
      </c>
    </row>
    <row r="1537" spans="1:2" ht="29">
      <c r="A1537" s="291" t="s">
        <v>1732</v>
      </c>
      <c r="B1537" s="291">
        <v>0</v>
      </c>
    </row>
    <row r="1538" spans="1:2" ht="29">
      <c r="A1538" s="291" t="s">
        <v>1733</v>
      </c>
      <c r="B1538" s="291">
        <v>0</v>
      </c>
    </row>
    <row r="1539" spans="1:2" ht="29">
      <c r="A1539" s="291" t="s">
        <v>1734</v>
      </c>
      <c r="B1539" s="291">
        <v>0</v>
      </c>
    </row>
    <row r="1540" spans="1:2" ht="29">
      <c r="A1540" s="291" t="s">
        <v>1735</v>
      </c>
      <c r="B1540" s="291">
        <v>0</v>
      </c>
    </row>
    <row r="1541" spans="1:2" ht="29">
      <c r="A1541" s="291" t="s">
        <v>1736</v>
      </c>
      <c r="B1541" s="291">
        <v>0</v>
      </c>
    </row>
    <row r="1542" spans="1:2" ht="29">
      <c r="A1542" s="291" t="s">
        <v>1737</v>
      </c>
      <c r="B1542" s="291">
        <v>0</v>
      </c>
    </row>
    <row r="1543" spans="1:2" ht="29">
      <c r="A1543" s="291" t="s">
        <v>1738</v>
      </c>
      <c r="B1543" s="291">
        <v>206.97</v>
      </c>
    </row>
    <row r="1544" spans="1:2" ht="29">
      <c r="A1544" s="291" t="s">
        <v>1739</v>
      </c>
      <c r="B1544" s="291">
        <v>0</v>
      </c>
    </row>
    <row r="1545" spans="1:2" ht="29">
      <c r="A1545" s="291" t="s">
        <v>1740</v>
      </c>
      <c r="B1545" s="291">
        <v>0</v>
      </c>
    </row>
    <row r="1546" spans="1:2" ht="29">
      <c r="A1546" s="291" t="s">
        <v>1741</v>
      </c>
      <c r="B1546" s="291">
        <v>0</v>
      </c>
    </row>
    <row r="1547" spans="1:2" ht="29">
      <c r="A1547" s="291" t="s">
        <v>1742</v>
      </c>
      <c r="B1547" s="291">
        <v>25</v>
      </c>
    </row>
    <row r="1548" spans="1:2" ht="29">
      <c r="A1548" s="291" t="s">
        <v>1743</v>
      </c>
      <c r="B1548" s="291">
        <v>0</v>
      </c>
    </row>
    <row r="1549" spans="1:2" ht="29">
      <c r="A1549" s="291" t="s">
        <v>1744</v>
      </c>
      <c r="B1549" s="291">
        <v>0</v>
      </c>
    </row>
    <row r="1550" spans="1:2" ht="29">
      <c r="A1550" s="291" t="s">
        <v>1745</v>
      </c>
      <c r="B1550" s="291">
        <v>0</v>
      </c>
    </row>
    <row r="1551" spans="1:2" ht="29">
      <c r="A1551" s="291" t="s">
        <v>1746</v>
      </c>
      <c r="B1551" s="291">
        <v>0</v>
      </c>
    </row>
    <row r="1552" spans="1:2" ht="29">
      <c r="A1552" s="291" t="s">
        <v>1747</v>
      </c>
      <c r="B1552" s="291">
        <v>45</v>
      </c>
    </row>
    <row r="1553" spans="1:2" ht="29">
      <c r="A1553" s="291" t="s">
        <v>1748</v>
      </c>
      <c r="B1553" s="291">
        <v>276.64</v>
      </c>
    </row>
    <row r="1554" spans="1:2" ht="29">
      <c r="A1554" s="291" t="s">
        <v>1749</v>
      </c>
      <c r="B1554" s="291">
        <v>0</v>
      </c>
    </row>
    <row r="1555" spans="1:2" ht="29">
      <c r="A1555" s="291" t="s">
        <v>1750</v>
      </c>
      <c r="B1555" s="291">
        <v>0</v>
      </c>
    </row>
    <row r="1556" spans="1:2" ht="29">
      <c r="A1556" s="291" t="s">
        <v>1751</v>
      </c>
      <c r="B1556" s="291">
        <v>0</v>
      </c>
    </row>
    <row r="1557" spans="1:2" ht="29">
      <c r="A1557" s="291" t="s">
        <v>1752</v>
      </c>
      <c r="B1557" s="291">
        <v>0</v>
      </c>
    </row>
    <row r="1558" spans="1:2" ht="29">
      <c r="A1558" s="291" t="s">
        <v>1753</v>
      </c>
      <c r="B1558" s="291">
        <v>0</v>
      </c>
    </row>
    <row r="1559" spans="1:2" ht="29">
      <c r="A1559" s="291" t="s">
        <v>1754</v>
      </c>
      <c r="B1559" s="291">
        <v>4</v>
      </c>
    </row>
    <row r="1560" spans="1:2" ht="29">
      <c r="A1560" s="291" t="s">
        <v>1755</v>
      </c>
      <c r="B1560" s="291">
        <v>0</v>
      </c>
    </row>
    <row r="1561" spans="1:2" ht="29">
      <c r="A1561" s="291" t="s">
        <v>1756</v>
      </c>
      <c r="B1561" s="291">
        <v>0</v>
      </c>
    </row>
    <row r="1562" spans="1:2" ht="29">
      <c r="A1562" s="291" t="s">
        <v>1757</v>
      </c>
      <c r="B1562" s="291">
        <v>0</v>
      </c>
    </row>
    <row r="1563" spans="1:2" ht="29">
      <c r="A1563" s="291" t="s">
        <v>1758</v>
      </c>
      <c r="B1563" s="291">
        <v>0</v>
      </c>
    </row>
    <row r="1564" spans="1:2" ht="29">
      <c r="A1564" s="291" t="s">
        <v>1759</v>
      </c>
      <c r="B1564" s="291">
        <v>0</v>
      </c>
    </row>
    <row r="1565" spans="1:2" ht="29">
      <c r="A1565" s="291" t="s">
        <v>1760</v>
      </c>
      <c r="B1565" s="291">
        <v>0</v>
      </c>
    </row>
    <row r="1566" spans="1:2" ht="29">
      <c r="A1566" s="291" t="s">
        <v>1761</v>
      </c>
      <c r="B1566" s="291">
        <v>0</v>
      </c>
    </row>
    <row r="1567" spans="1:2" ht="29">
      <c r="A1567" s="291" t="s">
        <v>1762</v>
      </c>
      <c r="B1567" s="291">
        <v>0</v>
      </c>
    </row>
    <row r="1568" spans="1:2" ht="29">
      <c r="A1568" s="291" t="s">
        <v>1763</v>
      </c>
      <c r="B1568" s="291">
        <v>0</v>
      </c>
    </row>
    <row r="1569" spans="1:2" ht="29">
      <c r="A1569" s="291" t="s">
        <v>1764</v>
      </c>
      <c r="B1569" s="291">
        <v>0</v>
      </c>
    </row>
    <row r="1570" spans="1:2" ht="29">
      <c r="A1570" s="291" t="s">
        <v>1765</v>
      </c>
      <c r="B1570" s="291">
        <v>0</v>
      </c>
    </row>
    <row r="1571" spans="1:2" ht="29">
      <c r="A1571" s="291" t="s">
        <v>1766</v>
      </c>
      <c r="B1571" s="291">
        <v>0</v>
      </c>
    </row>
    <row r="1572" spans="1:2" ht="29">
      <c r="A1572" s="291" t="s">
        <v>1767</v>
      </c>
      <c r="B1572" s="291">
        <v>0</v>
      </c>
    </row>
    <row r="1573" spans="1:2" ht="29">
      <c r="A1573" s="291" t="s">
        <v>1768</v>
      </c>
      <c r="B1573" s="291">
        <v>0</v>
      </c>
    </row>
    <row r="1574" spans="1:2" ht="29">
      <c r="A1574" s="291" t="s">
        <v>1769</v>
      </c>
      <c r="B1574" s="291">
        <v>114</v>
      </c>
    </row>
    <row r="1575" spans="1:2" ht="29">
      <c r="A1575" s="291" t="s">
        <v>1770</v>
      </c>
      <c r="B1575" s="291">
        <v>0</v>
      </c>
    </row>
    <row r="1576" spans="1:2" ht="29">
      <c r="A1576" s="291" t="s">
        <v>1771</v>
      </c>
      <c r="B1576" s="291">
        <v>0</v>
      </c>
    </row>
    <row r="1577" spans="1:2" ht="29">
      <c r="A1577" s="291" t="s">
        <v>1772</v>
      </c>
      <c r="B1577" s="291">
        <v>0</v>
      </c>
    </row>
    <row r="1578" spans="1:2" ht="29">
      <c r="A1578" s="291" t="s">
        <v>1773</v>
      </c>
      <c r="B1578" s="291">
        <v>0</v>
      </c>
    </row>
    <row r="1579" spans="1:2" ht="29">
      <c r="A1579" s="291" t="s">
        <v>1774</v>
      </c>
      <c r="B1579" s="291">
        <v>0</v>
      </c>
    </row>
    <row r="1580" spans="1:2" ht="29">
      <c r="A1580" s="291" t="s">
        <v>1775</v>
      </c>
      <c r="B1580" s="291">
        <v>0</v>
      </c>
    </row>
    <row r="1581" spans="1:2" ht="29">
      <c r="A1581" s="291" t="s">
        <v>1776</v>
      </c>
      <c r="B1581" s="291">
        <v>0</v>
      </c>
    </row>
    <row r="1582" spans="1:2" ht="29">
      <c r="A1582" s="291" t="s">
        <v>1777</v>
      </c>
      <c r="B1582" s="291">
        <v>0</v>
      </c>
    </row>
    <row r="1583" spans="1:2" ht="29">
      <c r="A1583" s="291" t="s">
        <v>1778</v>
      </c>
      <c r="B1583" s="291">
        <v>0</v>
      </c>
    </row>
    <row r="1584" spans="1:2" ht="29">
      <c r="A1584" s="291" t="s">
        <v>1779</v>
      </c>
      <c r="B1584" s="291">
        <v>0</v>
      </c>
    </row>
    <row r="1585" spans="1:2" ht="29">
      <c r="A1585" s="291" t="s">
        <v>1780</v>
      </c>
      <c r="B1585" s="291">
        <v>0</v>
      </c>
    </row>
    <row r="1586" spans="1:2" ht="29">
      <c r="A1586" s="291" t="s">
        <v>1781</v>
      </c>
      <c r="B1586" s="291">
        <v>0</v>
      </c>
    </row>
    <row r="1587" spans="1:2" ht="29">
      <c r="A1587" s="291" t="s">
        <v>1782</v>
      </c>
      <c r="B1587" s="291">
        <v>0</v>
      </c>
    </row>
    <row r="1588" spans="1:2" ht="29">
      <c r="A1588" s="291" t="s">
        <v>1783</v>
      </c>
      <c r="B1588" s="291">
        <v>0</v>
      </c>
    </row>
    <row r="1589" spans="1:2" ht="29">
      <c r="A1589" s="291" t="s">
        <v>1784</v>
      </c>
      <c r="B1589" s="291">
        <v>0</v>
      </c>
    </row>
    <row r="1590" spans="1:2" ht="29">
      <c r="A1590" s="291" t="s">
        <v>1785</v>
      </c>
      <c r="B1590" s="291">
        <v>0</v>
      </c>
    </row>
    <row r="1591" spans="1:2" ht="29">
      <c r="A1591" s="291" t="s">
        <v>1786</v>
      </c>
      <c r="B1591" s="291">
        <v>0</v>
      </c>
    </row>
    <row r="1592" spans="1:2" ht="29">
      <c r="A1592" s="291" t="s">
        <v>1787</v>
      </c>
      <c r="B1592" s="291">
        <v>0</v>
      </c>
    </row>
    <row r="1593" spans="1:2" ht="29">
      <c r="A1593" s="291" t="s">
        <v>1788</v>
      </c>
      <c r="B1593" s="291">
        <v>0</v>
      </c>
    </row>
    <row r="1594" spans="1:2" ht="29">
      <c r="A1594" s="291" t="s">
        <v>1789</v>
      </c>
      <c r="B1594" s="291">
        <v>0</v>
      </c>
    </row>
    <row r="1595" spans="1:2" ht="29">
      <c r="A1595" s="291" t="s">
        <v>1790</v>
      </c>
      <c r="B1595" s="291">
        <v>0</v>
      </c>
    </row>
    <row r="1596" spans="1:2" ht="29">
      <c r="A1596" s="291" t="s">
        <v>1791</v>
      </c>
      <c r="B1596" s="291">
        <v>0</v>
      </c>
    </row>
    <row r="1597" spans="1:2" ht="29">
      <c r="A1597" s="291" t="s">
        <v>1792</v>
      </c>
      <c r="B1597" s="291">
        <v>0</v>
      </c>
    </row>
    <row r="1598" spans="1:2" ht="29">
      <c r="A1598" s="291" t="s">
        <v>1793</v>
      </c>
      <c r="B1598" s="291">
        <v>4</v>
      </c>
    </row>
    <row r="1599" spans="1:2" ht="29">
      <c r="A1599" s="291" t="s">
        <v>1794</v>
      </c>
      <c r="B1599" s="291">
        <v>0</v>
      </c>
    </row>
    <row r="1600" spans="1:2" ht="29">
      <c r="A1600" s="291" t="s">
        <v>1795</v>
      </c>
      <c r="B1600" s="291">
        <v>0</v>
      </c>
    </row>
    <row r="1601" spans="1:2" ht="29">
      <c r="A1601" s="291" t="s">
        <v>1796</v>
      </c>
      <c r="B1601" s="291">
        <v>0</v>
      </c>
    </row>
    <row r="1602" spans="1:2" ht="29">
      <c r="A1602" s="291" t="s">
        <v>1797</v>
      </c>
      <c r="B1602" s="291">
        <v>0</v>
      </c>
    </row>
    <row r="1603" spans="1:2" ht="29">
      <c r="A1603" s="291" t="s">
        <v>1798</v>
      </c>
      <c r="B1603" s="291">
        <v>0</v>
      </c>
    </row>
    <row r="1604" spans="1:2" ht="29">
      <c r="A1604" s="291" t="s">
        <v>1799</v>
      </c>
      <c r="B1604" s="291">
        <v>1</v>
      </c>
    </row>
    <row r="1605" spans="1:2" ht="29">
      <c r="A1605" s="291" t="s">
        <v>1800</v>
      </c>
      <c r="B1605" s="291">
        <v>0</v>
      </c>
    </row>
    <row r="1606" spans="1:2" ht="29">
      <c r="A1606" s="291" t="s">
        <v>1801</v>
      </c>
      <c r="B1606" s="291">
        <v>0</v>
      </c>
    </row>
    <row r="1607" spans="1:2" ht="29">
      <c r="A1607" s="291" t="s">
        <v>1802</v>
      </c>
      <c r="B1607" s="291">
        <v>0</v>
      </c>
    </row>
    <row r="1608" spans="1:2" ht="29">
      <c r="A1608" s="291" t="s">
        <v>1803</v>
      </c>
      <c r="B1608" s="291">
        <v>0</v>
      </c>
    </row>
    <row r="1609" spans="1:2" ht="29">
      <c r="A1609" s="291" t="s">
        <v>1804</v>
      </c>
      <c r="B1609" s="291">
        <v>0</v>
      </c>
    </row>
    <row r="1610" spans="1:2" ht="29">
      <c r="A1610" s="291" t="s">
        <v>1805</v>
      </c>
      <c r="B1610" s="291">
        <v>0</v>
      </c>
    </row>
    <row r="1611" spans="1:2" ht="29">
      <c r="A1611" s="291" t="s">
        <v>1806</v>
      </c>
      <c r="B1611" s="291">
        <v>0</v>
      </c>
    </row>
    <row r="1612" spans="1:2" ht="29">
      <c r="A1612" s="291" t="s">
        <v>1807</v>
      </c>
      <c r="B1612" s="291">
        <v>0</v>
      </c>
    </row>
    <row r="1613" spans="1:2" ht="29">
      <c r="A1613" s="291" t="s">
        <v>1808</v>
      </c>
      <c r="B1613" s="291">
        <v>0</v>
      </c>
    </row>
    <row r="1614" spans="1:2" ht="29">
      <c r="A1614" s="291" t="s">
        <v>1809</v>
      </c>
      <c r="B1614" s="291">
        <v>0</v>
      </c>
    </row>
    <row r="1615" spans="1:2" ht="29">
      <c r="A1615" s="291" t="s">
        <v>1810</v>
      </c>
      <c r="B1615" s="291">
        <v>0</v>
      </c>
    </row>
    <row r="1616" spans="1:2" ht="29">
      <c r="A1616" s="291" t="s">
        <v>1811</v>
      </c>
      <c r="B1616" s="291">
        <v>0</v>
      </c>
    </row>
    <row r="1617" spans="1:2" ht="29">
      <c r="A1617" s="291" t="s">
        <v>1812</v>
      </c>
      <c r="B1617" s="291">
        <v>0</v>
      </c>
    </row>
    <row r="1618" spans="1:2" ht="29">
      <c r="A1618" s="291" t="s">
        <v>1813</v>
      </c>
      <c r="B1618" s="291">
        <v>0</v>
      </c>
    </row>
    <row r="1619" spans="1:2" ht="29">
      <c r="A1619" s="291" t="s">
        <v>1814</v>
      </c>
      <c r="B1619" s="291">
        <v>5</v>
      </c>
    </row>
    <row r="1620" spans="1:2" ht="29">
      <c r="A1620" s="291" t="s">
        <v>1815</v>
      </c>
      <c r="B1620" s="291">
        <v>0</v>
      </c>
    </row>
    <row r="1621" spans="1:2" ht="29">
      <c r="A1621" s="291" t="s">
        <v>1816</v>
      </c>
      <c r="B1621" s="291">
        <v>0</v>
      </c>
    </row>
    <row r="1622" spans="1:2" ht="29">
      <c r="A1622" s="291" t="s">
        <v>1817</v>
      </c>
      <c r="B1622" s="291">
        <v>358</v>
      </c>
    </row>
    <row r="1623" spans="1:2" ht="29">
      <c r="A1623" s="291" t="s">
        <v>1818</v>
      </c>
      <c r="B1623" s="291">
        <v>0</v>
      </c>
    </row>
    <row r="1624" spans="1:2" ht="29">
      <c r="A1624" s="291" t="s">
        <v>1819</v>
      </c>
      <c r="B1624" s="291">
        <v>0</v>
      </c>
    </row>
    <row r="1625" spans="1:2" ht="29">
      <c r="A1625" s="291" t="s">
        <v>1820</v>
      </c>
      <c r="B1625" s="291">
        <v>0</v>
      </c>
    </row>
    <row r="1626" spans="1:2" ht="29">
      <c r="A1626" s="291" t="s">
        <v>1821</v>
      </c>
      <c r="B1626" s="291">
        <v>275</v>
      </c>
    </row>
    <row r="1627" spans="1:2" ht="29">
      <c r="A1627" s="291" t="s">
        <v>1822</v>
      </c>
      <c r="B1627" s="291">
        <v>0</v>
      </c>
    </row>
    <row r="1628" spans="1:2" ht="29">
      <c r="A1628" s="291" t="s">
        <v>1823</v>
      </c>
      <c r="B1628" s="291">
        <v>25</v>
      </c>
    </row>
    <row r="1629" spans="1:2" ht="29">
      <c r="A1629" s="291" t="s">
        <v>1824</v>
      </c>
      <c r="B1629" s="291">
        <v>0</v>
      </c>
    </row>
    <row r="1630" spans="1:2" ht="29">
      <c r="A1630" s="291" t="s">
        <v>1825</v>
      </c>
      <c r="B1630" s="291">
        <v>0</v>
      </c>
    </row>
    <row r="1631" spans="1:2" ht="29">
      <c r="A1631" s="291" t="s">
        <v>1826</v>
      </c>
      <c r="B1631" s="291">
        <v>0</v>
      </c>
    </row>
    <row r="1632" spans="1:2" ht="29">
      <c r="A1632" s="291" t="s">
        <v>1827</v>
      </c>
      <c r="B1632" s="291">
        <v>0</v>
      </c>
    </row>
    <row r="1633" spans="1:2" ht="29">
      <c r="A1633" s="291" t="s">
        <v>1828</v>
      </c>
      <c r="B1633" s="291">
        <v>0</v>
      </c>
    </row>
    <row r="1634" spans="1:2" ht="29">
      <c r="A1634" s="291" t="s">
        <v>1829</v>
      </c>
      <c r="B1634" s="291">
        <v>5</v>
      </c>
    </row>
    <row r="1635" spans="1:2" ht="29">
      <c r="A1635" s="291" t="s">
        <v>1830</v>
      </c>
      <c r="B1635" s="291">
        <v>0</v>
      </c>
    </row>
    <row r="1636" spans="1:2" ht="29">
      <c r="A1636" s="291" t="s">
        <v>1831</v>
      </c>
      <c r="B1636" s="291">
        <v>0</v>
      </c>
    </row>
    <row r="1637" spans="1:2" ht="29">
      <c r="A1637" s="291" t="s">
        <v>1832</v>
      </c>
      <c r="B1637" s="291">
        <v>0</v>
      </c>
    </row>
    <row r="1638" spans="1:2" ht="12.5">
      <c r="A1638" t="s">
        <v>1833</v>
      </c>
      <c r="B1638">
        <v>1.18</v>
      </c>
    </row>
    <row r="1639" spans="1:2" ht="12.5">
      <c r="A1639" t="s">
        <v>1834</v>
      </c>
      <c r="B1639">
        <v>0</v>
      </c>
    </row>
    <row r="1640" spans="1:2" ht="12.5">
      <c r="A1640" t="s">
        <v>1835</v>
      </c>
      <c r="B1640">
        <v>0</v>
      </c>
    </row>
    <row r="1641" spans="1:2" ht="12.5">
      <c r="A1641" t="s">
        <v>1836</v>
      </c>
      <c r="B1641">
        <v>0</v>
      </c>
    </row>
    <row r="1642" spans="1:2" ht="12.5">
      <c r="A1642" t="s">
        <v>1837</v>
      </c>
      <c r="B1642">
        <v>5</v>
      </c>
    </row>
    <row r="1643" spans="1:2" ht="12.5">
      <c r="A1643" t="s">
        <v>1838</v>
      </c>
      <c r="B1643">
        <v>0</v>
      </c>
    </row>
    <row r="1644" spans="1:2" ht="12.5">
      <c r="A1644" t="s">
        <v>1839</v>
      </c>
      <c r="B1644">
        <v>0</v>
      </c>
    </row>
    <row r="1645" spans="1:2" ht="12.5">
      <c r="A1645" t="s">
        <v>1840</v>
      </c>
      <c r="B1645">
        <v>0</v>
      </c>
    </row>
    <row r="1646" spans="1:2" ht="12.5">
      <c r="A1646" t="s">
        <v>1841</v>
      </c>
      <c r="B1646">
        <v>0</v>
      </c>
    </row>
    <row r="1647" spans="1:2" ht="12.5">
      <c r="A1647" t="s">
        <v>1842</v>
      </c>
      <c r="B1647">
        <v>0</v>
      </c>
    </row>
    <row r="1648" spans="1:2" ht="12.5">
      <c r="A1648" t="s">
        <v>1843</v>
      </c>
      <c r="B1648">
        <v>0</v>
      </c>
    </row>
    <row r="1649" spans="1:2" ht="12.5">
      <c r="A1649" t="s">
        <v>1844</v>
      </c>
      <c r="B1649">
        <v>0</v>
      </c>
    </row>
    <row r="1650" spans="1:2" ht="12.5">
      <c r="A1650" t="s">
        <v>1845</v>
      </c>
      <c r="B1650">
        <v>0</v>
      </c>
    </row>
    <row r="1651" spans="1:2" ht="12.5">
      <c r="A1651" t="s">
        <v>1846</v>
      </c>
      <c r="B1651">
        <v>0</v>
      </c>
    </row>
    <row r="1652" spans="1:2" ht="12.5">
      <c r="A1652" t="s">
        <v>1847</v>
      </c>
      <c r="B1652">
        <v>0</v>
      </c>
    </row>
    <row r="1653" spans="1:2" ht="12.5">
      <c r="A1653" t="s">
        <v>1848</v>
      </c>
      <c r="B1653">
        <v>0</v>
      </c>
    </row>
    <row r="1654" spans="1:2" ht="12.5">
      <c r="A1654" t="s">
        <v>1849</v>
      </c>
      <c r="B1654">
        <v>0</v>
      </c>
    </row>
    <row r="1655" spans="1:2" ht="12.5">
      <c r="A1655" t="s">
        <v>1850</v>
      </c>
      <c r="B1655">
        <v>0</v>
      </c>
    </row>
    <row r="1656" spans="1:2" ht="12.5">
      <c r="A1656" t="s">
        <v>1851</v>
      </c>
      <c r="B1656">
        <v>0</v>
      </c>
    </row>
    <row r="1657" spans="1:2" ht="12.5">
      <c r="A1657" t="s">
        <v>1852</v>
      </c>
      <c r="B1657">
        <v>0</v>
      </c>
    </row>
    <row r="1658" spans="1:2" ht="12.5">
      <c r="A1658" t="s">
        <v>1853</v>
      </c>
      <c r="B1658">
        <v>0</v>
      </c>
    </row>
    <row r="1659" spans="1:2" ht="12.5">
      <c r="A1659" t="s">
        <v>1854</v>
      </c>
      <c r="B1659">
        <v>0</v>
      </c>
    </row>
    <row r="1660" spans="1:2" ht="12.5">
      <c r="A1660" t="s">
        <v>1855</v>
      </c>
      <c r="B1660">
        <v>0</v>
      </c>
    </row>
    <row r="1661" spans="1:2" ht="12.5">
      <c r="A1661" t="s">
        <v>1856</v>
      </c>
      <c r="B1661">
        <v>0</v>
      </c>
    </row>
    <row r="1662" spans="1:2" ht="12.5">
      <c r="A1662" t="s">
        <v>1857</v>
      </c>
      <c r="B1662">
        <v>0</v>
      </c>
    </row>
    <row r="1663" spans="1:2" ht="12.5">
      <c r="A1663" t="s">
        <v>1858</v>
      </c>
      <c r="B1663">
        <v>0</v>
      </c>
    </row>
    <row r="1664" spans="1:2" ht="12.5">
      <c r="A1664" t="s">
        <v>1859</v>
      </c>
      <c r="B1664">
        <v>0</v>
      </c>
    </row>
    <row r="1665" spans="1:2" ht="12.5">
      <c r="A1665" t="s">
        <v>1860</v>
      </c>
      <c r="B1665">
        <v>0</v>
      </c>
    </row>
    <row r="1666" spans="1:2" ht="12.5">
      <c r="A1666" t="s">
        <v>1861</v>
      </c>
      <c r="B1666">
        <v>90</v>
      </c>
    </row>
    <row r="1667" spans="1:2" ht="12.5">
      <c r="A1667" t="s">
        <v>1862</v>
      </c>
      <c r="B1667">
        <v>0</v>
      </c>
    </row>
    <row r="1668" spans="1:2" ht="12.5">
      <c r="A1668" t="s">
        <v>1863</v>
      </c>
      <c r="B1668">
        <v>330</v>
      </c>
    </row>
    <row r="1669" spans="1:2" ht="12.5">
      <c r="A1669" t="s">
        <v>1864</v>
      </c>
      <c r="B1669">
        <v>0</v>
      </c>
    </row>
    <row r="1670" spans="1:2" ht="12.5">
      <c r="A1670" t="s">
        <v>1865</v>
      </c>
      <c r="B1670">
        <v>1</v>
      </c>
    </row>
    <row r="1671" spans="1:2" ht="12.5">
      <c r="A1671" t="s">
        <v>1866</v>
      </c>
      <c r="B1671">
        <v>0</v>
      </c>
    </row>
    <row r="1672" spans="1:2" ht="12.5">
      <c r="A1672" t="s">
        <v>1867</v>
      </c>
      <c r="B1672">
        <v>0</v>
      </c>
    </row>
    <row r="1673" spans="1:2" ht="12.5">
      <c r="A1673" t="s">
        <v>1868</v>
      </c>
      <c r="B1673">
        <v>10</v>
      </c>
    </row>
    <row r="1674" spans="1:2" ht="12.5">
      <c r="A1674" t="s">
        <v>1869</v>
      </c>
      <c r="B1674">
        <v>0</v>
      </c>
    </row>
    <row r="1675" spans="1:2" ht="12.5">
      <c r="A1675">
        <v>0</v>
      </c>
      <c r="B1675">
        <v>0</v>
      </c>
    </row>
    <row r="1676" spans="1:2" ht="12.5">
      <c r="A1676">
        <v>0</v>
      </c>
      <c r="B1676">
        <v>0</v>
      </c>
    </row>
    <row r="1677" spans="1:2" ht="12.5">
      <c r="A1677">
        <v>0</v>
      </c>
      <c r="B1677">
        <v>0</v>
      </c>
    </row>
    <row r="1678" spans="1:2" ht="12.5">
      <c r="A1678">
        <v>0</v>
      </c>
      <c r="B1678">
        <v>0</v>
      </c>
    </row>
    <row r="1679" spans="1:2" ht="12.5">
      <c r="A1679">
        <v>0</v>
      </c>
      <c r="B1679">
        <v>0</v>
      </c>
    </row>
    <row r="1680" spans="1:2" ht="12.5">
      <c r="A1680">
        <v>0</v>
      </c>
      <c r="B1680">
        <v>0</v>
      </c>
    </row>
    <row r="1681" spans="1:2" ht="12.5">
      <c r="A1681">
        <v>0</v>
      </c>
      <c r="B1681">
        <v>0</v>
      </c>
    </row>
    <row r="1682" spans="1:2" ht="12.5">
      <c r="A1682">
        <v>0</v>
      </c>
      <c r="B1682">
        <v>0</v>
      </c>
    </row>
    <row r="1683" spans="1:2" ht="12.5">
      <c r="A1683">
        <v>0</v>
      </c>
      <c r="B1683">
        <v>0</v>
      </c>
    </row>
    <row r="1684" spans="1:2" ht="12.5">
      <c r="A1684">
        <v>0</v>
      </c>
      <c r="B1684">
        <v>0</v>
      </c>
    </row>
    <row r="1685" spans="1:2" ht="12.5">
      <c r="A1685">
        <v>0</v>
      </c>
      <c r="B1685">
        <v>0</v>
      </c>
    </row>
    <row r="1686" spans="1:2" ht="12.5">
      <c r="A1686">
        <v>0</v>
      </c>
      <c r="B1686">
        <v>0</v>
      </c>
    </row>
    <row r="1687" spans="1:2" ht="12.5">
      <c r="A1687">
        <v>0</v>
      </c>
      <c r="B1687">
        <v>0</v>
      </c>
    </row>
    <row r="1688" spans="1:2" ht="12.5">
      <c r="A1688">
        <v>0</v>
      </c>
      <c r="B1688">
        <v>0</v>
      </c>
    </row>
    <row r="1689" spans="1:2" ht="12.5">
      <c r="A1689">
        <v>0</v>
      </c>
      <c r="B1689">
        <v>0</v>
      </c>
    </row>
    <row r="1690" spans="1:2" ht="12.5">
      <c r="A1690">
        <v>0</v>
      </c>
      <c r="B1690">
        <v>0</v>
      </c>
    </row>
    <row r="1691" spans="1:2" ht="12.5">
      <c r="A1691">
        <v>0</v>
      </c>
      <c r="B1691">
        <v>0</v>
      </c>
    </row>
    <row r="1692" spans="1:2" ht="12.5">
      <c r="A1692">
        <v>0</v>
      </c>
      <c r="B1692">
        <v>0</v>
      </c>
    </row>
    <row r="1693" spans="1:2" ht="12.5">
      <c r="A1693">
        <v>0</v>
      </c>
      <c r="B1693">
        <v>0</v>
      </c>
    </row>
    <row r="1694" spans="1:2" ht="12.5">
      <c r="A1694">
        <v>0</v>
      </c>
      <c r="B1694">
        <v>0</v>
      </c>
    </row>
    <row r="1695" spans="1:2" ht="12.5">
      <c r="A1695">
        <v>0</v>
      </c>
      <c r="B1695">
        <v>0</v>
      </c>
    </row>
    <row r="1696" spans="1:2" ht="12.5">
      <c r="A1696">
        <v>0</v>
      </c>
      <c r="B1696">
        <v>0</v>
      </c>
    </row>
    <row r="1697" spans="1:2" ht="12.5">
      <c r="A1697">
        <v>0</v>
      </c>
      <c r="B1697">
        <v>0</v>
      </c>
    </row>
    <row r="1698" spans="1:2" ht="12.5">
      <c r="A1698">
        <v>0</v>
      </c>
      <c r="B1698">
        <v>0</v>
      </c>
    </row>
    <row r="1699" spans="1:2" ht="12.5">
      <c r="A1699">
        <v>0</v>
      </c>
      <c r="B1699">
        <v>0</v>
      </c>
    </row>
    <row r="1700" spans="1:2" ht="12.5">
      <c r="A1700">
        <v>0</v>
      </c>
      <c r="B1700">
        <v>0</v>
      </c>
    </row>
    <row r="1701" spans="1:2" ht="12.5">
      <c r="A1701">
        <v>0</v>
      </c>
      <c r="B1701">
        <v>0</v>
      </c>
    </row>
    <row r="1702" spans="1:2" ht="12.5">
      <c r="A1702">
        <v>0</v>
      </c>
      <c r="B1702">
        <v>0</v>
      </c>
    </row>
    <row r="1703" spans="1:2" ht="12.5">
      <c r="A1703">
        <v>0</v>
      </c>
      <c r="B1703">
        <v>0</v>
      </c>
    </row>
    <row r="1704" spans="1:2" ht="12.5">
      <c r="A1704">
        <v>0</v>
      </c>
      <c r="B1704">
        <v>0</v>
      </c>
    </row>
    <row r="1705" spans="1:2" ht="12.5">
      <c r="A1705">
        <v>0</v>
      </c>
      <c r="B1705">
        <v>0</v>
      </c>
    </row>
    <row r="1706" spans="1:2" ht="12.5">
      <c r="A1706">
        <v>0</v>
      </c>
      <c r="B1706">
        <v>0</v>
      </c>
    </row>
    <row r="1707" spans="1:2" ht="12.5">
      <c r="A1707">
        <v>0</v>
      </c>
      <c r="B1707">
        <v>0</v>
      </c>
    </row>
    <row r="1708" spans="1:2" ht="12.5">
      <c r="A1708">
        <v>0</v>
      </c>
      <c r="B1708">
        <v>0</v>
      </c>
    </row>
    <row r="1709" spans="1:2" ht="12.5">
      <c r="A1709">
        <v>0</v>
      </c>
      <c r="B1709">
        <v>0</v>
      </c>
    </row>
    <row r="1710" spans="1:2" ht="12.5">
      <c r="A1710">
        <v>0</v>
      </c>
      <c r="B1710">
        <v>0</v>
      </c>
    </row>
    <row r="1711" spans="1:2" ht="12.5">
      <c r="A1711">
        <v>0</v>
      </c>
      <c r="B1711">
        <v>0</v>
      </c>
    </row>
    <row r="1712" spans="1:2" ht="12.5">
      <c r="A1712">
        <v>0</v>
      </c>
      <c r="B1712">
        <v>0</v>
      </c>
    </row>
    <row r="1713" spans="1:2" ht="12.5">
      <c r="A1713">
        <v>0</v>
      </c>
      <c r="B1713">
        <v>0</v>
      </c>
    </row>
    <row r="1714" spans="1:2" ht="12.5">
      <c r="A1714">
        <v>0</v>
      </c>
      <c r="B1714">
        <v>0</v>
      </c>
    </row>
    <row r="1715" spans="1:2" ht="12.5">
      <c r="A1715">
        <v>0</v>
      </c>
      <c r="B1715">
        <v>0</v>
      </c>
    </row>
    <row r="1716" spans="1:2" ht="12.5">
      <c r="A1716">
        <v>0</v>
      </c>
      <c r="B1716">
        <v>0</v>
      </c>
    </row>
    <row r="1717" spans="1:2" ht="12.5">
      <c r="A1717">
        <v>0</v>
      </c>
      <c r="B1717">
        <v>0</v>
      </c>
    </row>
    <row r="1718" spans="1:2" ht="12.5">
      <c r="A1718">
        <v>0</v>
      </c>
      <c r="B1718">
        <v>0</v>
      </c>
    </row>
    <row r="1719" spans="1:2" ht="12.5">
      <c r="A1719">
        <v>0</v>
      </c>
      <c r="B1719">
        <v>0</v>
      </c>
    </row>
    <row r="1720" spans="1:2" ht="12.5">
      <c r="A1720">
        <v>0</v>
      </c>
      <c r="B1720">
        <v>0</v>
      </c>
    </row>
    <row r="1721" spans="1:2" ht="12.5">
      <c r="A1721">
        <v>0</v>
      </c>
      <c r="B1721">
        <v>0</v>
      </c>
    </row>
    <row r="1722" spans="1:2" ht="12.5">
      <c r="A1722">
        <v>0</v>
      </c>
      <c r="B1722">
        <v>0</v>
      </c>
    </row>
    <row r="1723" spans="1:2" ht="12.5">
      <c r="A1723">
        <v>0</v>
      </c>
      <c r="B1723">
        <v>0</v>
      </c>
    </row>
    <row r="1724" spans="1:2" ht="12.5">
      <c r="A1724">
        <v>0</v>
      </c>
      <c r="B1724">
        <v>0</v>
      </c>
    </row>
    <row r="1725" spans="1:2" ht="12.5">
      <c r="A1725">
        <v>0</v>
      </c>
      <c r="B1725">
        <v>0</v>
      </c>
    </row>
    <row r="1726" spans="1:2" ht="12.5">
      <c r="A1726">
        <v>0</v>
      </c>
      <c r="B1726">
        <v>0</v>
      </c>
    </row>
    <row r="1727" spans="1:2" ht="12.5">
      <c r="A1727">
        <v>0</v>
      </c>
      <c r="B1727">
        <v>0</v>
      </c>
    </row>
    <row r="1728" spans="1:2" ht="12.5">
      <c r="A1728">
        <v>0</v>
      </c>
      <c r="B1728">
        <v>0</v>
      </c>
    </row>
    <row r="1729" spans="1:2" ht="12.5">
      <c r="A1729">
        <v>0</v>
      </c>
      <c r="B1729">
        <v>0</v>
      </c>
    </row>
    <row r="1730" spans="1:2" ht="12.5">
      <c r="A1730">
        <v>0</v>
      </c>
      <c r="B1730">
        <v>0</v>
      </c>
    </row>
    <row r="1731" spans="1:2" ht="12.5">
      <c r="A1731">
        <v>0</v>
      </c>
      <c r="B1731">
        <v>0</v>
      </c>
    </row>
    <row r="1732" spans="1:2" ht="12.5">
      <c r="A1732">
        <v>0</v>
      </c>
      <c r="B1732">
        <v>0</v>
      </c>
    </row>
    <row r="1733" spans="1:2" ht="12.5">
      <c r="A1733">
        <v>0</v>
      </c>
      <c r="B1733">
        <v>0</v>
      </c>
    </row>
    <row r="1734" spans="1:2" ht="12.5">
      <c r="A1734">
        <v>0</v>
      </c>
      <c r="B1734">
        <v>0</v>
      </c>
    </row>
    <row r="1735" spans="1:2" ht="12.5">
      <c r="A1735">
        <v>0</v>
      </c>
      <c r="B1735">
        <v>0</v>
      </c>
    </row>
    <row r="1736" spans="1:2" ht="12.5">
      <c r="A1736">
        <v>0</v>
      </c>
      <c r="B1736">
        <v>0</v>
      </c>
    </row>
    <row r="1737" spans="1:2" ht="12.5">
      <c r="A1737">
        <v>0</v>
      </c>
      <c r="B1737">
        <v>0</v>
      </c>
    </row>
    <row r="1738" spans="1:2" ht="12.5">
      <c r="A1738">
        <v>0</v>
      </c>
      <c r="B1738">
        <v>0</v>
      </c>
    </row>
    <row r="1739" spans="1:2" ht="12.5">
      <c r="A1739">
        <v>0</v>
      </c>
      <c r="B1739">
        <v>0</v>
      </c>
    </row>
    <row r="1740" spans="1:2" ht="12.5">
      <c r="A1740">
        <v>0</v>
      </c>
      <c r="B1740">
        <v>0</v>
      </c>
    </row>
    <row r="1741" spans="1:2" ht="12.5">
      <c r="A1741">
        <v>0</v>
      </c>
      <c r="B1741">
        <v>0</v>
      </c>
    </row>
    <row r="1742" spans="1:2" ht="12.5">
      <c r="A1742">
        <v>0</v>
      </c>
      <c r="B1742">
        <v>0</v>
      </c>
    </row>
    <row r="1743" spans="1:2" ht="12.5">
      <c r="A1743">
        <v>0</v>
      </c>
      <c r="B1743">
        <v>0</v>
      </c>
    </row>
    <row r="1744" spans="1:2" ht="12.5">
      <c r="A1744">
        <v>0</v>
      </c>
      <c r="B1744">
        <v>0</v>
      </c>
    </row>
    <row r="1745" spans="1:2" ht="12.5">
      <c r="A1745">
        <v>0</v>
      </c>
      <c r="B1745">
        <v>0</v>
      </c>
    </row>
    <row r="1746" spans="1:2" ht="12.5">
      <c r="A1746">
        <v>0</v>
      </c>
      <c r="B1746">
        <v>0</v>
      </c>
    </row>
    <row r="1747" spans="1:2" ht="12.5">
      <c r="A1747">
        <v>0</v>
      </c>
      <c r="B1747">
        <v>0</v>
      </c>
    </row>
    <row r="1748" spans="1:2" ht="12.5">
      <c r="A1748">
        <v>0</v>
      </c>
      <c r="B1748">
        <v>0</v>
      </c>
    </row>
    <row r="1749" spans="1:2" ht="12.5">
      <c r="A1749">
        <v>0</v>
      </c>
      <c r="B1749">
        <v>0</v>
      </c>
    </row>
    <row r="1750" spans="1:2" ht="12.5">
      <c r="A1750">
        <v>0</v>
      </c>
      <c r="B1750">
        <v>0</v>
      </c>
    </row>
    <row r="1751" spans="1:2" ht="12.5">
      <c r="A1751">
        <v>0</v>
      </c>
      <c r="B1751">
        <v>0</v>
      </c>
    </row>
    <row r="1752" spans="1:2" ht="12.5">
      <c r="A1752">
        <v>0</v>
      </c>
      <c r="B1752">
        <v>0</v>
      </c>
    </row>
    <row r="1753" spans="1:2" ht="12.5">
      <c r="A1753">
        <v>0</v>
      </c>
      <c r="B1753">
        <v>0</v>
      </c>
    </row>
    <row r="1754" spans="1:2" ht="12.5">
      <c r="A1754">
        <v>0</v>
      </c>
      <c r="B1754">
        <v>0</v>
      </c>
    </row>
    <row r="1755" spans="1:2" ht="12.5">
      <c r="A1755">
        <v>0</v>
      </c>
      <c r="B1755">
        <v>0</v>
      </c>
    </row>
    <row r="1756" spans="1:2" ht="12.5">
      <c r="A1756">
        <v>0</v>
      </c>
      <c r="B1756">
        <v>0</v>
      </c>
    </row>
    <row r="1757" spans="1:2" ht="12.5">
      <c r="A1757">
        <v>0</v>
      </c>
      <c r="B1757">
        <v>0</v>
      </c>
    </row>
    <row r="1758" spans="1:2" ht="12.5">
      <c r="A1758">
        <v>0</v>
      </c>
      <c r="B1758">
        <v>0</v>
      </c>
    </row>
    <row r="1759" spans="1:2" ht="12.5">
      <c r="A1759">
        <v>0</v>
      </c>
      <c r="B1759">
        <v>0</v>
      </c>
    </row>
    <row r="1760" spans="1:2" ht="12.5">
      <c r="A1760">
        <v>0</v>
      </c>
      <c r="B1760">
        <v>0</v>
      </c>
    </row>
    <row r="1761" spans="1:2" ht="12.5">
      <c r="A1761">
        <v>0</v>
      </c>
      <c r="B1761">
        <v>0</v>
      </c>
    </row>
    <row r="1762" spans="1:2" ht="12.5">
      <c r="A1762">
        <v>0</v>
      </c>
      <c r="B1762">
        <v>0</v>
      </c>
    </row>
    <row r="1763" spans="1:2" ht="12.5">
      <c r="A1763">
        <v>0</v>
      </c>
      <c r="B1763">
        <v>0</v>
      </c>
    </row>
    <row r="1764" spans="1:2" ht="12.5">
      <c r="A1764">
        <v>0</v>
      </c>
      <c r="B1764">
        <v>0</v>
      </c>
    </row>
    <row r="1765" spans="1:2" ht="12.5">
      <c r="A1765">
        <v>0</v>
      </c>
      <c r="B1765">
        <v>0</v>
      </c>
    </row>
    <row r="1766" spans="1:2" ht="12.5">
      <c r="A1766">
        <v>0</v>
      </c>
      <c r="B1766">
        <v>0</v>
      </c>
    </row>
    <row r="1767" spans="1:2" ht="12.5">
      <c r="A1767">
        <v>0</v>
      </c>
      <c r="B1767">
        <v>0</v>
      </c>
    </row>
    <row r="1768" spans="1:2" ht="12.5">
      <c r="A1768">
        <v>0</v>
      </c>
      <c r="B1768">
        <v>0</v>
      </c>
    </row>
    <row r="1769" spans="1:2" ht="12.5">
      <c r="A1769">
        <v>0</v>
      </c>
      <c r="B1769">
        <v>0</v>
      </c>
    </row>
    <row r="1770" spans="1:2" ht="12.5">
      <c r="A1770">
        <v>0</v>
      </c>
      <c r="B1770">
        <v>0</v>
      </c>
    </row>
    <row r="1771" spans="1:2" ht="12.5">
      <c r="A1771">
        <v>0</v>
      </c>
      <c r="B1771">
        <v>0</v>
      </c>
    </row>
    <row r="1772" spans="1:2" ht="12.5">
      <c r="A1772">
        <v>0</v>
      </c>
      <c r="B1772">
        <v>0</v>
      </c>
    </row>
    <row r="1773" spans="1:2" ht="12.5">
      <c r="A1773">
        <v>0</v>
      </c>
      <c r="B1773">
        <v>0</v>
      </c>
    </row>
    <row r="1774" spans="1:2" ht="12.5">
      <c r="A1774">
        <v>0</v>
      </c>
      <c r="B1774">
        <v>0</v>
      </c>
    </row>
    <row r="1775" spans="1:2" ht="12.5">
      <c r="A1775">
        <v>0</v>
      </c>
      <c r="B1775">
        <v>0</v>
      </c>
    </row>
    <row r="1776" spans="1:2" ht="12.5">
      <c r="A1776">
        <v>0</v>
      </c>
      <c r="B1776">
        <v>0</v>
      </c>
    </row>
    <row r="1777" spans="1:2" ht="12.5">
      <c r="A1777">
        <v>0</v>
      </c>
      <c r="B1777">
        <v>0</v>
      </c>
    </row>
    <row r="1778" spans="1:2" ht="12.5">
      <c r="A1778">
        <v>0</v>
      </c>
      <c r="B1778">
        <v>0</v>
      </c>
    </row>
    <row r="1779" spans="1:2" ht="12.5">
      <c r="A1779">
        <v>0</v>
      </c>
      <c r="B1779">
        <v>0</v>
      </c>
    </row>
    <row r="1780" spans="1:2" ht="12.5">
      <c r="A1780">
        <v>0</v>
      </c>
      <c r="B1780">
        <v>0</v>
      </c>
    </row>
    <row r="1781" spans="1:2" ht="12.5">
      <c r="A1781">
        <v>0</v>
      </c>
      <c r="B1781">
        <v>0</v>
      </c>
    </row>
    <row r="1782" spans="1:2" ht="12.5">
      <c r="A1782">
        <v>0</v>
      </c>
      <c r="B1782">
        <v>0</v>
      </c>
    </row>
    <row r="1783" spans="1:2" ht="12.5">
      <c r="A1783">
        <v>0</v>
      </c>
      <c r="B1783">
        <v>0</v>
      </c>
    </row>
    <row r="1784" spans="1:2" ht="12.5">
      <c r="A1784">
        <v>0</v>
      </c>
      <c r="B1784">
        <v>0</v>
      </c>
    </row>
    <row r="1785" spans="1:2" ht="12.5">
      <c r="A1785">
        <v>0</v>
      </c>
      <c r="B1785">
        <v>0</v>
      </c>
    </row>
    <row r="1786" spans="1:2" ht="12.5">
      <c r="A1786">
        <v>0</v>
      </c>
      <c r="B1786">
        <v>0</v>
      </c>
    </row>
    <row r="1787" spans="1:2" ht="12.5">
      <c r="A1787">
        <v>0</v>
      </c>
      <c r="B1787">
        <v>0</v>
      </c>
    </row>
    <row r="1788" spans="1:2" ht="12.5">
      <c r="A1788">
        <v>0</v>
      </c>
      <c r="B1788">
        <v>0</v>
      </c>
    </row>
    <row r="1789" spans="1:2" ht="12.5">
      <c r="A1789">
        <v>0</v>
      </c>
      <c r="B1789">
        <v>0</v>
      </c>
    </row>
    <row r="1790" spans="1:2" ht="12.5">
      <c r="A1790">
        <v>0</v>
      </c>
      <c r="B1790">
        <v>0</v>
      </c>
    </row>
    <row r="1791" spans="1:2" ht="12.5">
      <c r="A1791">
        <v>0</v>
      </c>
      <c r="B1791">
        <v>0</v>
      </c>
    </row>
    <row r="1792" spans="1:2" ht="12.5">
      <c r="A1792">
        <v>0</v>
      </c>
      <c r="B1792">
        <v>0</v>
      </c>
    </row>
    <row r="1793" spans="1:2" ht="12.5">
      <c r="A1793">
        <v>0</v>
      </c>
      <c r="B1793">
        <v>0</v>
      </c>
    </row>
    <row r="1794" spans="1:2" ht="12.5">
      <c r="A1794">
        <v>0</v>
      </c>
      <c r="B1794">
        <v>0</v>
      </c>
    </row>
    <row r="1795" spans="1:2" ht="12.5">
      <c r="A1795">
        <v>0</v>
      </c>
      <c r="B1795">
        <v>0</v>
      </c>
    </row>
    <row r="1796" spans="1:2" ht="12.5">
      <c r="A1796">
        <v>0</v>
      </c>
      <c r="B1796">
        <v>0</v>
      </c>
    </row>
    <row r="1797" spans="1:2" ht="12.5">
      <c r="A1797">
        <v>0</v>
      </c>
      <c r="B1797">
        <v>0</v>
      </c>
    </row>
    <row r="1798" spans="1:2" ht="12.5">
      <c r="A1798">
        <v>0</v>
      </c>
      <c r="B1798">
        <v>0</v>
      </c>
    </row>
    <row r="1799" spans="1:2" ht="12.5">
      <c r="A1799">
        <v>0</v>
      </c>
      <c r="B1799">
        <v>0</v>
      </c>
    </row>
    <row r="1800" spans="1:2" ht="12.5">
      <c r="A1800">
        <v>0</v>
      </c>
      <c r="B1800">
        <v>0</v>
      </c>
    </row>
    <row r="1801" spans="1:2" ht="12.5">
      <c r="A1801">
        <v>0</v>
      </c>
      <c r="B1801">
        <v>0</v>
      </c>
    </row>
    <row r="1802" spans="1:2" ht="12.5">
      <c r="A1802">
        <v>0</v>
      </c>
      <c r="B1802">
        <v>0</v>
      </c>
    </row>
    <row r="1803" spans="1:2" ht="12.5">
      <c r="A1803">
        <v>0</v>
      </c>
      <c r="B1803">
        <v>0</v>
      </c>
    </row>
    <row r="1804" spans="1:2" ht="12.5">
      <c r="A1804">
        <v>0</v>
      </c>
      <c r="B1804">
        <v>0</v>
      </c>
    </row>
    <row r="1805" spans="1:2" ht="12.5">
      <c r="A1805">
        <v>0</v>
      </c>
      <c r="B1805">
        <v>0</v>
      </c>
    </row>
    <row r="1806" spans="1:2" ht="12.5">
      <c r="A1806">
        <v>0</v>
      </c>
      <c r="B1806">
        <v>0</v>
      </c>
    </row>
    <row r="1807" spans="1:2" ht="12.5">
      <c r="A1807">
        <v>0</v>
      </c>
      <c r="B1807">
        <v>0</v>
      </c>
    </row>
    <row r="1808" spans="1:2" ht="12.5">
      <c r="A1808">
        <v>0</v>
      </c>
      <c r="B1808">
        <v>0</v>
      </c>
    </row>
    <row r="1809" spans="1:2" ht="12.5">
      <c r="A1809">
        <v>0</v>
      </c>
      <c r="B1809">
        <v>0</v>
      </c>
    </row>
    <row r="1810" spans="1:2" ht="12.5">
      <c r="A1810">
        <v>0</v>
      </c>
      <c r="B1810">
        <v>0</v>
      </c>
    </row>
    <row r="1811" spans="1:2" ht="12.5">
      <c r="A1811">
        <v>0</v>
      </c>
      <c r="B1811">
        <v>0</v>
      </c>
    </row>
    <row r="1812" spans="1:2" ht="12.5">
      <c r="A1812">
        <v>0</v>
      </c>
      <c r="B1812">
        <v>0</v>
      </c>
    </row>
    <row r="1813" spans="1:2" ht="12.5">
      <c r="A1813">
        <v>0</v>
      </c>
      <c r="B1813">
        <v>0</v>
      </c>
    </row>
    <row r="1814" spans="1:2" ht="12.5">
      <c r="A1814">
        <v>0</v>
      </c>
      <c r="B1814">
        <v>0</v>
      </c>
    </row>
    <row r="1815" spans="1:2" ht="12.5">
      <c r="A1815">
        <v>0</v>
      </c>
      <c r="B1815">
        <v>0</v>
      </c>
    </row>
    <row r="1816" spans="1:2" ht="12.5">
      <c r="A1816">
        <v>0</v>
      </c>
      <c r="B1816">
        <v>0</v>
      </c>
    </row>
    <row r="1817" spans="1:2" ht="12.5">
      <c r="A1817">
        <v>0</v>
      </c>
      <c r="B1817">
        <v>0</v>
      </c>
    </row>
    <row r="1818" spans="1:2" ht="12.5">
      <c r="A1818">
        <v>0</v>
      </c>
      <c r="B1818">
        <v>0</v>
      </c>
    </row>
    <row r="1819" spans="1:2" ht="12.5">
      <c r="A1819">
        <v>0</v>
      </c>
      <c r="B1819">
        <v>0</v>
      </c>
    </row>
    <row r="1820" spans="1:2" ht="12.5">
      <c r="A1820">
        <v>0</v>
      </c>
      <c r="B1820">
        <v>0</v>
      </c>
    </row>
    <row r="1821" spans="1:2" ht="12.5">
      <c r="A1821">
        <v>0</v>
      </c>
      <c r="B1821">
        <v>0</v>
      </c>
    </row>
    <row r="1822" spans="1:2" ht="12.5">
      <c r="A1822">
        <v>0</v>
      </c>
      <c r="B1822">
        <v>0</v>
      </c>
    </row>
    <row r="1823" spans="1:2" ht="12.5">
      <c r="A1823">
        <v>0</v>
      </c>
      <c r="B1823">
        <v>0</v>
      </c>
    </row>
    <row r="1824" spans="1:2" ht="12.5">
      <c r="A1824">
        <v>0</v>
      </c>
      <c r="B1824">
        <v>0</v>
      </c>
    </row>
    <row r="1825" spans="1:2" ht="12.5">
      <c r="A1825">
        <v>0</v>
      </c>
      <c r="B1825">
        <v>0</v>
      </c>
    </row>
    <row r="1826" spans="1:2" ht="12.5">
      <c r="A1826">
        <v>0</v>
      </c>
      <c r="B1826">
        <v>0</v>
      </c>
    </row>
    <row r="1827" spans="1:2" ht="12.5">
      <c r="A1827">
        <v>0</v>
      </c>
      <c r="B1827">
        <v>0</v>
      </c>
    </row>
    <row r="1828" spans="1:2" ht="12.5">
      <c r="A1828">
        <v>0</v>
      </c>
      <c r="B1828">
        <v>0</v>
      </c>
    </row>
    <row r="1829" spans="1:2" ht="12.5">
      <c r="A1829">
        <v>0</v>
      </c>
      <c r="B1829">
        <v>0</v>
      </c>
    </row>
    <row r="1830" spans="1:2" ht="12.5">
      <c r="A1830">
        <v>0</v>
      </c>
      <c r="B1830">
        <v>0</v>
      </c>
    </row>
    <row r="1831" spans="1:2" ht="12.5">
      <c r="A1831">
        <v>0</v>
      </c>
      <c r="B1831">
        <v>0</v>
      </c>
    </row>
    <row r="1832" spans="1:2" ht="12.5">
      <c r="A1832">
        <v>0</v>
      </c>
      <c r="B1832">
        <v>0</v>
      </c>
    </row>
    <row r="1833" spans="1:2" ht="12.5">
      <c r="A1833">
        <v>0</v>
      </c>
      <c r="B1833">
        <v>0</v>
      </c>
    </row>
    <row r="1834" spans="1:2" ht="12.5">
      <c r="A1834">
        <v>0</v>
      </c>
      <c r="B1834">
        <v>0</v>
      </c>
    </row>
    <row r="1835" spans="1:2" ht="12.5">
      <c r="A1835">
        <v>0</v>
      </c>
      <c r="B1835">
        <v>0</v>
      </c>
    </row>
    <row r="1836" spans="1:2" ht="12.5">
      <c r="A1836">
        <v>0</v>
      </c>
      <c r="B1836">
        <v>0</v>
      </c>
    </row>
    <row r="1837" spans="1:2" ht="12.5">
      <c r="A1837">
        <v>0</v>
      </c>
      <c r="B1837">
        <v>0</v>
      </c>
    </row>
    <row r="1838" spans="1:2" ht="12.5">
      <c r="A1838">
        <v>0</v>
      </c>
      <c r="B1838">
        <v>0</v>
      </c>
    </row>
    <row r="1839" spans="1:2" ht="12.5">
      <c r="A1839">
        <v>0</v>
      </c>
      <c r="B1839">
        <v>0</v>
      </c>
    </row>
    <row r="1840" spans="1:2" ht="12.5">
      <c r="A1840">
        <v>0</v>
      </c>
      <c r="B1840">
        <v>0</v>
      </c>
    </row>
    <row r="1841" spans="1:2" ht="12.5">
      <c r="A1841">
        <v>0</v>
      </c>
      <c r="B1841">
        <v>0</v>
      </c>
    </row>
    <row r="1842" spans="1:2" ht="12.5">
      <c r="A1842">
        <v>0</v>
      </c>
      <c r="B1842">
        <v>0</v>
      </c>
    </row>
    <row r="1843" spans="1:2" ht="12.5">
      <c r="A1843">
        <v>0</v>
      </c>
      <c r="B1843">
        <v>0</v>
      </c>
    </row>
    <row r="1844" spans="1:2" ht="12.5">
      <c r="A1844">
        <v>0</v>
      </c>
      <c r="B1844">
        <v>0</v>
      </c>
    </row>
    <row r="1845" spans="1:2" ht="12.5">
      <c r="A1845">
        <v>0</v>
      </c>
      <c r="B1845">
        <v>0</v>
      </c>
    </row>
    <row r="1846" spans="1:2" ht="12.5">
      <c r="A1846">
        <v>0</v>
      </c>
      <c r="B1846">
        <v>0</v>
      </c>
    </row>
    <row r="1847" spans="1:2" ht="12.5">
      <c r="A1847">
        <v>0</v>
      </c>
      <c r="B1847">
        <v>0</v>
      </c>
    </row>
    <row r="1848" spans="1:2" ht="12.5">
      <c r="A1848">
        <v>0</v>
      </c>
      <c r="B1848">
        <v>0</v>
      </c>
    </row>
    <row r="1849" spans="1:2" ht="12.5">
      <c r="A1849">
        <v>0</v>
      </c>
      <c r="B1849">
        <v>0</v>
      </c>
    </row>
    <row r="1850" spans="1:2" ht="12.5">
      <c r="A1850">
        <v>0</v>
      </c>
      <c r="B1850">
        <v>0</v>
      </c>
    </row>
    <row r="1851" spans="1:2" ht="12.5">
      <c r="A1851">
        <v>0</v>
      </c>
      <c r="B1851">
        <v>0</v>
      </c>
    </row>
    <row r="1852" spans="1:2" ht="12.5">
      <c r="A1852">
        <v>0</v>
      </c>
      <c r="B1852">
        <v>0</v>
      </c>
    </row>
    <row r="1853" spans="1:2" ht="12.5">
      <c r="A1853">
        <v>0</v>
      </c>
      <c r="B1853">
        <v>0</v>
      </c>
    </row>
    <row r="1854" spans="1:2" ht="12.5">
      <c r="A1854">
        <v>0</v>
      </c>
      <c r="B1854">
        <v>0</v>
      </c>
    </row>
    <row r="1855" spans="1:2" ht="12.5">
      <c r="A1855">
        <v>0</v>
      </c>
      <c r="B1855">
        <v>0</v>
      </c>
    </row>
    <row r="1856" spans="1:2" ht="12.5">
      <c r="A1856">
        <v>0</v>
      </c>
      <c r="B1856">
        <v>0</v>
      </c>
    </row>
    <row r="1857" spans="1:2" ht="12.5">
      <c r="A1857">
        <v>0</v>
      </c>
      <c r="B1857">
        <v>0</v>
      </c>
    </row>
    <row r="1858" spans="1:2" ht="12.5">
      <c r="A1858">
        <v>0</v>
      </c>
      <c r="B1858">
        <v>0</v>
      </c>
    </row>
    <row r="1859" spans="1:2" ht="12.5">
      <c r="A1859">
        <v>0</v>
      </c>
      <c r="B1859">
        <v>0</v>
      </c>
    </row>
    <row r="1860" spans="1:2" ht="12.5">
      <c r="A1860">
        <v>0</v>
      </c>
      <c r="B1860">
        <v>0</v>
      </c>
    </row>
    <row r="1861" spans="1:2" ht="12.5">
      <c r="A1861">
        <v>0</v>
      </c>
      <c r="B1861">
        <v>0</v>
      </c>
    </row>
    <row r="1862" spans="1:2" ht="12.5">
      <c r="A1862">
        <v>0</v>
      </c>
      <c r="B1862">
        <v>0</v>
      </c>
    </row>
    <row r="1863" spans="1:2" ht="12.5">
      <c r="A1863">
        <v>0</v>
      </c>
      <c r="B1863">
        <v>0</v>
      </c>
    </row>
    <row r="1864" spans="1:2" ht="12.5">
      <c r="A1864">
        <v>0</v>
      </c>
      <c r="B1864">
        <v>0</v>
      </c>
    </row>
    <row r="1865" spans="1:2" ht="12.5">
      <c r="A1865">
        <v>0</v>
      </c>
      <c r="B1865">
        <v>0</v>
      </c>
    </row>
    <row r="1866" spans="1:2" ht="12.5">
      <c r="A1866">
        <v>0</v>
      </c>
      <c r="B1866">
        <v>0</v>
      </c>
    </row>
    <row r="1867" spans="1:2" ht="12.5">
      <c r="A1867">
        <v>0</v>
      </c>
      <c r="B1867">
        <v>0</v>
      </c>
    </row>
    <row r="1868" spans="1:2" ht="12.5">
      <c r="A1868">
        <v>0</v>
      </c>
      <c r="B1868">
        <v>0</v>
      </c>
    </row>
    <row r="1869" spans="1:2" ht="12.5">
      <c r="A1869">
        <v>0</v>
      </c>
      <c r="B1869">
        <v>0</v>
      </c>
    </row>
    <row r="1870" spans="1:2" ht="12.5">
      <c r="A1870">
        <v>0</v>
      </c>
      <c r="B1870">
        <v>0</v>
      </c>
    </row>
    <row r="1871" spans="1:2" ht="12.5">
      <c r="A1871">
        <v>0</v>
      </c>
      <c r="B1871">
        <v>0</v>
      </c>
    </row>
    <row r="1872" spans="1:2" ht="12.5">
      <c r="A1872">
        <v>0</v>
      </c>
      <c r="B1872">
        <v>0</v>
      </c>
    </row>
    <row r="1873" spans="1:2" ht="12.5">
      <c r="A1873">
        <v>0</v>
      </c>
      <c r="B1873">
        <v>0</v>
      </c>
    </row>
    <row r="1874" spans="1:2" ht="12.5">
      <c r="A1874">
        <v>0</v>
      </c>
      <c r="B1874">
        <v>0</v>
      </c>
    </row>
    <row r="1875" spans="1:2" ht="12.5">
      <c r="A1875">
        <v>0</v>
      </c>
      <c r="B1875">
        <v>0</v>
      </c>
    </row>
    <row r="1876" spans="1:2" ht="12.5">
      <c r="A1876">
        <v>0</v>
      </c>
      <c r="B1876">
        <v>0</v>
      </c>
    </row>
    <row r="1877" spans="1:2" ht="12.5">
      <c r="A1877">
        <v>0</v>
      </c>
      <c r="B1877">
        <v>0</v>
      </c>
    </row>
    <row r="1878" spans="1:2" ht="12.5">
      <c r="A1878">
        <v>0</v>
      </c>
      <c r="B1878">
        <v>0</v>
      </c>
    </row>
    <row r="1879" spans="1:2" ht="12.5">
      <c r="A1879">
        <v>0</v>
      </c>
      <c r="B1879">
        <v>0</v>
      </c>
    </row>
    <row r="1880" spans="1:2" ht="12.5">
      <c r="A1880">
        <v>0</v>
      </c>
      <c r="B1880">
        <v>0</v>
      </c>
    </row>
    <row r="1881" spans="1:2" ht="12.5">
      <c r="A1881">
        <v>0</v>
      </c>
      <c r="B1881">
        <v>0</v>
      </c>
    </row>
    <row r="1882" spans="1:2" ht="12.5">
      <c r="A1882">
        <v>0</v>
      </c>
      <c r="B1882">
        <v>0</v>
      </c>
    </row>
    <row r="1883" spans="1:2" ht="12.5">
      <c r="A1883">
        <v>0</v>
      </c>
      <c r="B1883">
        <v>0</v>
      </c>
    </row>
    <row r="1884" spans="1:2" ht="12.5">
      <c r="A1884">
        <v>0</v>
      </c>
      <c r="B1884">
        <v>0</v>
      </c>
    </row>
    <row r="1885" spans="1:2" ht="12.5">
      <c r="A1885">
        <v>0</v>
      </c>
      <c r="B1885">
        <v>0</v>
      </c>
    </row>
    <row r="1886" spans="1:2" ht="12.5">
      <c r="A1886">
        <v>0</v>
      </c>
      <c r="B1886">
        <v>0</v>
      </c>
    </row>
    <row r="1887" spans="1:2" ht="12.5">
      <c r="A1887">
        <v>0</v>
      </c>
      <c r="B1887">
        <v>0</v>
      </c>
    </row>
    <row r="1888" spans="1:2" ht="12.5">
      <c r="A1888">
        <v>0</v>
      </c>
      <c r="B1888">
        <v>0</v>
      </c>
    </row>
    <row r="1889" spans="1:2" ht="12.5">
      <c r="A1889">
        <v>0</v>
      </c>
      <c r="B1889">
        <v>0</v>
      </c>
    </row>
    <row r="1890" spans="1:2" ht="12.5">
      <c r="A1890">
        <v>0</v>
      </c>
      <c r="B1890">
        <v>0</v>
      </c>
    </row>
    <row r="1891" spans="1:2" ht="12.5">
      <c r="A1891">
        <v>0</v>
      </c>
      <c r="B1891">
        <v>0</v>
      </c>
    </row>
    <row r="1892" spans="1:2" ht="12.5">
      <c r="A1892">
        <v>0</v>
      </c>
      <c r="B1892">
        <v>0</v>
      </c>
    </row>
    <row r="1893" spans="1:2" ht="12.5">
      <c r="A1893">
        <v>0</v>
      </c>
      <c r="B1893">
        <v>0</v>
      </c>
    </row>
    <row r="1894" spans="1:2" ht="12.5">
      <c r="A1894">
        <v>0</v>
      </c>
      <c r="B1894">
        <v>0</v>
      </c>
    </row>
    <row r="1895" spans="1:2" ht="12.5">
      <c r="A1895">
        <v>0</v>
      </c>
      <c r="B1895">
        <v>0</v>
      </c>
    </row>
    <row r="1896" spans="1:2" ht="12.5">
      <c r="A1896">
        <v>0</v>
      </c>
      <c r="B1896">
        <v>0</v>
      </c>
    </row>
    <row r="1897" spans="1:2" ht="12.5">
      <c r="A1897">
        <v>0</v>
      </c>
      <c r="B1897">
        <v>0</v>
      </c>
    </row>
    <row r="1898" spans="1:2" ht="12.5">
      <c r="A1898">
        <v>0</v>
      </c>
      <c r="B1898">
        <v>0</v>
      </c>
    </row>
    <row r="1899" spans="1:2" ht="12.5">
      <c r="A1899">
        <v>0</v>
      </c>
      <c r="B1899">
        <v>0</v>
      </c>
    </row>
    <row r="1900" spans="1:2" ht="12.5">
      <c r="A1900">
        <v>0</v>
      </c>
      <c r="B1900">
        <v>0</v>
      </c>
    </row>
    <row r="1901" spans="1:2" ht="12.5">
      <c r="A1901">
        <v>0</v>
      </c>
      <c r="B1901">
        <v>0</v>
      </c>
    </row>
    <row r="1902" spans="1:2" ht="12.5">
      <c r="A1902">
        <v>0</v>
      </c>
      <c r="B1902">
        <v>0</v>
      </c>
    </row>
    <row r="1903" spans="1:2" ht="12.5">
      <c r="A1903">
        <v>0</v>
      </c>
      <c r="B1903">
        <v>0</v>
      </c>
    </row>
    <row r="1904" spans="1:2" ht="12.5">
      <c r="A1904">
        <v>0</v>
      </c>
      <c r="B1904">
        <v>0</v>
      </c>
    </row>
    <row r="1905" spans="1:2" ht="12.5">
      <c r="A1905">
        <v>0</v>
      </c>
      <c r="B1905">
        <v>0</v>
      </c>
    </row>
    <row r="1906" spans="1:2" ht="12.5">
      <c r="A1906">
        <v>0</v>
      </c>
      <c r="B1906">
        <v>0</v>
      </c>
    </row>
    <row r="1907" spans="1:2" ht="12.5">
      <c r="A1907">
        <v>0</v>
      </c>
      <c r="B1907">
        <v>0</v>
      </c>
    </row>
    <row r="1908" spans="1:2" ht="12.5">
      <c r="A1908">
        <v>0</v>
      </c>
      <c r="B1908">
        <v>0</v>
      </c>
    </row>
    <row r="1909" spans="1:2" ht="12.5">
      <c r="A1909">
        <v>0</v>
      </c>
      <c r="B1909">
        <v>0</v>
      </c>
    </row>
    <row r="1910" spans="1:2" ht="12.5">
      <c r="A1910">
        <v>0</v>
      </c>
      <c r="B1910">
        <v>0</v>
      </c>
    </row>
    <row r="1911" spans="1:2" ht="12.5">
      <c r="A1911">
        <v>0</v>
      </c>
      <c r="B1911">
        <v>0</v>
      </c>
    </row>
    <row r="1912" spans="1:2" ht="12.5">
      <c r="A1912">
        <v>0</v>
      </c>
      <c r="B1912">
        <v>0</v>
      </c>
    </row>
    <row r="1913" spans="1:2" ht="12.5">
      <c r="A1913">
        <v>0</v>
      </c>
      <c r="B1913">
        <v>0</v>
      </c>
    </row>
    <row r="1914" spans="1:2" ht="12.5">
      <c r="A1914">
        <v>0</v>
      </c>
      <c r="B1914">
        <v>0</v>
      </c>
    </row>
    <row r="1915" spans="1:2" ht="12.5">
      <c r="A1915">
        <v>0</v>
      </c>
      <c r="B1915">
        <v>0</v>
      </c>
    </row>
    <row r="1916" spans="1:2" ht="12.5">
      <c r="A1916">
        <v>0</v>
      </c>
      <c r="B1916">
        <v>0</v>
      </c>
    </row>
    <row r="1917" spans="1:2" ht="12.5">
      <c r="A1917">
        <v>0</v>
      </c>
      <c r="B1917">
        <v>0</v>
      </c>
    </row>
    <row r="1918" spans="1:2" ht="12.5">
      <c r="A1918">
        <v>0</v>
      </c>
      <c r="B1918">
        <v>0</v>
      </c>
    </row>
    <row r="1919" spans="1:2" ht="12.5">
      <c r="A1919">
        <v>0</v>
      </c>
      <c r="B1919">
        <v>0</v>
      </c>
    </row>
    <row r="1920" spans="1:2" ht="12.5">
      <c r="A1920">
        <v>0</v>
      </c>
      <c r="B1920">
        <v>0</v>
      </c>
    </row>
    <row r="1921" spans="1:2" ht="12.5">
      <c r="A1921">
        <v>0</v>
      </c>
      <c r="B1921">
        <v>0</v>
      </c>
    </row>
    <row r="1922" spans="1:2" ht="12.5">
      <c r="A1922">
        <v>0</v>
      </c>
      <c r="B1922">
        <v>0</v>
      </c>
    </row>
    <row r="1923" spans="1:2" ht="12.5">
      <c r="A1923">
        <v>0</v>
      </c>
      <c r="B1923">
        <v>0</v>
      </c>
    </row>
    <row r="1924" spans="1:2" ht="12.5">
      <c r="A1924">
        <v>0</v>
      </c>
      <c r="B1924">
        <v>0</v>
      </c>
    </row>
    <row r="1925" spans="1:2" ht="12.5">
      <c r="A1925">
        <v>0</v>
      </c>
      <c r="B1925">
        <v>0</v>
      </c>
    </row>
    <row r="1926" spans="1:2" ht="12.5">
      <c r="A1926">
        <v>0</v>
      </c>
      <c r="B1926">
        <v>0</v>
      </c>
    </row>
    <row r="1927" spans="1:2" ht="12.5">
      <c r="A1927">
        <v>0</v>
      </c>
      <c r="B1927">
        <v>0</v>
      </c>
    </row>
    <row r="1928" spans="1:2" ht="12.5">
      <c r="A1928">
        <v>0</v>
      </c>
      <c r="B1928">
        <v>0</v>
      </c>
    </row>
    <row r="1929" spans="1:2" ht="12.5">
      <c r="A1929">
        <v>0</v>
      </c>
      <c r="B1929">
        <v>0</v>
      </c>
    </row>
    <row r="1930" spans="1:2" ht="12.5">
      <c r="A1930">
        <v>0</v>
      </c>
      <c r="B1930">
        <v>0</v>
      </c>
    </row>
    <row r="1931" spans="1:2" ht="12.5">
      <c r="A1931">
        <v>0</v>
      </c>
      <c r="B1931">
        <v>0</v>
      </c>
    </row>
    <row r="1932" spans="1:2" ht="12.5">
      <c r="A1932">
        <v>0</v>
      </c>
      <c r="B1932">
        <v>0</v>
      </c>
    </row>
    <row r="1933" spans="1:2" ht="12.5">
      <c r="A1933">
        <v>0</v>
      </c>
      <c r="B1933">
        <v>0</v>
      </c>
    </row>
    <row r="1934" spans="1:2" ht="12.5">
      <c r="A1934">
        <v>0</v>
      </c>
      <c r="B1934">
        <v>0</v>
      </c>
    </row>
    <row r="1935" spans="1:2" ht="12.5">
      <c r="A1935">
        <v>0</v>
      </c>
      <c r="B1935">
        <v>0</v>
      </c>
    </row>
    <row r="1936" spans="1:2" ht="12.5">
      <c r="A1936">
        <v>0</v>
      </c>
      <c r="B1936">
        <v>0</v>
      </c>
    </row>
    <row r="1937" spans="1:2" ht="12.5">
      <c r="A1937">
        <v>0</v>
      </c>
      <c r="B1937">
        <v>0</v>
      </c>
    </row>
    <row r="1938" spans="1:2" ht="12.5">
      <c r="A1938">
        <v>0</v>
      </c>
      <c r="B1938">
        <v>0</v>
      </c>
    </row>
    <row r="1939" spans="1:2" ht="12.5">
      <c r="A1939">
        <v>0</v>
      </c>
      <c r="B1939">
        <v>0</v>
      </c>
    </row>
    <row r="1940" spans="1:2" ht="12.5">
      <c r="A1940">
        <v>0</v>
      </c>
      <c r="B1940">
        <v>0</v>
      </c>
    </row>
    <row r="1941" spans="1:2" ht="12.5">
      <c r="A1941">
        <v>0</v>
      </c>
      <c r="B1941">
        <v>0</v>
      </c>
    </row>
    <row r="1942" spans="1:2" ht="12.5">
      <c r="A1942">
        <v>0</v>
      </c>
      <c r="B1942">
        <v>0</v>
      </c>
    </row>
    <row r="1943" spans="1:2" ht="12.5">
      <c r="A1943">
        <v>0</v>
      </c>
      <c r="B1943">
        <v>0</v>
      </c>
    </row>
    <row r="1944" spans="1:2" ht="12.5">
      <c r="A1944">
        <v>0</v>
      </c>
      <c r="B1944">
        <v>0</v>
      </c>
    </row>
    <row r="1945" spans="1:2" ht="12.5">
      <c r="A1945">
        <v>0</v>
      </c>
      <c r="B1945">
        <v>0</v>
      </c>
    </row>
    <row r="1946" spans="1:2" ht="12.5">
      <c r="A1946">
        <v>0</v>
      </c>
      <c r="B1946">
        <v>0</v>
      </c>
    </row>
    <row r="1947" spans="1:2" ht="12.5">
      <c r="A1947">
        <v>0</v>
      </c>
      <c r="B1947">
        <v>0</v>
      </c>
    </row>
    <row r="1948" spans="1:2" ht="12.5">
      <c r="A1948">
        <v>0</v>
      </c>
      <c r="B1948">
        <v>0</v>
      </c>
    </row>
    <row r="1949" spans="1:2" ht="12.5">
      <c r="A1949">
        <v>0</v>
      </c>
      <c r="B1949">
        <v>0</v>
      </c>
    </row>
    <row r="1950" spans="1:2" ht="12.5">
      <c r="A1950">
        <v>0</v>
      </c>
      <c r="B1950">
        <v>0</v>
      </c>
    </row>
    <row r="1951" spans="1:2" ht="12.5">
      <c r="A1951">
        <v>0</v>
      </c>
      <c r="B1951">
        <v>0</v>
      </c>
    </row>
    <row r="1952" spans="1:2" ht="12.5">
      <c r="A1952">
        <v>0</v>
      </c>
      <c r="B1952">
        <v>0</v>
      </c>
    </row>
    <row r="1953" spans="1:2" ht="12.5">
      <c r="A1953">
        <v>0</v>
      </c>
      <c r="B1953">
        <v>0</v>
      </c>
    </row>
    <row r="1954" spans="1:2" ht="12.5">
      <c r="A1954">
        <v>0</v>
      </c>
      <c r="B1954">
        <v>0</v>
      </c>
    </row>
    <row r="1955" spans="1:2" ht="12.5">
      <c r="A1955">
        <v>0</v>
      </c>
      <c r="B1955">
        <v>0</v>
      </c>
    </row>
    <row r="1956" spans="1:2" ht="12.5">
      <c r="A1956">
        <v>0</v>
      </c>
      <c r="B1956">
        <v>0</v>
      </c>
    </row>
    <row r="1957" spans="1:2" ht="12.5">
      <c r="A1957">
        <v>0</v>
      </c>
      <c r="B1957">
        <v>0</v>
      </c>
    </row>
    <row r="1958" spans="1:2" ht="12.5">
      <c r="A1958">
        <v>0</v>
      </c>
      <c r="B1958">
        <v>0</v>
      </c>
    </row>
    <row r="1959" spans="1:2" ht="12.5">
      <c r="A1959">
        <v>0</v>
      </c>
      <c r="B1959">
        <v>0</v>
      </c>
    </row>
    <row r="1960" spans="1:2" ht="12.5">
      <c r="A1960">
        <v>0</v>
      </c>
      <c r="B1960">
        <v>0</v>
      </c>
    </row>
    <row r="1961" spans="1:2" ht="12.5">
      <c r="A1961">
        <v>0</v>
      </c>
      <c r="B1961">
        <v>0</v>
      </c>
    </row>
    <row r="1962" spans="1:2" ht="12.5">
      <c r="A1962">
        <v>0</v>
      </c>
      <c r="B1962">
        <v>0</v>
      </c>
    </row>
    <row r="1963" spans="1:2" ht="12.5">
      <c r="A1963">
        <v>0</v>
      </c>
      <c r="B1963">
        <v>0</v>
      </c>
    </row>
    <row r="1964" spans="1:2" ht="12.5">
      <c r="A1964">
        <v>0</v>
      </c>
      <c r="B1964">
        <v>0</v>
      </c>
    </row>
    <row r="1965" spans="1:2" ht="12.5">
      <c r="A1965">
        <v>0</v>
      </c>
      <c r="B1965">
        <v>0</v>
      </c>
    </row>
    <row r="1966" spans="1:2" ht="12.5">
      <c r="A1966">
        <v>0</v>
      </c>
      <c r="B1966">
        <v>0</v>
      </c>
    </row>
    <row r="1967" spans="1:2" ht="12.5">
      <c r="A1967">
        <v>0</v>
      </c>
      <c r="B1967">
        <v>0</v>
      </c>
    </row>
    <row r="1968" spans="1:2" ht="12.5">
      <c r="A1968">
        <v>0</v>
      </c>
      <c r="B1968">
        <v>0</v>
      </c>
    </row>
    <row r="1969" spans="1:2" ht="12.5">
      <c r="A1969">
        <v>0</v>
      </c>
      <c r="B1969">
        <v>0</v>
      </c>
    </row>
    <row r="1970" spans="1:2" ht="12.5">
      <c r="A1970">
        <v>0</v>
      </c>
      <c r="B1970">
        <v>0</v>
      </c>
    </row>
    <row r="1971" spans="1:2" ht="12.5">
      <c r="A1971">
        <v>0</v>
      </c>
      <c r="B1971">
        <v>0</v>
      </c>
    </row>
    <row r="1972" spans="1:2" ht="12.5">
      <c r="A1972">
        <v>0</v>
      </c>
      <c r="B1972">
        <v>0</v>
      </c>
    </row>
    <row r="1973" spans="1:2" ht="12.5">
      <c r="A1973">
        <v>0</v>
      </c>
      <c r="B1973">
        <v>0</v>
      </c>
    </row>
    <row r="1974" spans="1:2" ht="12.5">
      <c r="A1974">
        <v>0</v>
      </c>
      <c r="B1974">
        <v>0</v>
      </c>
    </row>
    <row r="1975" spans="1:2" ht="12.5">
      <c r="A1975">
        <v>0</v>
      </c>
      <c r="B1975">
        <v>0</v>
      </c>
    </row>
    <row r="1976" spans="1:2" ht="12.5">
      <c r="A1976">
        <v>0</v>
      </c>
      <c r="B1976">
        <v>0</v>
      </c>
    </row>
    <row r="1977" spans="1:2" ht="12.5">
      <c r="A1977">
        <v>0</v>
      </c>
      <c r="B1977">
        <v>0</v>
      </c>
    </row>
    <row r="1978" spans="1:2" ht="12.5">
      <c r="A1978">
        <v>0</v>
      </c>
      <c r="B1978">
        <v>0</v>
      </c>
    </row>
    <row r="1979" spans="1:2" ht="12.5">
      <c r="A1979">
        <v>0</v>
      </c>
      <c r="B1979">
        <v>0</v>
      </c>
    </row>
    <row r="1980" spans="1:2" ht="12.5">
      <c r="A1980">
        <v>0</v>
      </c>
      <c r="B1980">
        <v>0</v>
      </c>
    </row>
    <row r="1981" spans="1:2" ht="12.5">
      <c r="A1981">
        <v>0</v>
      </c>
      <c r="B1981">
        <v>0</v>
      </c>
    </row>
    <row r="1982" spans="1:2" ht="12.5">
      <c r="A1982">
        <v>0</v>
      </c>
      <c r="B1982">
        <v>0</v>
      </c>
    </row>
    <row r="1983" spans="1:2" ht="12.5">
      <c r="A1983">
        <v>0</v>
      </c>
      <c r="B1983">
        <v>0</v>
      </c>
    </row>
    <row r="1984" spans="1:2" ht="12.5">
      <c r="A1984">
        <v>0</v>
      </c>
      <c r="B1984">
        <v>0</v>
      </c>
    </row>
    <row r="1985" spans="1:2" ht="12.5">
      <c r="A1985">
        <v>0</v>
      </c>
      <c r="B1985">
        <v>0</v>
      </c>
    </row>
    <row r="1986" spans="1:2" ht="12.5">
      <c r="A1986">
        <v>0</v>
      </c>
      <c r="B1986">
        <v>0</v>
      </c>
    </row>
    <row r="1987" spans="1:2" ht="12.5">
      <c r="A1987">
        <v>0</v>
      </c>
      <c r="B1987">
        <v>0</v>
      </c>
    </row>
    <row r="1988" spans="1:2" ht="12.5">
      <c r="A1988">
        <v>0</v>
      </c>
      <c r="B1988">
        <v>0</v>
      </c>
    </row>
    <row r="1989" spans="1:2" ht="12.5">
      <c r="A1989">
        <v>0</v>
      </c>
      <c r="B1989">
        <v>0</v>
      </c>
    </row>
    <row r="1990" spans="1:2" ht="12.5">
      <c r="A1990">
        <v>0</v>
      </c>
      <c r="B1990">
        <v>0</v>
      </c>
    </row>
    <row r="1991" spans="1:2" ht="12.5">
      <c r="A1991">
        <v>0</v>
      </c>
      <c r="B1991">
        <v>0</v>
      </c>
    </row>
    <row r="1992" spans="1:2" ht="12.5">
      <c r="A1992">
        <v>0</v>
      </c>
      <c r="B1992">
        <v>0</v>
      </c>
    </row>
    <row r="1993" spans="1:2" ht="12.5">
      <c r="A1993">
        <v>0</v>
      </c>
      <c r="B1993">
        <v>0</v>
      </c>
    </row>
    <row r="1994" spans="1:2" ht="12.5">
      <c r="A1994">
        <v>0</v>
      </c>
      <c r="B1994">
        <v>0</v>
      </c>
    </row>
    <row r="1995" spans="1:2" ht="12.5">
      <c r="A1995">
        <v>0</v>
      </c>
      <c r="B1995">
        <v>0</v>
      </c>
    </row>
    <row r="1996" spans="1:2" ht="12.5">
      <c r="A1996">
        <v>0</v>
      </c>
      <c r="B1996">
        <v>0</v>
      </c>
    </row>
    <row r="1997" spans="1:2" ht="12.5">
      <c r="A1997">
        <v>0</v>
      </c>
      <c r="B1997">
        <v>0</v>
      </c>
    </row>
    <row r="1998" spans="1:2" ht="12.5">
      <c r="A1998">
        <v>0</v>
      </c>
      <c r="B1998">
        <v>0</v>
      </c>
    </row>
    <row r="1999" spans="1:2" ht="12.5">
      <c r="A1999">
        <v>0</v>
      </c>
      <c r="B1999">
        <v>0</v>
      </c>
    </row>
    <row r="2000" spans="1:2" ht="12.5">
      <c r="A2000">
        <v>0</v>
      </c>
      <c r="B2000">
        <v>0</v>
      </c>
    </row>
    <row r="2001" spans="1:2" ht="12.5">
      <c r="A2001">
        <v>0</v>
      </c>
      <c r="B2001">
        <v>0</v>
      </c>
    </row>
    <row r="2002" spans="1:2" ht="12.5">
      <c r="A2002">
        <v>0</v>
      </c>
      <c r="B2002">
        <v>0</v>
      </c>
    </row>
    <row r="2003" spans="1:2" ht="12.5">
      <c r="A2003">
        <v>0</v>
      </c>
      <c r="B2003">
        <v>0</v>
      </c>
    </row>
    <row r="2004" spans="1:2" ht="12.5">
      <c r="A2004">
        <v>0</v>
      </c>
      <c r="B2004">
        <v>0</v>
      </c>
    </row>
    <row r="2005" spans="1:2" ht="12.5">
      <c r="A2005">
        <v>0</v>
      </c>
      <c r="B2005">
        <v>0</v>
      </c>
    </row>
    <row r="2006" spans="1:2" ht="12.5">
      <c r="A2006">
        <v>0</v>
      </c>
      <c r="B2006">
        <v>0</v>
      </c>
    </row>
    <row r="2007" spans="1:2" ht="12.5">
      <c r="A2007">
        <v>0</v>
      </c>
      <c r="B2007">
        <v>0</v>
      </c>
    </row>
    <row r="2008" spans="1:2" ht="12.5">
      <c r="A2008">
        <v>0</v>
      </c>
      <c r="B2008">
        <v>0</v>
      </c>
    </row>
    <row r="2009" spans="1:2" ht="12.5">
      <c r="A2009">
        <v>0</v>
      </c>
      <c r="B2009">
        <v>0</v>
      </c>
    </row>
    <row r="2010" spans="1:2" ht="12.5">
      <c r="A2010">
        <v>0</v>
      </c>
      <c r="B2010">
        <v>0</v>
      </c>
    </row>
    <row r="2011" spans="1:2" ht="12.5">
      <c r="A2011">
        <v>0</v>
      </c>
      <c r="B2011">
        <v>0</v>
      </c>
    </row>
    <row r="2012" spans="1:2" ht="12.5">
      <c r="A2012">
        <v>0</v>
      </c>
      <c r="B2012">
        <v>0</v>
      </c>
    </row>
    <row r="2013" spans="1:2" ht="12.5">
      <c r="A2013">
        <v>0</v>
      </c>
      <c r="B2013">
        <v>0</v>
      </c>
    </row>
    <row r="2014" spans="1:2" ht="12.5">
      <c r="A2014">
        <v>0</v>
      </c>
      <c r="B2014">
        <v>0</v>
      </c>
    </row>
    <row r="2015" spans="1:2" ht="12.5">
      <c r="A2015">
        <v>0</v>
      </c>
      <c r="B2015">
        <v>0</v>
      </c>
    </row>
    <row r="2016" spans="1:2" ht="12.5">
      <c r="A2016">
        <v>0</v>
      </c>
      <c r="B2016">
        <v>0</v>
      </c>
    </row>
    <row r="2017" spans="1:2" ht="12.5">
      <c r="A2017">
        <v>0</v>
      </c>
      <c r="B2017">
        <v>0</v>
      </c>
    </row>
    <row r="2018" spans="1:2" ht="12.5">
      <c r="A2018">
        <v>0</v>
      </c>
      <c r="B2018">
        <v>0</v>
      </c>
    </row>
    <row r="2019" spans="1:2" ht="12.5">
      <c r="A2019">
        <v>0</v>
      </c>
      <c r="B2019">
        <v>0</v>
      </c>
    </row>
    <row r="2020" spans="1:2" ht="12.5">
      <c r="A2020">
        <v>0</v>
      </c>
      <c r="B2020">
        <v>0</v>
      </c>
    </row>
    <row r="2021" spans="1:2" ht="12.5">
      <c r="A2021">
        <v>0</v>
      </c>
      <c r="B2021">
        <v>0</v>
      </c>
    </row>
    <row r="2022" spans="1:2" ht="12.5">
      <c r="A2022">
        <v>0</v>
      </c>
      <c r="B2022">
        <v>0</v>
      </c>
    </row>
    <row r="2023" spans="1:2" ht="12.5">
      <c r="A2023">
        <v>0</v>
      </c>
      <c r="B2023">
        <v>0</v>
      </c>
    </row>
    <row r="2024" spans="1:2" ht="12.5">
      <c r="A2024">
        <v>0</v>
      </c>
      <c r="B2024">
        <v>0</v>
      </c>
    </row>
    <row r="2025" spans="1:2" ht="12.5">
      <c r="A2025">
        <v>0</v>
      </c>
      <c r="B2025">
        <v>0</v>
      </c>
    </row>
    <row r="2026" spans="1:2" ht="12.5">
      <c r="A2026">
        <v>0</v>
      </c>
      <c r="B2026">
        <v>0</v>
      </c>
    </row>
    <row r="2027" spans="1:2" ht="12.5">
      <c r="A2027">
        <v>0</v>
      </c>
      <c r="B2027">
        <v>0</v>
      </c>
    </row>
    <row r="2028" spans="1:2" ht="12.5">
      <c r="A2028">
        <v>0</v>
      </c>
      <c r="B2028">
        <v>0</v>
      </c>
    </row>
    <row r="2029" spans="1:2" ht="12.5">
      <c r="A2029">
        <v>0</v>
      </c>
      <c r="B2029">
        <v>0</v>
      </c>
    </row>
    <row r="2030" spans="1:2" ht="12.5">
      <c r="A2030">
        <v>0</v>
      </c>
      <c r="B2030">
        <v>0</v>
      </c>
    </row>
    <row r="2031" spans="1:2" ht="12.5">
      <c r="A2031">
        <v>0</v>
      </c>
      <c r="B2031">
        <v>0</v>
      </c>
    </row>
    <row r="2032" spans="1:2" ht="12.5">
      <c r="A2032">
        <v>0</v>
      </c>
      <c r="B2032">
        <v>0</v>
      </c>
    </row>
    <row r="2033" spans="1:2" ht="12.5">
      <c r="A2033">
        <v>0</v>
      </c>
      <c r="B2033">
        <v>0</v>
      </c>
    </row>
    <row r="2034" spans="1:2" ht="12.5">
      <c r="A2034">
        <v>0</v>
      </c>
      <c r="B2034">
        <v>0</v>
      </c>
    </row>
    <row r="2035" spans="1:2" ht="12.5">
      <c r="A2035">
        <v>0</v>
      </c>
      <c r="B2035">
        <v>0</v>
      </c>
    </row>
    <row r="2036" spans="1:2" ht="12.5">
      <c r="A2036">
        <v>0</v>
      </c>
      <c r="B2036">
        <v>0</v>
      </c>
    </row>
    <row r="2037" spans="1:2" ht="12.5">
      <c r="A2037">
        <v>0</v>
      </c>
      <c r="B2037">
        <v>0</v>
      </c>
    </row>
    <row r="2038" spans="1:2" ht="12.5">
      <c r="A2038">
        <v>0</v>
      </c>
      <c r="B2038">
        <v>0</v>
      </c>
    </row>
    <row r="2039" spans="1:2" ht="12.5">
      <c r="A2039">
        <v>0</v>
      </c>
      <c r="B2039">
        <v>0</v>
      </c>
    </row>
    <row r="2040" spans="1:2" ht="12.5">
      <c r="A2040">
        <v>0</v>
      </c>
      <c r="B2040">
        <v>0</v>
      </c>
    </row>
    <row r="2041" spans="1:2" ht="12.5">
      <c r="A2041">
        <v>0</v>
      </c>
      <c r="B2041">
        <v>0</v>
      </c>
    </row>
    <row r="2042" spans="1:2" ht="12.5">
      <c r="A2042">
        <v>0</v>
      </c>
      <c r="B2042">
        <v>0</v>
      </c>
    </row>
    <row r="2043" spans="1:2" ht="12.5">
      <c r="A2043">
        <v>0</v>
      </c>
      <c r="B2043">
        <v>0</v>
      </c>
    </row>
    <row r="2044" spans="1:2" ht="12.5">
      <c r="A2044">
        <v>0</v>
      </c>
      <c r="B2044">
        <v>0</v>
      </c>
    </row>
    <row r="2045" spans="1:2" ht="12.5">
      <c r="A2045">
        <v>0</v>
      </c>
      <c r="B2045">
        <v>0</v>
      </c>
    </row>
    <row r="2046" spans="1:2" ht="12.5">
      <c r="A2046">
        <v>0</v>
      </c>
      <c r="B2046">
        <v>0</v>
      </c>
    </row>
    <row r="2047" spans="1:2" ht="12.5">
      <c r="A2047">
        <v>0</v>
      </c>
      <c r="B2047">
        <v>0</v>
      </c>
    </row>
    <row r="2048" spans="1:2" ht="12.5">
      <c r="A2048">
        <v>0</v>
      </c>
      <c r="B2048">
        <v>0</v>
      </c>
    </row>
    <row r="2049" spans="1:2" ht="12.5">
      <c r="A2049">
        <v>0</v>
      </c>
      <c r="B2049">
        <v>0</v>
      </c>
    </row>
    <row r="2050" spans="1:2" ht="12.5">
      <c r="A2050">
        <v>0</v>
      </c>
      <c r="B2050">
        <v>0</v>
      </c>
    </row>
    <row r="2051" spans="1:2" ht="12.5">
      <c r="A2051">
        <v>0</v>
      </c>
      <c r="B2051">
        <v>0</v>
      </c>
    </row>
    <row r="2052" spans="1:2" ht="12.5">
      <c r="A2052">
        <v>0</v>
      </c>
      <c r="B2052">
        <v>0</v>
      </c>
    </row>
    <row r="2053" spans="1:2" ht="12.5">
      <c r="A2053">
        <v>0</v>
      </c>
      <c r="B2053">
        <v>0</v>
      </c>
    </row>
    <row r="2054" spans="1:2" ht="12.5">
      <c r="A2054">
        <v>0</v>
      </c>
      <c r="B2054">
        <v>0</v>
      </c>
    </row>
    <row r="2055" spans="1:2" ht="12.5">
      <c r="A2055">
        <v>0</v>
      </c>
      <c r="B2055">
        <v>0</v>
      </c>
    </row>
    <row r="2056" spans="1:2" ht="12.5">
      <c r="A2056">
        <v>0</v>
      </c>
      <c r="B2056">
        <v>0</v>
      </c>
    </row>
    <row r="2057" spans="1:2" ht="12.5">
      <c r="A2057">
        <v>0</v>
      </c>
      <c r="B2057">
        <v>0</v>
      </c>
    </row>
    <row r="2058" spans="1:2" ht="12.5">
      <c r="A2058">
        <v>0</v>
      </c>
      <c r="B2058">
        <v>0</v>
      </c>
    </row>
    <row r="2059" spans="1:2" ht="12.5">
      <c r="A2059">
        <v>0</v>
      </c>
      <c r="B2059">
        <v>0</v>
      </c>
    </row>
    <row r="2060" spans="1:2" ht="12.5">
      <c r="A2060">
        <v>0</v>
      </c>
      <c r="B2060">
        <v>0</v>
      </c>
    </row>
    <row r="2061" spans="1:2" ht="12.5">
      <c r="A2061">
        <v>0</v>
      </c>
      <c r="B2061">
        <v>0</v>
      </c>
    </row>
    <row r="2062" spans="1:2" ht="12.5">
      <c r="A2062">
        <v>0</v>
      </c>
      <c r="B2062">
        <v>0</v>
      </c>
    </row>
    <row r="2063" spans="1:2" ht="12.5">
      <c r="A2063">
        <v>0</v>
      </c>
      <c r="B2063">
        <v>0</v>
      </c>
    </row>
    <row r="2064" spans="1:2" ht="12.5">
      <c r="A2064">
        <v>0</v>
      </c>
      <c r="B2064">
        <v>0</v>
      </c>
    </row>
    <row r="2065" spans="1:2" ht="12.5">
      <c r="A2065">
        <v>0</v>
      </c>
      <c r="B2065">
        <v>0</v>
      </c>
    </row>
    <row r="2066" spans="1:2" ht="12.5">
      <c r="A2066">
        <v>0</v>
      </c>
      <c r="B2066">
        <v>0</v>
      </c>
    </row>
    <row r="2067" spans="1:2" ht="12.5">
      <c r="A2067">
        <v>0</v>
      </c>
      <c r="B2067">
        <v>0</v>
      </c>
    </row>
    <row r="2068" spans="1:2" ht="12.5">
      <c r="A2068">
        <v>0</v>
      </c>
      <c r="B2068">
        <v>0</v>
      </c>
    </row>
    <row r="2069" spans="1:2" ht="12.5">
      <c r="A2069">
        <v>0</v>
      </c>
      <c r="B2069">
        <v>0</v>
      </c>
    </row>
    <row r="2070" spans="1:2" ht="12.5">
      <c r="A2070">
        <v>0</v>
      </c>
      <c r="B2070">
        <v>0</v>
      </c>
    </row>
    <row r="2071" spans="1:2" ht="12.5">
      <c r="A2071">
        <v>0</v>
      </c>
      <c r="B2071">
        <v>0</v>
      </c>
    </row>
    <row r="2072" spans="1:2" ht="12.5">
      <c r="A2072">
        <v>0</v>
      </c>
      <c r="B2072">
        <v>0</v>
      </c>
    </row>
    <row r="2073" spans="1:2" ht="12.5">
      <c r="A2073">
        <v>0</v>
      </c>
      <c r="B2073">
        <v>0</v>
      </c>
    </row>
    <row r="2074" spans="1:2" ht="12.5">
      <c r="A2074">
        <v>0</v>
      </c>
      <c r="B2074">
        <v>0</v>
      </c>
    </row>
    <row r="2075" spans="1:2" ht="12.5">
      <c r="A2075">
        <v>0</v>
      </c>
      <c r="B2075">
        <v>0</v>
      </c>
    </row>
    <row r="2076" spans="1:2" ht="12.5">
      <c r="A2076">
        <v>0</v>
      </c>
      <c r="B2076">
        <v>0</v>
      </c>
    </row>
    <row r="2077" spans="1:2" ht="12.5">
      <c r="A2077">
        <v>0</v>
      </c>
      <c r="B2077">
        <v>0</v>
      </c>
    </row>
    <row r="2078" spans="1:2" ht="12.5">
      <c r="A2078">
        <v>0</v>
      </c>
      <c r="B2078">
        <v>0</v>
      </c>
    </row>
    <row r="2079" spans="1:2" ht="12.5">
      <c r="A2079">
        <v>0</v>
      </c>
      <c r="B2079">
        <v>0</v>
      </c>
    </row>
    <row r="2080" spans="1:2" ht="12.5">
      <c r="A2080">
        <v>0</v>
      </c>
      <c r="B2080">
        <v>0</v>
      </c>
    </row>
    <row r="2081" spans="1:2" ht="12.5">
      <c r="A2081">
        <v>0</v>
      </c>
      <c r="B2081">
        <v>0</v>
      </c>
    </row>
    <row r="2082" spans="1:2" ht="12.5">
      <c r="A2082">
        <v>0</v>
      </c>
      <c r="B2082">
        <v>0</v>
      </c>
    </row>
    <row r="2083" spans="1:2" ht="12.5">
      <c r="A2083">
        <v>0</v>
      </c>
      <c r="B2083">
        <v>0</v>
      </c>
    </row>
    <row r="2084" spans="1:2" ht="12.5">
      <c r="A2084">
        <v>0</v>
      </c>
      <c r="B2084">
        <v>0</v>
      </c>
    </row>
    <row r="2085" spans="1:2" ht="12.5">
      <c r="A2085">
        <v>0</v>
      </c>
      <c r="B2085">
        <v>0</v>
      </c>
    </row>
    <row r="2086" spans="1:2" ht="12.5">
      <c r="A2086">
        <v>0</v>
      </c>
      <c r="B2086">
        <v>0</v>
      </c>
    </row>
    <row r="2087" spans="1:2" ht="12.5">
      <c r="A2087">
        <v>0</v>
      </c>
      <c r="B2087">
        <v>0</v>
      </c>
    </row>
    <row r="2088" spans="1:2" ht="12.5">
      <c r="A2088">
        <v>0</v>
      </c>
      <c r="B2088">
        <v>0</v>
      </c>
    </row>
    <row r="2089" spans="1:2" ht="12.5">
      <c r="A2089">
        <v>0</v>
      </c>
      <c r="B2089">
        <v>0</v>
      </c>
    </row>
    <row r="2090" spans="1:2" ht="12.5">
      <c r="A2090">
        <v>0</v>
      </c>
      <c r="B2090">
        <v>0</v>
      </c>
    </row>
    <row r="2091" spans="1:2" ht="12.5">
      <c r="A2091">
        <v>0</v>
      </c>
      <c r="B2091">
        <v>0</v>
      </c>
    </row>
    <row r="2092" spans="1:2" ht="12.5">
      <c r="A2092">
        <v>0</v>
      </c>
      <c r="B2092">
        <v>0</v>
      </c>
    </row>
    <row r="2093" spans="1:2" ht="12.5">
      <c r="A2093">
        <v>0</v>
      </c>
      <c r="B2093">
        <v>0</v>
      </c>
    </row>
    <row r="2094" spans="1:2" ht="12.5">
      <c r="A2094">
        <v>0</v>
      </c>
      <c r="B2094">
        <v>0</v>
      </c>
    </row>
    <row r="2095" spans="1:2" ht="12.5">
      <c r="A2095">
        <v>0</v>
      </c>
      <c r="B2095">
        <v>0</v>
      </c>
    </row>
    <row r="2096" spans="1:2" ht="12.5">
      <c r="A2096">
        <v>0</v>
      </c>
      <c r="B2096">
        <v>0</v>
      </c>
    </row>
    <row r="2097" spans="1:2" ht="12.5">
      <c r="A2097">
        <v>0</v>
      </c>
      <c r="B2097">
        <v>0</v>
      </c>
    </row>
    <row r="2098" spans="1:2" ht="12.5">
      <c r="A2098">
        <v>0</v>
      </c>
      <c r="B2098">
        <v>0</v>
      </c>
    </row>
    <row r="2099" spans="1:2" ht="12.5">
      <c r="A2099">
        <v>0</v>
      </c>
      <c r="B2099">
        <v>0</v>
      </c>
    </row>
    <row r="2100" spans="1:2" ht="12.5">
      <c r="A2100">
        <v>0</v>
      </c>
      <c r="B2100">
        <v>0</v>
      </c>
    </row>
    <row r="2101" spans="1:2" ht="12.5">
      <c r="A2101">
        <v>0</v>
      </c>
      <c r="B2101">
        <v>0</v>
      </c>
    </row>
    <row r="2102" spans="1:2" ht="12.5">
      <c r="A2102">
        <v>0</v>
      </c>
      <c r="B2102">
        <v>0</v>
      </c>
    </row>
    <row r="2103" spans="1:2" ht="12.5">
      <c r="A2103">
        <v>0</v>
      </c>
      <c r="B2103">
        <v>0</v>
      </c>
    </row>
    <row r="2104" spans="1:2" ht="12.5">
      <c r="A2104">
        <v>0</v>
      </c>
      <c r="B2104">
        <v>0</v>
      </c>
    </row>
    <row r="2105" spans="1:2" ht="12.5">
      <c r="A2105">
        <v>0</v>
      </c>
      <c r="B2105">
        <v>0</v>
      </c>
    </row>
    <row r="2106" spans="1:2" ht="12.5">
      <c r="A2106">
        <v>0</v>
      </c>
      <c r="B2106">
        <v>0</v>
      </c>
    </row>
    <row r="2107" spans="1:2" ht="12.5">
      <c r="A2107">
        <v>0</v>
      </c>
      <c r="B2107">
        <v>0</v>
      </c>
    </row>
    <row r="2108" spans="1:2" ht="12.5">
      <c r="A2108">
        <v>0</v>
      </c>
      <c r="B2108">
        <v>0</v>
      </c>
    </row>
    <row r="2109" spans="1:2" ht="12.5">
      <c r="A2109">
        <v>0</v>
      </c>
      <c r="B2109">
        <v>0</v>
      </c>
    </row>
    <row r="2110" spans="1:2" ht="12.5">
      <c r="A2110">
        <v>0</v>
      </c>
      <c r="B2110">
        <v>0</v>
      </c>
    </row>
    <row r="2111" spans="1:2" ht="12.5">
      <c r="A2111">
        <v>0</v>
      </c>
      <c r="B2111">
        <v>0</v>
      </c>
    </row>
    <row r="2112" spans="1:2" ht="12.5">
      <c r="A2112">
        <v>0</v>
      </c>
      <c r="B2112">
        <v>0</v>
      </c>
    </row>
    <row r="2113" spans="1:2" ht="12.5">
      <c r="A2113">
        <v>0</v>
      </c>
      <c r="B2113">
        <v>0</v>
      </c>
    </row>
    <row r="2114" spans="1:2" ht="12.5">
      <c r="A2114">
        <v>0</v>
      </c>
      <c r="B2114">
        <v>0</v>
      </c>
    </row>
    <row r="2115" spans="1:2" ht="12.5">
      <c r="A2115">
        <v>0</v>
      </c>
      <c r="B2115">
        <v>0</v>
      </c>
    </row>
    <row r="2116" spans="1:2" ht="12.5">
      <c r="A2116">
        <v>0</v>
      </c>
      <c r="B2116">
        <v>0</v>
      </c>
    </row>
    <row r="2117" spans="1:2" ht="12.5">
      <c r="A2117">
        <v>0</v>
      </c>
      <c r="B2117">
        <v>0</v>
      </c>
    </row>
    <row r="2118" spans="1:2" ht="12.5">
      <c r="A2118">
        <v>0</v>
      </c>
      <c r="B2118">
        <v>0</v>
      </c>
    </row>
    <row r="2119" spans="1:2" ht="12.5">
      <c r="A2119">
        <v>0</v>
      </c>
      <c r="B2119">
        <v>0</v>
      </c>
    </row>
    <row r="2120" spans="1:2" ht="12.5">
      <c r="A2120">
        <v>0</v>
      </c>
      <c r="B2120">
        <v>0</v>
      </c>
    </row>
    <row r="2121" spans="1:2" ht="12.5">
      <c r="A2121">
        <v>0</v>
      </c>
      <c r="B2121">
        <v>0</v>
      </c>
    </row>
    <row r="2122" spans="1:2" ht="12.5">
      <c r="A2122">
        <v>0</v>
      </c>
      <c r="B2122">
        <v>0</v>
      </c>
    </row>
    <row r="2123" spans="1:2" ht="12.5">
      <c r="A2123">
        <v>0</v>
      </c>
      <c r="B2123">
        <v>0</v>
      </c>
    </row>
    <row r="2124" spans="1:2" ht="12.5">
      <c r="A2124">
        <v>0</v>
      </c>
      <c r="B2124">
        <v>0</v>
      </c>
    </row>
    <row r="2125" spans="1:2" ht="12.5">
      <c r="A2125">
        <v>0</v>
      </c>
      <c r="B2125">
        <v>0</v>
      </c>
    </row>
    <row r="2126" spans="1:2" ht="12.5">
      <c r="A2126">
        <v>0</v>
      </c>
      <c r="B2126">
        <v>0</v>
      </c>
    </row>
    <row r="2127" spans="1:2" ht="12.5">
      <c r="A2127">
        <v>0</v>
      </c>
      <c r="B2127">
        <v>0</v>
      </c>
    </row>
    <row r="2128" spans="1:2" ht="12.5">
      <c r="A2128">
        <v>0</v>
      </c>
      <c r="B2128">
        <v>0</v>
      </c>
    </row>
    <row r="2129" spans="1:2" ht="12.5">
      <c r="A2129">
        <v>0</v>
      </c>
      <c r="B2129">
        <v>0</v>
      </c>
    </row>
    <row r="2130" spans="1:2" ht="12.5">
      <c r="A2130">
        <v>0</v>
      </c>
      <c r="B2130">
        <v>0</v>
      </c>
    </row>
    <row r="2131" spans="1:2" ht="12.5">
      <c r="A2131">
        <v>0</v>
      </c>
      <c r="B2131">
        <v>0</v>
      </c>
    </row>
    <row r="2132" spans="1:2" ht="12.5">
      <c r="A2132">
        <v>0</v>
      </c>
      <c r="B2132">
        <v>0</v>
      </c>
    </row>
    <row r="2133" spans="1:2" ht="12.5">
      <c r="A2133">
        <v>0</v>
      </c>
      <c r="B2133">
        <v>0</v>
      </c>
    </row>
    <row r="2134" spans="1:2" ht="12.5">
      <c r="A2134">
        <v>0</v>
      </c>
      <c r="B2134">
        <v>0</v>
      </c>
    </row>
    <row r="2135" spans="1:2" ht="12.5">
      <c r="A2135">
        <v>0</v>
      </c>
      <c r="B2135">
        <v>0</v>
      </c>
    </row>
    <row r="2136" spans="1:2" ht="12.5">
      <c r="A2136">
        <v>0</v>
      </c>
      <c r="B2136">
        <v>0</v>
      </c>
    </row>
    <row r="2137" spans="1:2" ht="12.5">
      <c r="A2137">
        <v>0</v>
      </c>
      <c r="B2137">
        <v>0</v>
      </c>
    </row>
    <row r="2138" spans="1:2" ht="12.5">
      <c r="A2138">
        <v>0</v>
      </c>
      <c r="B2138">
        <v>0</v>
      </c>
    </row>
    <row r="2139" spans="1:2" ht="12.5">
      <c r="A2139">
        <v>0</v>
      </c>
      <c r="B2139">
        <v>0</v>
      </c>
    </row>
    <row r="2140" spans="1:2" ht="12.5">
      <c r="A2140">
        <v>0</v>
      </c>
      <c r="B2140">
        <v>0</v>
      </c>
    </row>
    <row r="2141" spans="1:2" ht="12.5">
      <c r="A2141">
        <v>0</v>
      </c>
      <c r="B2141">
        <v>0</v>
      </c>
    </row>
    <row r="2142" spans="1:2" ht="12.5">
      <c r="A2142">
        <v>0</v>
      </c>
      <c r="B2142">
        <v>0</v>
      </c>
    </row>
    <row r="2143" spans="1:2" ht="12.5">
      <c r="A2143">
        <v>0</v>
      </c>
      <c r="B2143">
        <v>0</v>
      </c>
    </row>
    <row r="2144" spans="1:2" ht="12.5">
      <c r="A2144">
        <v>0</v>
      </c>
      <c r="B2144">
        <v>0</v>
      </c>
    </row>
    <row r="2145" spans="1:2" ht="12.5">
      <c r="A2145">
        <v>0</v>
      </c>
      <c r="B2145">
        <v>0</v>
      </c>
    </row>
    <row r="2146" spans="1:2" ht="12.5">
      <c r="A2146">
        <v>0</v>
      </c>
      <c r="B2146">
        <v>0</v>
      </c>
    </row>
    <row r="2147" spans="1:2" ht="12.5">
      <c r="A2147">
        <v>0</v>
      </c>
      <c r="B2147">
        <v>0</v>
      </c>
    </row>
    <row r="2148" spans="1:2" ht="12.5">
      <c r="A2148">
        <v>0</v>
      </c>
      <c r="B2148">
        <v>0</v>
      </c>
    </row>
    <row r="2149" spans="1:2" ht="12.5">
      <c r="A2149">
        <v>0</v>
      </c>
      <c r="B2149">
        <v>0</v>
      </c>
    </row>
    <row r="2150" spans="1:2" ht="12.5">
      <c r="A2150">
        <v>0</v>
      </c>
      <c r="B2150">
        <v>0</v>
      </c>
    </row>
    <row r="2151" spans="1:2" ht="12.5">
      <c r="A2151">
        <v>0</v>
      </c>
      <c r="B2151">
        <v>0</v>
      </c>
    </row>
    <row r="2152" spans="1:2" ht="12.5">
      <c r="A2152">
        <v>0</v>
      </c>
      <c r="B2152">
        <v>0</v>
      </c>
    </row>
    <row r="2153" spans="1:2" ht="12.5">
      <c r="A2153">
        <v>0</v>
      </c>
      <c r="B2153">
        <v>0</v>
      </c>
    </row>
    <row r="2154" spans="1:2" ht="12.5">
      <c r="A2154">
        <v>0</v>
      </c>
      <c r="B2154">
        <v>0</v>
      </c>
    </row>
    <row r="2155" spans="1:2" ht="12.5">
      <c r="A2155">
        <v>0</v>
      </c>
      <c r="B2155">
        <v>0</v>
      </c>
    </row>
    <row r="2156" spans="1:2" ht="12.5">
      <c r="A2156">
        <v>0</v>
      </c>
      <c r="B2156">
        <v>0</v>
      </c>
    </row>
    <row r="2157" spans="1:2" ht="12.5">
      <c r="A2157">
        <v>0</v>
      </c>
      <c r="B2157">
        <v>0</v>
      </c>
    </row>
    <row r="2158" spans="1:2" ht="12.5">
      <c r="A2158">
        <v>0</v>
      </c>
      <c r="B2158">
        <v>0</v>
      </c>
    </row>
    <row r="2159" spans="1:2" ht="12.5">
      <c r="A2159">
        <v>0</v>
      </c>
      <c r="B2159">
        <v>0</v>
      </c>
    </row>
    <row r="2160" spans="1:2" ht="12.5">
      <c r="A2160">
        <v>0</v>
      </c>
      <c r="B2160">
        <v>0</v>
      </c>
    </row>
    <row r="2161" spans="1:2" ht="12.5">
      <c r="A2161">
        <v>0</v>
      </c>
      <c r="B2161">
        <v>0</v>
      </c>
    </row>
    <row r="2162" spans="1:2" ht="12.5">
      <c r="A2162">
        <v>0</v>
      </c>
      <c r="B2162">
        <v>0</v>
      </c>
    </row>
    <row r="2163" spans="1:2" ht="12.5">
      <c r="A2163">
        <v>0</v>
      </c>
      <c r="B2163">
        <v>0</v>
      </c>
    </row>
    <row r="2164" spans="1:2" ht="12.5">
      <c r="A2164">
        <v>0</v>
      </c>
      <c r="B2164">
        <v>0</v>
      </c>
    </row>
    <row r="2165" spans="1:2" ht="12.5">
      <c r="A2165">
        <v>0</v>
      </c>
      <c r="B2165">
        <v>0</v>
      </c>
    </row>
    <row r="2166" spans="1:2" ht="12.5">
      <c r="A2166">
        <v>0</v>
      </c>
      <c r="B2166">
        <v>0</v>
      </c>
    </row>
    <row r="2167" spans="1:2" ht="12.5">
      <c r="A2167">
        <v>0</v>
      </c>
      <c r="B2167">
        <v>0</v>
      </c>
    </row>
    <row r="2168" spans="1:2" ht="12.5">
      <c r="A2168">
        <v>0</v>
      </c>
      <c r="B2168">
        <v>0</v>
      </c>
    </row>
    <row r="2169" spans="1:2" ht="12.5">
      <c r="A2169">
        <v>0</v>
      </c>
      <c r="B2169">
        <v>0</v>
      </c>
    </row>
    <row r="2170" spans="1:2" ht="12.5">
      <c r="A2170">
        <v>0</v>
      </c>
      <c r="B2170">
        <v>0</v>
      </c>
    </row>
    <row r="2171" spans="1:2" ht="12.5">
      <c r="A2171">
        <v>0</v>
      </c>
      <c r="B2171">
        <v>0</v>
      </c>
    </row>
    <row r="2172" spans="1:2" ht="12.5">
      <c r="A2172">
        <v>0</v>
      </c>
      <c r="B2172">
        <v>0</v>
      </c>
    </row>
    <row r="2173" spans="1:2" ht="12.5">
      <c r="A2173">
        <v>0</v>
      </c>
      <c r="B2173">
        <v>0</v>
      </c>
    </row>
    <row r="2174" spans="1:2" ht="12.5">
      <c r="A2174">
        <v>0</v>
      </c>
      <c r="B2174">
        <v>0</v>
      </c>
    </row>
    <row r="2175" spans="1:2" ht="12.5">
      <c r="A2175">
        <v>0</v>
      </c>
      <c r="B2175">
        <v>0</v>
      </c>
    </row>
    <row r="2176" spans="1:2" ht="12.5">
      <c r="A2176">
        <v>0</v>
      </c>
      <c r="B2176">
        <v>0</v>
      </c>
    </row>
    <row r="2177" spans="1:2" ht="12.5">
      <c r="A2177">
        <v>0</v>
      </c>
      <c r="B2177">
        <v>0</v>
      </c>
    </row>
    <row r="2178" spans="1:2" ht="12.5">
      <c r="A2178">
        <v>0</v>
      </c>
      <c r="B2178">
        <v>0</v>
      </c>
    </row>
    <row r="2179" spans="1:2" ht="12.5">
      <c r="A2179">
        <v>0</v>
      </c>
      <c r="B2179">
        <v>0</v>
      </c>
    </row>
    <row r="2180" spans="1:2" ht="12.5">
      <c r="A2180">
        <v>0</v>
      </c>
      <c r="B2180">
        <v>0</v>
      </c>
    </row>
    <row r="2181" spans="1:2" ht="12.5">
      <c r="A2181">
        <v>0</v>
      </c>
      <c r="B2181">
        <v>0</v>
      </c>
    </row>
    <row r="2182" spans="1:2" ht="12.5">
      <c r="A2182">
        <v>0</v>
      </c>
      <c r="B2182">
        <v>0</v>
      </c>
    </row>
    <row r="2183" spans="1:2" ht="12.5">
      <c r="A2183">
        <v>0</v>
      </c>
      <c r="B2183">
        <v>0</v>
      </c>
    </row>
    <row r="2184" spans="1:2" ht="12.5">
      <c r="A2184">
        <v>0</v>
      </c>
      <c r="B2184">
        <v>0</v>
      </c>
    </row>
    <row r="2185" spans="1:2" ht="12.5">
      <c r="A2185">
        <v>0</v>
      </c>
      <c r="B2185">
        <v>0</v>
      </c>
    </row>
    <row r="2186" spans="1:2" ht="12.5">
      <c r="A2186">
        <v>0</v>
      </c>
      <c r="B2186">
        <v>0</v>
      </c>
    </row>
    <row r="2187" spans="1:2" ht="12.5">
      <c r="A2187">
        <v>0</v>
      </c>
      <c r="B2187">
        <v>0</v>
      </c>
    </row>
    <row r="2188" spans="1:2" ht="12.5">
      <c r="A2188">
        <v>0</v>
      </c>
      <c r="B2188">
        <v>0</v>
      </c>
    </row>
    <row r="2189" spans="1:2" ht="12.5">
      <c r="A2189">
        <v>0</v>
      </c>
      <c r="B2189">
        <v>0</v>
      </c>
    </row>
    <row r="2190" spans="1:2" ht="12.5">
      <c r="A2190">
        <v>0</v>
      </c>
      <c r="B2190">
        <v>0</v>
      </c>
    </row>
    <row r="2191" spans="1:2" ht="12.5">
      <c r="A2191">
        <v>0</v>
      </c>
      <c r="B2191">
        <v>0</v>
      </c>
    </row>
    <row r="2192" spans="1:2" ht="12.5">
      <c r="A2192">
        <v>0</v>
      </c>
      <c r="B2192">
        <v>0</v>
      </c>
    </row>
    <row r="2193" spans="1:2" ht="12.5">
      <c r="A2193">
        <v>0</v>
      </c>
      <c r="B2193">
        <v>0</v>
      </c>
    </row>
    <row r="2194" spans="1:2" ht="12.5">
      <c r="A2194">
        <v>0</v>
      </c>
      <c r="B2194">
        <v>0</v>
      </c>
    </row>
    <row r="2195" spans="1:2" ht="12.5">
      <c r="A2195">
        <v>0</v>
      </c>
      <c r="B2195">
        <v>0</v>
      </c>
    </row>
    <row r="2196" spans="1:2" ht="12.5">
      <c r="A2196">
        <v>0</v>
      </c>
      <c r="B2196">
        <v>0</v>
      </c>
    </row>
    <row r="2197" spans="1:2" ht="12.5">
      <c r="A2197">
        <v>0</v>
      </c>
      <c r="B2197">
        <v>0</v>
      </c>
    </row>
    <row r="2198" spans="1:2" ht="12.5">
      <c r="A2198">
        <v>0</v>
      </c>
      <c r="B2198">
        <v>0</v>
      </c>
    </row>
    <row r="2199" spans="1:2" ht="12.5">
      <c r="A2199">
        <v>0</v>
      </c>
      <c r="B2199">
        <v>0</v>
      </c>
    </row>
    <row r="2200" spans="1:2" ht="12.5">
      <c r="A2200">
        <v>0</v>
      </c>
      <c r="B2200">
        <v>0</v>
      </c>
    </row>
    <row r="2201" spans="1:2" ht="12.5">
      <c r="A2201">
        <v>0</v>
      </c>
      <c r="B2201">
        <v>0</v>
      </c>
    </row>
    <row r="2202" spans="1:2" ht="12.5">
      <c r="A2202">
        <v>0</v>
      </c>
      <c r="B2202">
        <v>0</v>
      </c>
    </row>
    <row r="2203" spans="1:2" ht="12.5">
      <c r="A2203">
        <v>0</v>
      </c>
      <c r="B2203">
        <v>0</v>
      </c>
    </row>
    <row r="2204" spans="1:2" ht="12.5">
      <c r="A2204">
        <v>0</v>
      </c>
      <c r="B2204">
        <v>0</v>
      </c>
    </row>
    <row r="2205" spans="1:2" ht="12.5">
      <c r="A2205">
        <v>0</v>
      </c>
      <c r="B2205">
        <v>0</v>
      </c>
    </row>
    <row r="2206" spans="1:2" ht="12.5">
      <c r="A2206">
        <v>0</v>
      </c>
      <c r="B2206">
        <v>0</v>
      </c>
    </row>
    <row r="2207" spans="1:2" ht="12.5">
      <c r="A2207">
        <v>0</v>
      </c>
      <c r="B2207">
        <v>0</v>
      </c>
    </row>
    <row r="2208" spans="1:2" ht="12.5">
      <c r="A2208">
        <v>0</v>
      </c>
      <c r="B2208">
        <v>0</v>
      </c>
    </row>
    <row r="2209" spans="1:2" ht="12.5">
      <c r="A2209">
        <v>0</v>
      </c>
      <c r="B2209">
        <v>0</v>
      </c>
    </row>
    <row r="2210" spans="1:2" ht="12.5">
      <c r="A2210">
        <v>0</v>
      </c>
      <c r="B2210">
        <v>0</v>
      </c>
    </row>
    <row r="2211" spans="1:2" ht="12.5">
      <c r="A2211">
        <v>0</v>
      </c>
      <c r="B2211">
        <v>0</v>
      </c>
    </row>
    <row r="2212" spans="1:2" ht="12.5">
      <c r="A2212">
        <v>0</v>
      </c>
      <c r="B2212">
        <v>0</v>
      </c>
    </row>
    <row r="2213" spans="1:2" ht="12.5">
      <c r="A2213">
        <v>0</v>
      </c>
      <c r="B2213">
        <v>0</v>
      </c>
    </row>
    <row r="2214" spans="1:2" ht="12.5">
      <c r="A2214">
        <v>0</v>
      </c>
      <c r="B2214">
        <v>0</v>
      </c>
    </row>
    <row r="2215" spans="1:2" ht="12.5">
      <c r="A2215">
        <v>0</v>
      </c>
      <c r="B2215">
        <v>0</v>
      </c>
    </row>
    <row r="2216" spans="1:2" ht="12.5">
      <c r="A2216">
        <v>0</v>
      </c>
      <c r="B2216">
        <v>0</v>
      </c>
    </row>
    <row r="2217" spans="1:2" ht="12.5">
      <c r="A2217">
        <v>0</v>
      </c>
      <c r="B2217">
        <v>0</v>
      </c>
    </row>
    <row r="2218" spans="1:2" ht="12.5">
      <c r="A2218">
        <v>0</v>
      </c>
      <c r="B2218">
        <v>0</v>
      </c>
    </row>
    <row r="2219" spans="1:2" ht="12.5">
      <c r="A2219">
        <v>0</v>
      </c>
      <c r="B2219">
        <v>0</v>
      </c>
    </row>
    <row r="2220" spans="1:2" ht="12.5">
      <c r="A2220">
        <v>0</v>
      </c>
      <c r="B2220">
        <v>0</v>
      </c>
    </row>
    <row r="2221" spans="1:2" ht="12.5">
      <c r="A2221">
        <v>0</v>
      </c>
      <c r="B2221">
        <v>0</v>
      </c>
    </row>
    <row r="2222" spans="1:2" ht="12.5">
      <c r="A2222">
        <v>0</v>
      </c>
      <c r="B2222">
        <v>0</v>
      </c>
    </row>
    <row r="2223" spans="1:2" ht="12.5">
      <c r="A2223">
        <v>0</v>
      </c>
      <c r="B2223">
        <v>0</v>
      </c>
    </row>
    <row r="2224" spans="1:2" ht="12.5">
      <c r="A2224">
        <v>0</v>
      </c>
      <c r="B2224">
        <v>0</v>
      </c>
    </row>
    <row r="2225" spans="1:2" ht="12.5">
      <c r="A2225">
        <v>0</v>
      </c>
      <c r="B2225">
        <v>0</v>
      </c>
    </row>
    <row r="2226" spans="1:2" ht="12.5">
      <c r="A2226">
        <v>0</v>
      </c>
      <c r="B2226">
        <v>0</v>
      </c>
    </row>
    <row r="2227" spans="1:2" ht="12.5">
      <c r="A2227">
        <v>0</v>
      </c>
      <c r="B2227">
        <v>0</v>
      </c>
    </row>
    <row r="2228" spans="1:2" ht="12.5">
      <c r="A2228">
        <v>0</v>
      </c>
      <c r="B2228">
        <v>0</v>
      </c>
    </row>
    <row r="2229" spans="1:2" ht="12.5">
      <c r="A2229">
        <v>0</v>
      </c>
      <c r="B2229">
        <v>0</v>
      </c>
    </row>
    <row r="2230" spans="1:2" ht="12.5">
      <c r="A2230">
        <v>0</v>
      </c>
      <c r="B2230">
        <v>0</v>
      </c>
    </row>
    <row r="2231" spans="1:2" ht="12.5">
      <c r="A2231">
        <v>0</v>
      </c>
      <c r="B2231">
        <v>0</v>
      </c>
    </row>
    <row r="2232" spans="1:2" ht="12.5">
      <c r="A2232">
        <v>0</v>
      </c>
      <c r="B2232">
        <v>0</v>
      </c>
    </row>
    <row r="2233" spans="1:2" ht="12.5">
      <c r="A2233">
        <v>0</v>
      </c>
      <c r="B2233">
        <v>0</v>
      </c>
    </row>
    <row r="2234" spans="1:2" ht="12.5">
      <c r="A2234">
        <v>0</v>
      </c>
      <c r="B2234">
        <v>0</v>
      </c>
    </row>
    <row r="2235" spans="1:2" ht="12.5">
      <c r="A2235">
        <v>0</v>
      </c>
      <c r="B2235">
        <v>0</v>
      </c>
    </row>
    <row r="2236" spans="1:2" ht="12.5">
      <c r="A2236">
        <v>0</v>
      </c>
      <c r="B2236">
        <v>0</v>
      </c>
    </row>
    <row r="2237" spans="1:2" ht="12.5">
      <c r="A2237">
        <v>0</v>
      </c>
      <c r="B2237">
        <v>0</v>
      </c>
    </row>
    <row r="2238" spans="1:2" ht="12.5">
      <c r="A2238">
        <v>0</v>
      </c>
      <c r="B2238">
        <v>0</v>
      </c>
    </row>
    <row r="2239" spans="1:2" ht="12.5">
      <c r="A2239">
        <v>0</v>
      </c>
      <c r="B2239">
        <v>0</v>
      </c>
    </row>
    <row r="2240" spans="1:2" ht="12.5">
      <c r="A2240">
        <v>0</v>
      </c>
      <c r="B2240">
        <v>0</v>
      </c>
    </row>
    <row r="2241" spans="1:2" ht="12.5">
      <c r="A2241">
        <v>0</v>
      </c>
      <c r="B2241">
        <v>0</v>
      </c>
    </row>
    <row r="2242" spans="1:2" ht="12.5">
      <c r="A2242">
        <v>0</v>
      </c>
      <c r="B2242">
        <v>0</v>
      </c>
    </row>
    <row r="2243" spans="1:2" ht="12.5">
      <c r="A2243">
        <v>0</v>
      </c>
      <c r="B2243">
        <v>0</v>
      </c>
    </row>
    <row r="2244" spans="1:2" ht="12.5">
      <c r="A2244">
        <v>0</v>
      </c>
      <c r="B2244">
        <v>0</v>
      </c>
    </row>
    <row r="2245" spans="1:2" ht="12.5">
      <c r="A2245">
        <v>0</v>
      </c>
      <c r="B2245">
        <v>0</v>
      </c>
    </row>
    <row r="2246" spans="1:2" ht="12.5">
      <c r="A2246">
        <v>0</v>
      </c>
      <c r="B2246">
        <v>0</v>
      </c>
    </row>
    <row r="2247" spans="1:2" ht="12.5">
      <c r="A2247">
        <v>0</v>
      </c>
      <c r="B2247">
        <v>0</v>
      </c>
    </row>
    <row r="2248" spans="1:2" ht="12.5">
      <c r="A2248">
        <v>0</v>
      </c>
      <c r="B2248">
        <v>0</v>
      </c>
    </row>
    <row r="2249" spans="1:2" ht="12.5">
      <c r="A2249">
        <v>0</v>
      </c>
      <c r="B2249">
        <v>0</v>
      </c>
    </row>
    <row r="2250" spans="1:2" ht="12.5">
      <c r="A2250">
        <v>0</v>
      </c>
      <c r="B2250">
        <v>0</v>
      </c>
    </row>
    <row r="2251" spans="1:2" ht="12.5">
      <c r="A2251">
        <v>0</v>
      </c>
      <c r="B2251">
        <v>0</v>
      </c>
    </row>
    <row r="2252" spans="1:2" ht="12.5">
      <c r="A2252">
        <v>0</v>
      </c>
      <c r="B2252">
        <v>0</v>
      </c>
    </row>
    <row r="2253" spans="1:2" ht="12.5">
      <c r="A2253">
        <v>0</v>
      </c>
      <c r="B2253">
        <v>0</v>
      </c>
    </row>
    <row r="2254" spans="1:2" ht="12.5">
      <c r="A2254">
        <v>0</v>
      </c>
      <c r="B2254">
        <v>0</v>
      </c>
    </row>
    <row r="2255" spans="1:2" ht="12.5">
      <c r="A2255">
        <v>0</v>
      </c>
      <c r="B2255">
        <v>0</v>
      </c>
    </row>
    <row r="2256" spans="1:2" ht="12.5">
      <c r="A2256">
        <v>0</v>
      </c>
      <c r="B2256">
        <v>0</v>
      </c>
    </row>
    <row r="2257" spans="1:2" ht="12.5">
      <c r="A2257">
        <v>0</v>
      </c>
      <c r="B2257">
        <v>0</v>
      </c>
    </row>
    <row r="2258" spans="1:2" ht="12.5">
      <c r="A2258">
        <v>0</v>
      </c>
      <c r="B2258">
        <v>0</v>
      </c>
    </row>
    <row r="2259" spans="1:2" ht="12.5">
      <c r="A2259">
        <v>0</v>
      </c>
      <c r="B2259">
        <v>0</v>
      </c>
    </row>
    <row r="2260" spans="1:2" ht="12.5">
      <c r="A2260">
        <v>0</v>
      </c>
      <c r="B2260">
        <v>0</v>
      </c>
    </row>
    <row r="2261" spans="1:2" ht="12.5">
      <c r="A2261">
        <v>0</v>
      </c>
      <c r="B2261">
        <v>0</v>
      </c>
    </row>
    <row r="2262" spans="1:2" ht="12.5">
      <c r="A2262">
        <v>0</v>
      </c>
      <c r="B2262">
        <v>0</v>
      </c>
    </row>
    <row r="2263" spans="1:2" ht="12.5">
      <c r="A2263">
        <v>0</v>
      </c>
      <c r="B2263">
        <v>0</v>
      </c>
    </row>
    <row r="2264" spans="1:2" ht="12.5">
      <c r="A2264">
        <v>0</v>
      </c>
      <c r="B2264">
        <v>0</v>
      </c>
    </row>
    <row r="2265" spans="1:2" ht="12.5">
      <c r="A2265">
        <v>0</v>
      </c>
      <c r="B2265">
        <v>0</v>
      </c>
    </row>
    <row r="2266" spans="1:2" ht="12.5">
      <c r="A2266">
        <v>0</v>
      </c>
      <c r="B2266">
        <v>0</v>
      </c>
    </row>
    <row r="2267" spans="1:2" ht="12.5">
      <c r="A2267">
        <v>0</v>
      </c>
      <c r="B2267">
        <v>0</v>
      </c>
    </row>
    <row r="2268" spans="1:2" ht="12.5">
      <c r="A2268">
        <v>0</v>
      </c>
      <c r="B2268">
        <v>0</v>
      </c>
    </row>
    <row r="2269" spans="1:2" ht="12.5">
      <c r="A2269">
        <v>0</v>
      </c>
      <c r="B2269">
        <v>0</v>
      </c>
    </row>
    <row r="2270" spans="1:2" ht="12.5">
      <c r="A2270">
        <v>0</v>
      </c>
      <c r="B2270">
        <v>0</v>
      </c>
    </row>
    <row r="2271" spans="1:2" ht="12.5">
      <c r="A2271">
        <v>0</v>
      </c>
      <c r="B2271">
        <v>0</v>
      </c>
    </row>
    <row r="2272" spans="1:2" ht="12.5">
      <c r="A2272">
        <v>0</v>
      </c>
      <c r="B2272">
        <v>0</v>
      </c>
    </row>
    <row r="2273" spans="1:2" ht="12.5">
      <c r="A2273">
        <v>0</v>
      </c>
      <c r="B2273">
        <v>0</v>
      </c>
    </row>
    <row r="2274" spans="1:2" ht="12.5">
      <c r="A2274">
        <v>0</v>
      </c>
      <c r="B2274">
        <v>0</v>
      </c>
    </row>
    <row r="2275" spans="1:2" ht="12.5">
      <c r="A2275">
        <v>0</v>
      </c>
      <c r="B2275">
        <v>0</v>
      </c>
    </row>
    <row r="2276" spans="1:2" ht="12.5">
      <c r="A2276">
        <v>0</v>
      </c>
      <c r="B2276">
        <v>0</v>
      </c>
    </row>
    <row r="2277" spans="1:2" ht="12.5">
      <c r="A2277">
        <v>0</v>
      </c>
      <c r="B2277">
        <v>0</v>
      </c>
    </row>
    <row r="2278" spans="1:2" ht="12.5">
      <c r="A2278">
        <v>0</v>
      </c>
      <c r="B2278">
        <v>0</v>
      </c>
    </row>
    <row r="2279" spans="1:2" ht="12.5">
      <c r="A2279">
        <v>0</v>
      </c>
      <c r="B2279">
        <v>0</v>
      </c>
    </row>
    <row r="2280" spans="1:2" ht="12.5">
      <c r="A2280">
        <v>0</v>
      </c>
      <c r="B2280">
        <v>0</v>
      </c>
    </row>
    <row r="2281" spans="1:2" ht="12.5">
      <c r="A2281">
        <v>0</v>
      </c>
      <c r="B2281">
        <v>0</v>
      </c>
    </row>
    <row r="2282" spans="1:2" ht="12.5">
      <c r="A2282">
        <v>0</v>
      </c>
      <c r="B2282">
        <v>0</v>
      </c>
    </row>
    <row r="2283" spans="1:2" ht="12.5">
      <c r="A2283">
        <v>0</v>
      </c>
      <c r="B2283">
        <v>0</v>
      </c>
    </row>
    <row r="2284" spans="1:2" ht="12.5">
      <c r="A2284">
        <v>0</v>
      </c>
      <c r="B2284">
        <v>0</v>
      </c>
    </row>
    <row r="2285" spans="1:2" ht="12.5">
      <c r="A2285">
        <v>0</v>
      </c>
      <c r="B2285">
        <v>0</v>
      </c>
    </row>
    <row r="2286" spans="1:2" ht="12.5">
      <c r="A2286">
        <v>0</v>
      </c>
      <c r="B2286">
        <v>0</v>
      </c>
    </row>
    <row r="2287" spans="1:2" ht="12.5">
      <c r="A2287">
        <v>0</v>
      </c>
      <c r="B2287">
        <v>0</v>
      </c>
    </row>
    <row r="2288" spans="1:2" ht="12.5">
      <c r="A2288">
        <v>0</v>
      </c>
      <c r="B2288">
        <v>0</v>
      </c>
    </row>
    <row r="2289" spans="1:2" ht="12.5">
      <c r="A2289">
        <v>0</v>
      </c>
      <c r="B2289">
        <v>0</v>
      </c>
    </row>
    <row r="2290" spans="1:2" ht="12.5">
      <c r="A2290">
        <v>0</v>
      </c>
      <c r="B2290">
        <v>0</v>
      </c>
    </row>
    <row r="2291" spans="1:2" ht="12.5">
      <c r="A2291">
        <v>0</v>
      </c>
      <c r="B2291">
        <v>0</v>
      </c>
    </row>
    <row r="2292" spans="1:2" ht="12.5">
      <c r="A2292">
        <v>0</v>
      </c>
      <c r="B2292">
        <v>0</v>
      </c>
    </row>
    <row r="2293" spans="1:2" ht="12.5">
      <c r="A2293">
        <v>0</v>
      </c>
      <c r="B2293">
        <v>0</v>
      </c>
    </row>
    <row r="2294" spans="1:2" ht="12.5">
      <c r="A2294">
        <v>0</v>
      </c>
      <c r="B2294">
        <v>0</v>
      </c>
    </row>
    <row r="2295" spans="1:2" ht="12.5">
      <c r="A2295">
        <v>0</v>
      </c>
      <c r="B2295">
        <v>0</v>
      </c>
    </row>
    <row r="2296" spans="1:2" ht="12.5">
      <c r="A2296">
        <v>0</v>
      </c>
      <c r="B2296">
        <v>0</v>
      </c>
    </row>
    <row r="2297" spans="1:2" ht="12.5">
      <c r="A2297">
        <v>0</v>
      </c>
      <c r="B2297">
        <v>0</v>
      </c>
    </row>
    <row r="2298" spans="1:2" ht="12.5">
      <c r="A2298">
        <v>0</v>
      </c>
      <c r="B2298">
        <v>0</v>
      </c>
    </row>
    <row r="2299" spans="1:2" ht="12.5">
      <c r="A2299">
        <v>0</v>
      </c>
      <c r="B2299">
        <v>0</v>
      </c>
    </row>
    <row r="2300" spans="1:2" ht="12.5">
      <c r="A2300">
        <v>0</v>
      </c>
      <c r="B2300">
        <v>0</v>
      </c>
    </row>
    <row r="2301" spans="1:2" ht="12.5">
      <c r="A2301">
        <v>0</v>
      </c>
      <c r="B2301">
        <v>0</v>
      </c>
    </row>
    <row r="2302" spans="1:2" ht="12.5">
      <c r="A2302">
        <v>0</v>
      </c>
      <c r="B2302">
        <v>0</v>
      </c>
    </row>
    <row r="2303" spans="1:2" ht="12.5">
      <c r="A2303">
        <v>0</v>
      </c>
      <c r="B2303">
        <v>0</v>
      </c>
    </row>
    <row r="2304" spans="1:2" ht="12.5">
      <c r="A2304">
        <v>0</v>
      </c>
      <c r="B2304">
        <v>0</v>
      </c>
    </row>
    <row r="2305" spans="1:2" ht="12.5">
      <c r="A2305">
        <v>0</v>
      </c>
      <c r="B2305">
        <v>0</v>
      </c>
    </row>
    <row r="2306" spans="1:2" ht="12.5">
      <c r="A2306">
        <v>0</v>
      </c>
      <c r="B2306">
        <v>0</v>
      </c>
    </row>
    <row r="2307" spans="1:2" ht="12.5">
      <c r="A2307">
        <v>0</v>
      </c>
      <c r="B2307">
        <v>0</v>
      </c>
    </row>
    <row r="2308" spans="1:2" ht="12.5">
      <c r="A2308">
        <v>0</v>
      </c>
      <c r="B2308">
        <v>0</v>
      </c>
    </row>
    <row r="2309" spans="1:2" ht="12.5">
      <c r="A2309">
        <v>0</v>
      </c>
      <c r="B2309">
        <v>0</v>
      </c>
    </row>
    <row r="2310" spans="1:2" ht="12.5">
      <c r="A2310">
        <v>0</v>
      </c>
      <c r="B2310">
        <v>0</v>
      </c>
    </row>
    <row r="2311" spans="1:2" ht="12.5">
      <c r="A2311">
        <v>0</v>
      </c>
      <c r="B2311">
        <v>0</v>
      </c>
    </row>
    <row r="2312" spans="1:2" ht="12.5">
      <c r="A2312">
        <v>0</v>
      </c>
      <c r="B2312">
        <v>0</v>
      </c>
    </row>
    <row r="2313" spans="1:2" ht="12.5">
      <c r="A2313">
        <v>0</v>
      </c>
      <c r="B2313">
        <v>0</v>
      </c>
    </row>
    <row r="2314" spans="1:2" ht="12.5">
      <c r="A2314">
        <v>0</v>
      </c>
      <c r="B2314">
        <v>0</v>
      </c>
    </row>
    <row r="2315" spans="1:2" ht="12.5">
      <c r="A2315">
        <v>0</v>
      </c>
      <c r="B2315">
        <v>0</v>
      </c>
    </row>
    <row r="2316" spans="1:2" ht="12.5">
      <c r="A2316">
        <v>0</v>
      </c>
      <c r="B2316">
        <v>0</v>
      </c>
    </row>
    <row r="2317" spans="1:2" ht="12.5">
      <c r="A2317">
        <v>0</v>
      </c>
      <c r="B2317">
        <v>0</v>
      </c>
    </row>
    <row r="2318" spans="1:2" ht="12.5">
      <c r="A2318">
        <v>0</v>
      </c>
      <c r="B2318">
        <v>0</v>
      </c>
    </row>
    <row r="2319" spans="1:2" ht="12.5">
      <c r="A2319">
        <v>0</v>
      </c>
      <c r="B2319">
        <v>0</v>
      </c>
    </row>
    <row r="2320" spans="1:2" ht="12.5">
      <c r="A2320">
        <v>0</v>
      </c>
      <c r="B2320">
        <v>0</v>
      </c>
    </row>
    <row r="2321" spans="1:2" ht="12.5">
      <c r="A2321">
        <v>0</v>
      </c>
      <c r="B2321">
        <v>0</v>
      </c>
    </row>
    <row r="2322" spans="1:2" ht="12.5">
      <c r="A2322">
        <v>0</v>
      </c>
      <c r="B2322">
        <v>0</v>
      </c>
    </row>
    <row r="2323" spans="1:2" ht="12.5">
      <c r="A2323">
        <v>0</v>
      </c>
      <c r="B2323">
        <v>0</v>
      </c>
    </row>
    <row r="2324" spans="1:2" ht="12.5">
      <c r="A2324">
        <v>0</v>
      </c>
      <c r="B2324">
        <v>0</v>
      </c>
    </row>
    <row r="2325" spans="1:2" ht="12.5">
      <c r="A2325">
        <v>0</v>
      </c>
      <c r="B2325">
        <v>0</v>
      </c>
    </row>
    <row r="2326" spans="1:2" ht="12.5">
      <c r="A2326">
        <v>0</v>
      </c>
      <c r="B2326">
        <v>0</v>
      </c>
    </row>
    <row r="2327" spans="1:2" ht="12.5">
      <c r="A2327">
        <v>0</v>
      </c>
      <c r="B2327">
        <v>0</v>
      </c>
    </row>
    <row r="2328" spans="1:2" ht="12.5">
      <c r="A2328">
        <v>0</v>
      </c>
      <c r="B2328">
        <v>0</v>
      </c>
    </row>
    <row r="2329" spans="1:2" ht="12.5">
      <c r="A2329">
        <v>0</v>
      </c>
      <c r="B2329">
        <v>0</v>
      </c>
    </row>
    <row r="2330" spans="1:2" ht="12.5">
      <c r="A2330">
        <v>0</v>
      </c>
      <c r="B2330">
        <v>0</v>
      </c>
    </row>
    <row r="2331" spans="1:2" ht="12.5">
      <c r="A2331">
        <v>0</v>
      </c>
      <c r="B2331">
        <v>0</v>
      </c>
    </row>
    <row r="2332" spans="1:2" ht="12.5">
      <c r="A2332">
        <v>0</v>
      </c>
      <c r="B2332">
        <v>0</v>
      </c>
    </row>
    <row r="2333" spans="1:2" ht="12.5">
      <c r="A2333">
        <v>0</v>
      </c>
      <c r="B2333">
        <v>0</v>
      </c>
    </row>
    <row r="2334" spans="1:2" ht="12.5">
      <c r="A2334">
        <v>0</v>
      </c>
      <c r="B2334">
        <v>0</v>
      </c>
    </row>
    <row r="2335" spans="1:2" ht="12.5">
      <c r="A2335">
        <v>0</v>
      </c>
      <c r="B2335">
        <v>0</v>
      </c>
    </row>
    <row r="2336" spans="1:2" ht="12.5">
      <c r="A2336">
        <v>0</v>
      </c>
      <c r="B2336">
        <v>0</v>
      </c>
    </row>
    <row r="2337" spans="1:2" ht="12.5">
      <c r="A2337">
        <v>0</v>
      </c>
      <c r="B2337">
        <v>0</v>
      </c>
    </row>
    <row r="2338" spans="1:2" ht="12.5">
      <c r="A2338">
        <v>0</v>
      </c>
      <c r="B2338">
        <v>0</v>
      </c>
    </row>
    <row r="2339" spans="1:2" ht="12.5">
      <c r="A2339">
        <v>0</v>
      </c>
      <c r="B2339">
        <v>0</v>
      </c>
    </row>
    <row r="2340" spans="1:2" ht="12.5">
      <c r="A2340">
        <v>0</v>
      </c>
      <c r="B2340">
        <v>0</v>
      </c>
    </row>
    <row r="2341" spans="1:2" ht="12.5">
      <c r="A2341">
        <v>0</v>
      </c>
      <c r="B2341">
        <v>0</v>
      </c>
    </row>
    <row r="2342" spans="1:2" ht="12.5">
      <c r="A2342">
        <v>0</v>
      </c>
      <c r="B2342">
        <v>0</v>
      </c>
    </row>
    <row r="2343" spans="1:2" ht="12.5">
      <c r="A2343">
        <v>0</v>
      </c>
      <c r="B2343">
        <v>0</v>
      </c>
    </row>
    <row r="2344" spans="1:2" ht="12.5">
      <c r="A2344">
        <v>0</v>
      </c>
      <c r="B2344">
        <v>0</v>
      </c>
    </row>
    <row r="2345" spans="1:2" ht="12.5">
      <c r="A2345">
        <v>0</v>
      </c>
      <c r="B2345">
        <v>0</v>
      </c>
    </row>
    <row r="2346" spans="1:2" ht="12.5">
      <c r="A2346">
        <v>0</v>
      </c>
      <c r="B2346">
        <v>0</v>
      </c>
    </row>
    <row r="2347" spans="1:2" ht="12.5">
      <c r="A2347">
        <v>0</v>
      </c>
      <c r="B2347">
        <v>0</v>
      </c>
    </row>
    <row r="2348" spans="1:2" ht="12.5">
      <c r="A2348">
        <v>0</v>
      </c>
      <c r="B2348">
        <v>0</v>
      </c>
    </row>
    <row r="2349" spans="1:2" ht="12.5">
      <c r="A2349">
        <v>0</v>
      </c>
      <c r="B2349">
        <v>0</v>
      </c>
    </row>
    <row r="2350" spans="1:2" ht="12.5">
      <c r="A2350">
        <v>0</v>
      </c>
      <c r="B2350">
        <v>0</v>
      </c>
    </row>
    <row r="2351" spans="1:2" ht="12.5">
      <c r="A2351">
        <v>0</v>
      </c>
      <c r="B2351">
        <v>0</v>
      </c>
    </row>
    <row r="2352" spans="1:2" ht="12.5">
      <c r="A2352">
        <v>0</v>
      </c>
      <c r="B2352">
        <v>0</v>
      </c>
    </row>
    <row r="2353" spans="1:2" ht="12.5">
      <c r="A2353">
        <v>0</v>
      </c>
      <c r="B2353">
        <v>0</v>
      </c>
    </row>
    <row r="2354" spans="1:2" ht="12.5">
      <c r="A2354">
        <v>0</v>
      </c>
      <c r="B2354">
        <v>0</v>
      </c>
    </row>
    <row r="2355" spans="1:2" ht="12.5">
      <c r="A2355">
        <v>0</v>
      </c>
      <c r="B2355">
        <v>0</v>
      </c>
    </row>
    <row r="2356" spans="1:2" ht="12.5">
      <c r="A2356">
        <v>0</v>
      </c>
      <c r="B2356">
        <v>0</v>
      </c>
    </row>
    <row r="2357" spans="1:2" ht="12.5">
      <c r="A2357">
        <v>0</v>
      </c>
      <c r="B2357">
        <v>0</v>
      </c>
    </row>
    <row r="2358" spans="1:2" ht="12.5">
      <c r="A2358">
        <v>0</v>
      </c>
      <c r="B2358">
        <v>0</v>
      </c>
    </row>
    <row r="2359" spans="1:2" ht="12.5">
      <c r="A2359">
        <v>0</v>
      </c>
      <c r="B2359">
        <v>0</v>
      </c>
    </row>
    <row r="2360" spans="1:2" ht="12.5">
      <c r="A2360">
        <v>0</v>
      </c>
      <c r="B2360">
        <v>0</v>
      </c>
    </row>
    <row r="2361" spans="1:2" ht="12.5">
      <c r="A2361">
        <v>0</v>
      </c>
      <c r="B2361">
        <v>0</v>
      </c>
    </row>
    <row r="2362" spans="1:2" ht="12.5">
      <c r="A2362">
        <v>0</v>
      </c>
      <c r="B2362">
        <v>0</v>
      </c>
    </row>
    <row r="2363" spans="1:2" ht="12.5">
      <c r="A2363">
        <v>0</v>
      </c>
      <c r="B2363">
        <v>0</v>
      </c>
    </row>
    <row r="2364" spans="1:2" ht="12.5">
      <c r="A2364">
        <v>0</v>
      </c>
      <c r="B2364">
        <v>0</v>
      </c>
    </row>
    <row r="2365" spans="1:2" ht="12.5">
      <c r="A2365">
        <v>0</v>
      </c>
      <c r="B2365">
        <v>0</v>
      </c>
    </row>
    <row r="2366" spans="1:2" ht="12.5">
      <c r="A2366">
        <v>0</v>
      </c>
      <c r="B2366">
        <v>0</v>
      </c>
    </row>
    <row r="2367" spans="1:2" ht="12.5">
      <c r="A2367">
        <v>0</v>
      </c>
      <c r="B2367">
        <v>0</v>
      </c>
    </row>
    <row r="2368" spans="1:2" ht="12.5">
      <c r="A2368">
        <v>0</v>
      </c>
      <c r="B2368">
        <v>0</v>
      </c>
    </row>
    <row r="2369" spans="1:2" ht="12.5">
      <c r="A2369">
        <v>0</v>
      </c>
      <c r="B2369">
        <v>0</v>
      </c>
    </row>
    <row r="2370" spans="1:2" ht="12.5">
      <c r="A2370">
        <v>0</v>
      </c>
      <c r="B2370">
        <v>0</v>
      </c>
    </row>
    <row r="2371" spans="1:2" ht="12.5">
      <c r="A2371">
        <v>0</v>
      </c>
      <c r="B2371">
        <v>0</v>
      </c>
    </row>
    <row r="2372" spans="1:2" ht="12.5">
      <c r="A2372">
        <v>0</v>
      </c>
      <c r="B2372">
        <v>0</v>
      </c>
    </row>
    <row r="2373" spans="1:2" ht="12.5">
      <c r="A2373">
        <v>0</v>
      </c>
      <c r="B2373">
        <v>0</v>
      </c>
    </row>
    <row r="2374" spans="1:2" ht="12.5">
      <c r="A2374">
        <v>0</v>
      </c>
      <c r="B2374">
        <v>0</v>
      </c>
    </row>
    <row r="2375" spans="1:2" ht="12.5">
      <c r="A2375">
        <v>0</v>
      </c>
      <c r="B2375">
        <v>0</v>
      </c>
    </row>
    <row r="2376" spans="1:2" ht="12.5">
      <c r="A2376">
        <v>0</v>
      </c>
      <c r="B2376">
        <v>0</v>
      </c>
    </row>
    <row r="2377" spans="1:2" ht="12.5">
      <c r="A2377">
        <v>0</v>
      </c>
      <c r="B2377">
        <v>0</v>
      </c>
    </row>
    <row r="2378" spans="1:2" ht="12.5">
      <c r="A2378">
        <v>0</v>
      </c>
      <c r="B2378">
        <v>0</v>
      </c>
    </row>
    <row r="2379" spans="1:2" ht="12.5">
      <c r="A2379">
        <v>0</v>
      </c>
      <c r="B2379">
        <v>0</v>
      </c>
    </row>
    <row r="2380" spans="1:2" ht="12.5">
      <c r="A2380">
        <v>0</v>
      </c>
      <c r="B2380">
        <v>0</v>
      </c>
    </row>
    <row r="2381" spans="1:2" ht="12.5">
      <c r="A2381">
        <v>0</v>
      </c>
      <c r="B2381">
        <v>0</v>
      </c>
    </row>
    <row r="2382" spans="1:2" ht="12.5">
      <c r="A2382">
        <v>0</v>
      </c>
      <c r="B2382">
        <v>0</v>
      </c>
    </row>
    <row r="2383" spans="1:2" ht="12.5">
      <c r="A2383">
        <v>0</v>
      </c>
      <c r="B2383">
        <v>0</v>
      </c>
    </row>
    <row r="2384" spans="1:2" ht="12.5">
      <c r="A2384">
        <v>0</v>
      </c>
      <c r="B2384">
        <v>0</v>
      </c>
    </row>
    <row r="2385" spans="1:2" ht="12.5">
      <c r="A2385">
        <v>0</v>
      </c>
      <c r="B2385">
        <v>0</v>
      </c>
    </row>
    <row r="2386" spans="1:2" ht="12.5">
      <c r="A2386">
        <v>0</v>
      </c>
      <c r="B2386">
        <v>0</v>
      </c>
    </row>
    <row r="2387" spans="1:2" ht="12.5">
      <c r="A2387">
        <v>0</v>
      </c>
      <c r="B2387">
        <v>0</v>
      </c>
    </row>
    <row r="2388" spans="1:2" ht="12.5">
      <c r="A2388">
        <v>0</v>
      </c>
      <c r="B2388">
        <v>0</v>
      </c>
    </row>
    <row r="2389" spans="1:2" ht="12.5">
      <c r="A2389">
        <v>0</v>
      </c>
      <c r="B2389">
        <v>0</v>
      </c>
    </row>
    <row r="2390" spans="1:2" ht="12.5">
      <c r="A2390">
        <v>0</v>
      </c>
      <c r="B2390">
        <v>0</v>
      </c>
    </row>
    <row r="2391" spans="1:2" ht="12.5">
      <c r="A2391">
        <v>0</v>
      </c>
      <c r="B2391">
        <v>0</v>
      </c>
    </row>
    <row r="2392" spans="1:2" ht="12.5">
      <c r="A2392">
        <v>0</v>
      </c>
      <c r="B2392">
        <v>0</v>
      </c>
    </row>
    <row r="2393" spans="1:2" ht="12.5">
      <c r="A2393">
        <v>0</v>
      </c>
      <c r="B2393">
        <v>0</v>
      </c>
    </row>
    <row r="2394" spans="1:2" ht="12.5">
      <c r="A2394">
        <v>0</v>
      </c>
      <c r="B2394">
        <v>0</v>
      </c>
    </row>
    <row r="2395" spans="1:2" ht="12.5">
      <c r="A2395">
        <v>0</v>
      </c>
      <c r="B2395">
        <v>0</v>
      </c>
    </row>
    <row r="2396" spans="1:2" ht="12.5">
      <c r="A2396">
        <v>0</v>
      </c>
      <c r="B2396">
        <v>0</v>
      </c>
    </row>
    <row r="2397" spans="1:2" ht="12.5">
      <c r="A2397">
        <v>0</v>
      </c>
      <c r="B2397">
        <v>0</v>
      </c>
    </row>
    <row r="2398" spans="1:2" ht="12.5">
      <c r="A2398">
        <v>0</v>
      </c>
      <c r="B2398">
        <v>0</v>
      </c>
    </row>
    <row r="2399" spans="1:2" ht="12.5">
      <c r="A2399">
        <v>0</v>
      </c>
      <c r="B2399">
        <v>0</v>
      </c>
    </row>
    <row r="2400" spans="1:2" ht="12.5">
      <c r="A2400">
        <v>0</v>
      </c>
      <c r="B2400">
        <v>0</v>
      </c>
    </row>
    <row r="2401" spans="1:2" ht="12.5">
      <c r="A2401">
        <v>0</v>
      </c>
      <c r="B2401">
        <v>0</v>
      </c>
    </row>
    <row r="2402" spans="1:2" ht="12.5">
      <c r="A2402">
        <v>0</v>
      </c>
      <c r="B2402">
        <v>0</v>
      </c>
    </row>
    <row r="2403" spans="1:2" ht="12.5">
      <c r="A2403">
        <v>0</v>
      </c>
      <c r="B2403">
        <v>0</v>
      </c>
    </row>
    <row r="2404" spans="1:2" ht="12.5">
      <c r="A2404">
        <v>0</v>
      </c>
      <c r="B2404">
        <v>0</v>
      </c>
    </row>
    <row r="2405" spans="1:2" ht="12.5">
      <c r="A2405">
        <v>0</v>
      </c>
      <c r="B2405">
        <v>0</v>
      </c>
    </row>
    <row r="2406" spans="1:2" ht="12.5">
      <c r="A2406">
        <v>0</v>
      </c>
      <c r="B2406">
        <v>0</v>
      </c>
    </row>
    <row r="2407" spans="1:2" ht="12.5">
      <c r="A2407">
        <v>0</v>
      </c>
      <c r="B2407">
        <v>0</v>
      </c>
    </row>
    <row r="2408" spans="1:2" ht="12.5">
      <c r="A2408">
        <v>0</v>
      </c>
      <c r="B2408">
        <v>0</v>
      </c>
    </row>
    <row r="2409" spans="1:2" ht="12.5">
      <c r="A2409">
        <v>0</v>
      </c>
      <c r="B2409">
        <v>0</v>
      </c>
    </row>
    <row r="2410" spans="1:2" ht="12.5">
      <c r="A2410">
        <v>0</v>
      </c>
      <c r="B2410">
        <v>0</v>
      </c>
    </row>
    <row r="2411" spans="1:2" ht="12.5">
      <c r="A2411">
        <v>0</v>
      </c>
      <c r="B2411">
        <v>0</v>
      </c>
    </row>
    <row r="2412" spans="1:2" ht="12.5">
      <c r="A2412">
        <v>0</v>
      </c>
      <c r="B2412">
        <v>0</v>
      </c>
    </row>
    <row r="2413" spans="1:2" ht="12.5">
      <c r="A2413">
        <v>0</v>
      </c>
      <c r="B2413">
        <v>0</v>
      </c>
    </row>
    <row r="2414" spans="1:2" ht="12.5">
      <c r="A2414">
        <v>0</v>
      </c>
      <c r="B2414">
        <v>0</v>
      </c>
    </row>
    <row r="2415" spans="1:2" ht="12.5">
      <c r="A2415">
        <v>0</v>
      </c>
      <c r="B2415">
        <v>0</v>
      </c>
    </row>
    <row r="2416" spans="1:2" ht="12.5">
      <c r="A2416">
        <v>0</v>
      </c>
      <c r="B2416">
        <v>0</v>
      </c>
    </row>
    <row r="2417" spans="1:2" ht="12.5">
      <c r="A2417">
        <v>0</v>
      </c>
      <c r="B2417">
        <v>0</v>
      </c>
    </row>
    <row r="2418" spans="1:2" ht="12.5">
      <c r="A2418">
        <v>0</v>
      </c>
      <c r="B2418">
        <v>0</v>
      </c>
    </row>
    <row r="2419" spans="1:2" ht="12.5">
      <c r="A2419">
        <v>0</v>
      </c>
      <c r="B2419">
        <v>0</v>
      </c>
    </row>
    <row r="2420" spans="1:2" ht="12.5">
      <c r="A2420">
        <v>0</v>
      </c>
      <c r="B2420">
        <v>0</v>
      </c>
    </row>
    <row r="2421" spans="1:2" ht="12.5">
      <c r="A2421">
        <v>0</v>
      </c>
      <c r="B2421">
        <v>0</v>
      </c>
    </row>
    <row r="2422" spans="1:2" ht="12.5">
      <c r="A2422">
        <v>0</v>
      </c>
      <c r="B2422">
        <v>0</v>
      </c>
    </row>
    <row r="2423" spans="1:2" ht="12.5">
      <c r="A2423">
        <v>0</v>
      </c>
      <c r="B2423">
        <v>0</v>
      </c>
    </row>
    <row r="2424" spans="1:2" ht="12.5">
      <c r="A2424">
        <v>0</v>
      </c>
      <c r="B2424">
        <v>0</v>
      </c>
    </row>
    <row r="2425" spans="1:2" ht="12.5">
      <c r="A2425">
        <v>0</v>
      </c>
      <c r="B2425">
        <v>0</v>
      </c>
    </row>
    <row r="2426" spans="1:2" ht="12.5">
      <c r="A2426">
        <v>0</v>
      </c>
      <c r="B2426">
        <v>0</v>
      </c>
    </row>
    <row r="2427" spans="1:2" ht="12.5">
      <c r="A2427">
        <v>0</v>
      </c>
      <c r="B2427">
        <v>0</v>
      </c>
    </row>
    <row r="2428" spans="1:2" ht="12.5">
      <c r="A2428">
        <v>0</v>
      </c>
      <c r="B2428">
        <v>0</v>
      </c>
    </row>
    <row r="2429" spans="1:2" ht="12.5">
      <c r="A2429">
        <v>0</v>
      </c>
      <c r="B2429">
        <v>0</v>
      </c>
    </row>
    <row r="2430" spans="1:2" ht="12.5">
      <c r="A2430">
        <v>0</v>
      </c>
      <c r="B2430">
        <v>0</v>
      </c>
    </row>
    <row r="2431" spans="1:2" ht="12.5">
      <c r="A2431">
        <v>0</v>
      </c>
      <c r="B2431">
        <v>0</v>
      </c>
    </row>
    <row r="2432" spans="1:2" ht="12.5">
      <c r="A2432">
        <v>0</v>
      </c>
      <c r="B2432">
        <v>0</v>
      </c>
    </row>
    <row r="2433" spans="1:2" ht="12.5">
      <c r="A2433">
        <v>0</v>
      </c>
      <c r="B2433">
        <v>0</v>
      </c>
    </row>
    <row r="2434" spans="1:2" ht="12.5">
      <c r="A2434">
        <v>0</v>
      </c>
      <c r="B2434">
        <v>0</v>
      </c>
    </row>
    <row r="2435" spans="1:2" ht="12.5">
      <c r="A2435">
        <v>0</v>
      </c>
      <c r="B2435">
        <v>0</v>
      </c>
    </row>
    <row r="2436" spans="1:2" ht="12.5">
      <c r="A2436">
        <v>0</v>
      </c>
      <c r="B2436">
        <v>0</v>
      </c>
    </row>
    <row r="2437" spans="1:2" ht="12.5">
      <c r="A2437">
        <v>0</v>
      </c>
      <c r="B2437">
        <v>0</v>
      </c>
    </row>
    <row r="2438" spans="1:2" ht="12.5">
      <c r="A2438">
        <v>0</v>
      </c>
      <c r="B2438">
        <v>0</v>
      </c>
    </row>
    <row r="2439" spans="1:2" ht="12.5">
      <c r="A2439">
        <v>0</v>
      </c>
      <c r="B2439">
        <v>0</v>
      </c>
    </row>
    <row r="2440" spans="1:2" ht="12.5">
      <c r="A2440">
        <v>0</v>
      </c>
      <c r="B2440">
        <v>0</v>
      </c>
    </row>
    <row r="2441" spans="1:2" ht="12.5">
      <c r="A2441">
        <v>0</v>
      </c>
      <c r="B2441">
        <v>0</v>
      </c>
    </row>
    <row r="2442" spans="1:2" ht="12.5">
      <c r="A2442">
        <v>0</v>
      </c>
      <c r="B2442">
        <v>0</v>
      </c>
    </row>
    <row r="2443" spans="1:2" ht="12.5">
      <c r="A2443">
        <v>0</v>
      </c>
      <c r="B2443">
        <v>0</v>
      </c>
    </row>
    <row r="2444" spans="1:2" ht="12.5">
      <c r="A2444">
        <v>0</v>
      </c>
      <c r="B2444">
        <v>0</v>
      </c>
    </row>
    <row r="2445" spans="1:2" ht="12.5">
      <c r="A2445">
        <v>0</v>
      </c>
      <c r="B2445">
        <v>0</v>
      </c>
    </row>
    <row r="2446" spans="1:2" ht="12.5">
      <c r="A2446">
        <v>0</v>
      </c>
      <c r="B2446">
        <v>0</v>
      </c>
    </row>
    <row r="2447" spans="1:2" ht="12.5">
      <c r="A2447">
        <v>0</v>
      </c>
      <c r="B2447">
        <v>0</v>
      </c>
    </row>
    <row r="2448" spans="1:2" ht="12.5">
      <c r="A2448">
        <v>0</v>
      </c>
      <c r="B2448">
        <v>0</v>
      </c>
    </row>
    <row r="2449" spans="1:2" ht="12.5">
      <c r="A2449">
        <v>0</v>
      </c>
      <c r="B2449">
        <v>0</v>
      </c>
    </row>
    <row r="2450" spans="1:2" ht="12.5">
      <c r="A2450">
        <v>0</v>
      </c>
      <c r="B2450">
        <v>0</v>
      </c>
    </row>
    <row r="2451" spans="1:2" ht="12.5">
      <c r="A2451">
        <v>0</v>
      </c>
      <c r="B2451">
        <v>0</v>
      </c>
    </row>
    <row r="2452" spans="1:2" ht="12.5">
      <c r="A2452">
        <v>0</v>
      </c>
      <c r="B2452">
        <v>0</v>
      </c>
    </row>
    <row r="2453" spans="1:2" ht="12.5">
      <c r="A2453">
        <v>0</v>
      </c>
      <c r="B2453">
        <v>0</v>
      </c>
    </row>
    <row r="2454" spans="1:2" ht="12.5">
      <c r="A2454">
        <v>0</v>
      </c>
      <c r="B2454">
        <v>0</v>
      </c>
    </row>
    <row r="2455" spans="1:2" ht="12.5">
      <c r="A2455">
        <v>0</v>
      </c>
      <c r="B2455">
        <v>0</v>
      </c>
    </row>
    <row r="2456" spans="1:2" ht="12.5">
      <c r="A2456">
        <v>0</v>
      </c>
      <c r="B2456">
        <v>0</v>
      </c>
    </row>
    <row r="2457" spans="1:2" ht="12.5">
      <c r="A2457">
        <v>0</v>
      </c>
      <c r="B2457">
        <v>0</v>
      </c>
    </row>
    <row r="2458" spans="1:2" ht="12.5">
      <c r="A2458">
        <v>0</v>
      </c>
      <c r="B2458">
        <v>0</v>
      </c>
    </row>
    <row r="2459" spans="1:2" ht="12.5">
      <c r="A2459">
        <v>0</v>
      </c>
      <c r="B2459">
        <v>0</v>
      </c>
    </row>
    <row r="2460" spans="1:2" ht="12.5">
      <c r="A2460">
        <v>0</v>
      </c>
      <c r="B2460">
        <v>0</v>
      </c>
    </row>
    <row r="2461" spans="1:2" ht="12.5">
      <c r="A2461">
        <v>0</v>
      </c>
      <c r="B2461">
        <v>0</v>
      </c>
    </row>
    <row r="2462" spans="1:2" ht="12.5">
      <c r="A2462">
        <v>0</v>
      </c>
      <c r="B2462">
        <v>0</v>
      </c>
    </row>
    <row r="2463" spans="1:2" ht="12.5">
      <c r="A2463">
        <v>0</v>
      </c>
      <c r="B2463">
        <v>0</v>
      </c>
    </row>
    <row r="2464" spans="1:2" ht="12.5">
      <c r="A2464">
        <v>0</v>
      </c>
      <c r="B2464">
        <v>0</v>
      </c>
    </row>
    <row r="2465" spans="1:2" ht="12.5">
      <c r="A2465">
        <v>0</v>
      </c>
      <c r="B2465">
        <v>0</v>
      </c>
    </row>
    <row r="2466" spans="1:2" ht="12.5">
      <c r="A2466">
        <v>0</v>
      </c>
      <c r="B2466">
        <v>0</v>
      </c>
    </row>
    <row r="2467" spans="1:2" ht="12.5">
      <c r="A2467">
        <v>0</v>
      </c>
      <c r="B2467">
        <v>0</v>
      </c>
    </row>
    <row r="2468" spans="1:2" ht="12.5">
      <c r="A2468">
        <v>0</v>
      </c>
      <c r="B2468">
        <v>0</v>
      </c>
    </row>
    <row r="2469" spans="1:2" ht="12.5">
      <c r="A2469">
        <v>0</v>
      </c>
      <c r="B2469">
        <v>0</v>
      </c>
    </row>
    <row r="2470" spans="1:2" ht="12.5">
      <c r="A2470">
        <v>0</v>
      </c>
      <c r="B2470">
        <v>0</v>
      </c>
    </row>
    <row r="2471" spans="1:2" ht="12.5">
      <c r="A2471">
        <v>0</v>
      </c>
      <c r="B2471">
        <v>0</v>
      </c>
    </row>
    <row r="2472" spans="1:2" ht="12.5">
      <c r="A2472">
        <v>0</v>
      </c>
      <c r="B2472">
        <v>0</v>
      </c>
    </row>
    <row r="2473" spans="1:2" ht="12.5">
      <c r="A2473">
        <v>0</v>
      </c>
      <c r="B2473">
        <v>0</v>
      </c>
    </row>
    <row r="2474" spans="1:2" ht="12.5">
      <c r="A2474">
        <v>0</v>
      </c>
      <c r="B2474">
        <v>0</v>
      </c>
    </row>
    <row r="2475" spans="1:2" ht="12.5">
      <c r="A2475">
        <v>0</v>
      </c>
      <c r="B2475">
        <v>0</v>
      </c>
    </row>
    <row r="2476" spans="1:2" ht="12.5">
      <c r="A2476">
        <v>0</v>
      </c>
      <c r="B2476">
        <v>0</v>
      </c>
    </row>
    <row r="2477" spans="1:2" ht="12.5">
      <c r="A2477">
        <v>0</v>
      </c>
      <c r="B2477">
        <v>0</v>
      </c>
    </row>
    <row r="2478" spans="1:2" ht="12.5">
      <c r="A2478">
        <v>0</v>
      </c>
      <c r="B2478">
        <v>0</v>
      </c>
    </row>
    <row r="2479" spans="1:2" ht="12.5">
      <c r="A2479">
        <v>0</v>
      </c>
      <c r="B2479">
        <v>0</v>
      </c>
    </row>
    <row r="2480" spans="1:2" ht="12.5">
      <c r="A2480">
        <v>0</v>
      </c>
      <c r="B2480">
        <v>0</v>
      </c>
    </row>
    <row r="2481" spans="1:2" ht="12.5">
      <c r="A2481">
        <v>0</v>
      </c>
      <c r="B2481">
        <v>0</v>
      </c>
    </row>
    <row r="2482" spans="1:2" ht="12.5">
      <c r="A2482">
        <v>0</v>
      </c>
      <c r="B2482">
        <v>0</v>
      </c>
    </row>
    <row r="2483" spans="1:2" ht="12.5">
      <c r="A2483">
        <v>0</v>
      </c>
      <c r="B2483">
        <v>0</v>
      </c>
    </row>
    <row r="2484" spans="1:2" ht="12.5">
      <c r="A2484">
        <v>0</v>
      </c>
      <c r="B2484">
        <v>0</v>
      </c>
    </row>
    <row r="2485" spans="1:2" ht="12.5">
      <c r="A2485">
        <v>0</v>
      </c>
      <c r="B2485">
        <v>0</v>
      </c>
    </row>
    <row r="2486" spans="1:2" ht="12.5">
      <c r="A2486">
        <v>0</v>
      </c>
      <c r="B2486">
        <v>0</v>
      </c>
    </row>
    <row r="2487" spans="1:2" ht="12.5">
      <c r="A2487">
        <v>0</v>
      </c>
      <c r="B2487">
        <v>0</v>
      </c>
    </row>
    <row r="2488" spans="1:2" ht="12.5">
      <c r="A2488">
        <v>0</v>
      </c>
      <c r="B2488">
        <v>0</v>
      </c>
    </row>
    <row r="2489" spans="1:2" ht="12.5">
      <c r="A2489">
        <v>0</v>
      </c>
      <c r="B2489">
        <v>0</v>
      </c>
    </row>
    <row r="2490" spans="1:2" ht="12.5">
      <c r="A2490">
        <v>0</v>
      </c>
      <c r="B2490">
        <v>0</v>
      </c>
    </row>
    <row r="2491" spans="1:2" ht="12.5">
      <c r="A2491">
        <v>0</v>
      </c>
      <c r="B2491">
        <v>0</v>
      </c>
    </row>
    <row r="2492" spans="1:2" ht="12.5">
      <c r="A2492">
        <v>0</v>
      </c>
      <c r="B2492">
        <v>0</v>
      </c>
    </row>
    <row r="2493" spans="1:2" ht="12.5">
      <c r="A2493">
        <v>0</v>
      </c>
      <c r="B2493">
        <v>0</v>
      </c>
    </row>
    <row r="2494" spans="1:2" ht="12.5">
      <c r="A2494">
        <v>0</v>
      </c>
      <c r="B2494">
        <v>0</v>
      </c>
    </row>
    <row r="2495" spans="1:2" ht="12.5">
      <c r="A2495">
        <v>0</v>
      </c>
      <c r="B2495">
        <v>0</v>
      </c>
    </row>
    <row r="2496" spans="1:2" ht="12.5">
      <c r="A2496">
        <v>0</v>
      </c>
      <c r="B2496">
        <v>0</v>
      </c>
    </row>
    <row r="2497" spans="1:2" ht="12.5">
      <c r="A2497">
        <v>0</v>
      </c>
      <c r="B2497">
        <v>0</v>
      </c>
    </row>
    <row r="2498" spans="1:2" ht="12.5">
      <c r="A2498">
        <v>0</v>
      </c>
      <c r="B2498">
        <v>0</v>
      </c>
    </row>
    <row r="2499" spans="1:2" ht="12.5">
      <c r="A2499">
        <v>0</v>
      </c>
      <c r="B2499">
        <v>0</v>
      </c>
    </row>
    <row r="2500" spans="1:2" ht="12.5">
      <c r="A2500">
        <v>0</v>
      </c>
      <c r="B2500">
        <v>0</v>
      </c>
    </row>
    <row r="2501" spans="1:2" ht="12.5">
      <c r="A2501">
        <v>0</v>
      </c>
      <c r="B2501">
        <v>0</v>
      </c>
    </row>
    <row r="2502" spans="1:2" ht="12.5">
      <c r="A2502">
        <v>0</v>
      </c>
      <c r="B2502">
        <v>0</v>
      </c>
    </row>
    <row r="2503" spans="1:2" ht="12.5">
      <c r="A2503">
        <v>0</v>
      </c>
      <c r="B2503">
        <v>0</v>
      </c>
    </row>
    <row r="2504" spans="1:2" ht="12.5">
      <c r="A2504">
        <v>0</v>
      </c>
      <c r="B2504">
        <v>0</v>
      </c>
    </row>
    <row r="2505" spans="1:2" ht="12.5">
      <c r="A2505">
        <v>0</v>
      </c>
      <c r="B2505">
        <v>0</v>
      </c>
    </row>
    <row r="2506" spans="1:2" ht="12.5">
      <c r="A2506">
        <v>0</v>
      </c>
      <c r="B2506">
        <v>0</v>
      </c>
    </row>
    <row r="2507" spans="1:2" ht="12.5">
      <c r="A2507">
        <v>0</v>
      </c>
      <c r="B2507">
        <v>0</v>
      </c>
    </row>
    <row r="2508" spans="1:2" ht="12.5">
      <c r="A2508">
        <v>0</v>
      </c>
      <c r="B2508">
        <v>0</v>
      </c>
    </row>
    <row r="2509" spans="1:2" ht="12.5">
      <c r="A2509">
        <v>0</v>
      </c>
      <c r="B2509">
        <v>0</v>
      </c>
    </row>
    <row r="2510" spans="1:2" ht="12.5">
      <c r="A2510">
        <v>0</v>
      </c>
      <c r="B2510">
        <v>0</v>
      </c>
    </row>
    <row r="2511" spans="1:2" ht="12.5">
      <c r="A2511">
        <v>0</v>
      </c>
      <c r="B2511">
        <v>0</v>
      </c>
    </row>
    <row r="2512" spans="1:2" ht="12.5">
      <c r="A2512">
        <v>0</v>
      </c>
      <c r="B2512">
        <v>0</v>
      </c>
    </row>
    <row r="2513" spans="1:2" ht="12.5">
      <c r="A2513">
        <v>0</v>
      </c>
      <c r="B2513">
        <v>0</v>
      </c>
    </row>
    <row r="2514" spans="1:2" ht="12.5">
      <c r="A2514">
        <v>0</v>
      </c>
      <c r="B2514">
        <v>0</v>
      </c>
    </row>
    <row r="2515" spans="1:2" ht="12.5">
      <c r="A2515">
        <v>0</v>
      </c>
      <c r="B2515">
        <v>0</v>
      </c>
    </row>
    <row r="2516" spans="1:2" ht="12.5">
      <c r="A2516">
        <v>0</v>
      </c>
      <c r="B2516">
        <v>0</v>
      </c>
    </row>
    <row r="2517" spans="1:2" ht="12.5">
      <c r="A2517">
        <v>0</v>
      </c>
      <c r="B2517">
        <v>0</v>
      </c>
    </row>
    <row r="2518" spans="1:2" ht="12.5">
      <c r="A2518">
        <v>0</v>
      </c>
      <c r="B2518">
        <v>0</v>
      </c>
    </row>
    <row r="2519" spans="1:2" ht="12.5">
      <c r="A2519">
        <v>0</v>
      </c>
      <c r="B2519">
        <v>0</v>
      </c>
    </row>
    <row r="2520" spans="1:2" ht="12.5">
      <c r="A2520">
        <v>0</v>
      </c>
      <c r="B2520">
        <v>0</v>
      </c>
    </row>
    <row r="2521" spans="1:2" ht="12.5">
      <c r="A2521">
        <v>0</v>
      </c>
      <c r="B2521">
        <v>0</v>
      </c>
    </row>
    <row r="2522" spans="1:2" ht="12.5">
      <c r="A2522">
        <v>0</v>
      </c>
      <c r="B2522">
        <v>0</v>
      </c>
    </row>
    <row r="2523" spans="1:2" ht="12.5">
      <c r="A2523">
        <v>0</v>
      </c>
      <c r="B2523">
        <v>0</v>
      </c>
    </row>
    <row r="2524" spans="1:2" ht="12.5">
      <c r="A2524">
        <v>0</v>
      </c>
      <c r="B2524">
        <v>0</v>
      </c>
    </row>
    <row r="2525" spans="1:2" ht="12.5">
      <c r="A2525">
        <v>0</v>
      </c>
      <c r="B2525">
        <v>0</v>
      </c>
    </row>
    <row r="2526" spans="1:2" ht="12.5">
      <c r="A2526">
        <v>0</v>
      </c>
      <c r="B2526">
        <v>0</v>
      </c>
    </row>
    <row r="2527" spans="1:2" ht="12.5">
      <c r="A2527">
        <v>0</v>
      </c>
      <c r="B2527">
        <v>0</v>
      </c>
    </row>
    <row r="2528" spans="1:2" ht="12.5">
      <c r="A2528">
        <v>0</v>
      </c>
      <c r="B2528">
        <v>0</v>
      </c>
    </row>
    <row r="2529" spans="1:2" ht="12.5">
      <c r="A2529">
        <v>0</v>
      </c>
      <c r="B2529">
        <v>0</v>
      </c>
    </row>
    <row r="2530" spans="1:2" ht="12.5">
      <c r="A2530">
        <v>0</v>
      </c>
      <c r="B2530">
        <v>0</v>
      </c>
    </row>
    <row r="2531" spans="1:2" ht="12.5">
      <c r="A2531">
        <v>0</v>
      </c>
      <c r="B2531">
        <v>0</v>
      </c>
    </row>
    <row r="2532" spans="1:2" ht="12.5">
      <c r="A2532">
        <v>0</v>
      </c>
      <c r="B2532">
        <v>0</v>
      </c>
    </row>
    <row r="2533" spans="1:2" ht="12.5">
      <c r="A2533">
        <v>0</v>
      </c>
      <c r="B2533">
        <v>0</v>
      </c>
    </row>
    <row r="2534" spans="1:2" ht="12.5">
      <c r="A2534">
        <v>0</v>
      </c>
      <c r="B2534">
        <v>0</v>
      </c>
    </row>
    <row r="2535" spans="1:2" ht="12.5">
      <c r="A2535">
        <v>0</v>
      </c>
      <c r="B2535">
        <v>0</v>
      </c>
    </row>
    <row r="2536" spans="1:2" ht="12.5">
      <c r="A2536">
        <v>0</v>
      </c>
      <c r="B2536">
        <v>0</v>
      </c>
    </row>
    <row r="2537" spans="1:2" ht="12.5">
      <c r="A2537">
        <v>0</v>
      </c>
      <c r="B2537">
        <v>0</v>
      </c>
    </row>
    <row r="2538" spans="1:2" ht="12.5">
      <c r="A2538">
        <v>0</v>
      </c>
      <c r="B2538">
        <v>0</v>
      </c>
    </row>
    <row r="2539" spans="1:2" ht="12.5">
      <c r="A2539">
        <v>0</v>
      </c>
      <c r="B2539">
        <v>0</v>
      </c>
    </row>
    <row r="2540" spans="1:2" ht="12.5">
      <c r="A2540">
        <v>0</v>
      </c>
      <c r="B2540">
        <v>0</v>
      </c>
    </row>
    <row r="2541" spans="1:2" ht="12.5">
      <c r="A2541">
        <v>0</v>
      </c>
      <c r="B2541">
        <v>0</v>
      </c>
    </row>
    <row r="2542" spans="1:2" ht="12.5">
      <c r="A2542">
        <v>0</v>
      </c>
      <c r="B2542">
        <v>0</v>
      </c>
    </row>
    <row r="2543" spans="1:2" ht="12.5">
      <c r="A2543">
        <v>0</v>
      </c>
      <c r="B2543">
        <v>0</v>
      </c>
    </row>
    <row r="2544" spans="1:2" ht="12.5">
      <c r="A2544">
        <v>0</v>
      </c>
      <c r="B2544">
        <v>0</v>
      </c>
    </row>
    <row r="2545" spans="1:2" ht="12.5">
      <c r="A2545">
        <v>0</v>
      </c>
      <c r="B2545">
        <v>0</v>
      </c>
    </row>
    <row r="2546" spans="1:2" ht="12.5">
      <c r="A2546">
        <v>0</v>
      </c>
      <c r="B2546">
        <v>0</v>
      </c>
    </row>
    <row r="2547" spans="1:2" ht="12.5">
      <c r="A2547">
        <v>0</v>
      </c>
      <c r="B2547">
        <v>0</v>
      </c>
    </row>
    <row r="2548" spans="1:2" ht="12.5">
      <c r="A2548">
        <v>0</v>
      </c>
      <c r="B2548">
        <v>0</v>
      </c>
    </row>
    <row r="2549" spans="1:2" ht="12.5">
      <c r="A2549">
        <v>0</v>
      </c>
      <c r="B2549">
        <v>0</v>
      </c>
    </row>
    <row r="2550" spans="1:2" ht="12.5">
      <c r="A2550">
        <v>0</v>
      </c>
      <c r="B2550">
        <v>0</v>
      </c>
    </row>
    <row r="2551" spans="1:2" ht="12.5">
      <c r="A2551">
        <v>0</v>
      </c>
      <c r="B2551">
        <v>0</v>
      </c>
    </row>
    <row r="2552" spans="1:2" ht="12.5">
      <c r="A2552">
        <v>0</v>
      </c>
      <c r="B2552">
        <v>0</v>
      </c>
    </row>
    <row r="2553" spans="1:2" ht="12.5">
      <c r="A2553">
        <v>0</v>
      </c>
      <c r="B2553">
        <v>0</v>
      </c>
    </row>
    <row r="2554" spans="1:2" ht="12.5">
      <c r="A2554">
        <v>0</v>
      </c>
      <c r="B2554">
        <v>0</v>
      </c>
    </row>
    <row r="2555" spans="1:2" ht="12.5">
      <c r="A2555">
        <v>0</v>
      </c>
      <c r="B2555">
        <v>0</v>
      </c>
    </row>
    <row r="2556" spans="1:2" ht="12.5">
      <c r="A2556">
        <v>0</v>
      </c>
      <c r="B2556">
        <v>0</v>
      </c>
    </row>
    <row r="2557" spans="1:2" ht="12.5">
      <c r="A2557">
        <v>0</v>
      </c>
      <c r="B2557">
        <v>0</v>
      </c>
    </row>
    <row r="2558" spans="1:2" ht="12.5">
      <c r="A2558">
        <v>0</v>
      </c>
      <c r="B2558">
        <v>0</v>
      </c>
    </row>
    <row r="2559" spans="1:2" ht="12.5">
      <c r="A2559">
        <v>0</v>
      </c>
      <c r="B2559">
        <v>0</v>
      </c>
    </row>
    <row r="2560" spans="1:2" ht="12.5">
      <c r="A2560">
        <v>0</v>
      </c>
      <c r="B2560">
        <v>0</v>
      </c>
    </row>
    <row r="2561" spans="1:2" ht="12.5">
      <c r="A2561">
        <v>0</v>
      </c>
      <c r="B2561">
        <v>0</v>
      </c>
    </row>
    <row r="2562" spans="1:2" ht="12.5">
      <c r="A2562">
        <v>0</v>
      </c>
      <c r="B2562">
        <v>0</v>
      </c>
    </row>
    <row r="2563" spans="1:2" ht="12.5">
      <c r="A2563">
        <v>0</v>
      </c>
      <c r="B2563">
        <v>0</v>
      </c>
    </row>
    <row r="2564" spans="1:2" ht="12.5">
      <c r="A2564">
        <v>0</v>
      </c>
      <c r="B2564">
        <v>0</v>
      </c>
    </row>
    <row r="2565" spans="1:2" ht="12.5">
      <c r="A2565">
        <v>0</v>
      </c>
      <c r="B2565">
        <v>0</v>
      </c>
    </row>
    <row r="2566" spans="1:2" ht="12.5">
      <c r="A2566">
        <v>0</v>
      </c>
      <c r="B2566">
        <v>0</v>
      </c>
    </row>
    <row r="2567" spans="1:2" ht="12.5">
      <c r="A2567">
        <v>0</v>
      </c>
      <c r="B2567">
        <v>0</v>
      </c>
    </row>
    <row r="2568" spans="1:2" ht="12.5">
      <c r="A2568">
        <v>0</v>
      </c>
      <c r="B2568">
        <v>0</v>
      </c>
    </row>
    <row r="2569" spans="1:2" ht="12.5">
      <c r="A2569">
        <v>0</v>
      </c>
      <c r="B2569">
        <v>0</v>
      </c>
    </row>
    <row r="2570" spans="1:2" ht="12.5">
      <c r="A2570">
        <v>0</v>
      </c>
      <c r="B2570">
        <v>0</v>
      </c>
    </row>
    <row r="2571" spans="1:2" ht="12.5">
      <c r="A2571">
        <v>0</v>
      </c>
      <c r="B2571">
        <v>0</v>
      </c>
    </row>
    <row r="2572" spans="1:2" ht="12.5">
      <c r="A2572">
        <v>0</v>
      </c>
      <c r="B2572">
        <v>0</v>
      </c>
    </row>
    <row r="2573" spans="1:2" ht="12.5">
      <c r="A2573">
        <v>0</v>
      </c>
      <c r="B2573">
        <v>0</v>
      </c>
    </row>
    <row r="2574" spans="1:2" ht="12.5">
      <c r="A2574">
        <v>0</v>
      </c>
      <c r="B2574">
        <v>0</v>
      </c>
    </row>
    <row r="2575" spans="1:2" ht="12.5">
      <c r="A2575">
        <v>0</v>
      </c>
      <c r="B2575">
        <v>0</v>
      </c>
    </row>
    <row r="2576" spans="1:2" ht="12.5">
      <c r="A2576">
        <v>0</v>
      </c>
      <c r="B2576">
        <v>0</v>
      </c>
    </row>
    <row r="2577" spans="1:2" ht="12.5">
      <c r="A2577">
        <v>0</v>
      </c>
      <c r="B2577">
        <v>0</v>
      </c>
    </row>
    <row r="2578" spans="1:2" ht="12.5">
      <c r="A2578">
        <v>0</v>
      </c>
      <c r="B2578">
        <v>0</v>
      </c>
    </row>
    <row r="2579" spans="1:2" ht="12.5">
      <c r="A2579">
        <v>0</v>
      </c>
      <c r="B2579">
        <v>0</v>
      </c>
    </row>
    <row r="2580" spans="1:2" ht="12.5">
      <c r="A2580">
        <v>0</v>
      </c>
      <c r="B2580">
        <v>0</v>
      </c>
    </row>
    <row r="2581" spans="1:2" ht="12.5">
      <c r="A2581">
        <v>0</v>
      </c>
      <c r="B2581">
        <v>0</v>
      </c>
    </row>
    <row r="2582" spans="1:2" ht="12.5">
      <c r="A2582">
        <v>0</v>
      </c>
      <c r="B2582">
        <v>0</v>
      </c>
    </row>
    <row r="2583" spans="1:2" ht="12.5">
      <c r="A2583">
        <v>0</v>
      </c>
      <c r="B2583">
        <v>0</v>
      </c>
    </row>
    <row r="2584" spans="1:2" ht="12.5">
      <c r="A2584">
        <v>0</v>
      </c>
      <c r="B2584">
        <v>0</v>
      </c>
    </row>
    <row r="2585" spans="1:2" ht="12.5">
      <c r="A2585">
        <v>0</v>
      </c>
      <c r="B2585">
        <v>0</v>
      </c>
    </row>
    <row r="2586" spans="1:2" ht="12.5">
      <c r="A2586">
        <v>0</v>
      </c>
      <c r="B2586">
        <v>0</v>
      </c>
    </row>
    <row r="2587" spans="1:2" ht="12.5">
      <c r="A2587">
        <v>0</v>
      </c>
      <c r="B2587">
        <v>0</v>
      </c>
    </row>
    <row r="2588" spans="1:2" ht="12.5">
      <c r="A2588">
        <v>0</v>
      </c>
      <c r="B2588">
        <v>0</v>
      </c>
    </row>
    <row r="2589" spans="1:2" ht="12.5">
      <c r="A2589">
        <v>0</v>
      </c>
      <c r="B2589">
        <v>0</v>
      </c>
    </row>
    <row r="2590" spans="1:2" ht="12.5">
      <c r="A2590">
        <v>0</v>
      </c>
      <c r="B2590">
        <v>0</v>
      </c>
    </row>
    <row r="2591" spans="1:2" ht="12.5">
      <c r="A2591">
        <v>0</v>
      </c>
      <c r="B2591">
        <v>0</v>
      </c>
    </row>
    <row r="2592" spans="1:2" ht="12.5">
      <c r="A2592">
        <v>0</v>
      </c>
      <c r="B2592">
        <v>0</v>
      </c>
    </row>
    <row r="2593" spans="1:2" ht="12.5">
      <c r="A2593">
        <v>0</v>
      </c>
      <c r="B2593">
        <v>0</v>
      </c>
    </row>
    <row r="2594" spans="1:2" ht="12.5">
      <c r="A2594">
        <v>0</v>
      </c>
      <c r="B2594">
        <v>0</v>
      </c>
    </row>
    <row r="2595" spans="1:2" ht="12.5">
      <c r="A2595">
        <v>0</v>
      </c>
      <c r="B2595">
        <v>0</v>
      </c>
    </row>
    <row r="2596" spans="1:2" ht="12.5">
      <c r="A2596">
        <v>0</v>
      </c>
      <c r="B2596">
        <v>0</v>
      </c>
    </row>
    <row r="2597" spans="1:2" ht="12.5">
      <c r="A2597">
        <v>0</v>
      </c>
      <c r="B2597">
        <v>0</v>
      </c>
    </row>
    <row r="2598" spans="1:2" ht="12.5">
      <c r="A2598">
        <v>0</v>
      </c>
      <c r="B2598">
        <v>0</v>
      </c>
    </row>
    <row r="2599" spans="1:2" ht="12.5">
      <c r="A2599">
        <v>0</v>
      </c>
      <c r="B2599">
        <v>0</v>
      </c>
    </row>
    <row r="2600" spans="1:2" ht="12.5">
      <c r="A2600">
        <v>0</v>
      </c>
      <c r="B2600">
        <v>0</v>
      </c>
    </row>
    <row r="2601" spans="1:2" ht="12.5">
      <c r="A2601">
        <v>0</v>
      </c>
      <c r="B2601">
        <v>0</v>
      </c>
    </row>
    <row r="2602" spans="1:2" ht="12.5">
      <c r="A2602">
        <v>0</v>
      </c>
      <c r="B2602">
        <v>0</v>
      </c>
    </row>
    <row r="2603" spans="1:2" ht="12.5">
      <c r="A2603">
        <v>0</v>
      </c>
      <c r="B2603">
        <v>0</v>
      </c>
    </row>
    <row r="2604" spans="1:2" ht="12.5">
      <c r="A2604">
        <v>0</v>
      </c>
      <c r="B2604">
        <v>0</v>
      </c>
    </row>
    <row r="2605" spans="1:2" ht="12.5">
      <c r="A2605">
        <v>0</v>
      </c>
      <c r="B2605">
        <v>0</v>
      </c>
    </row>
    <row r="2606" spans="1:2" ht="12.5">
      <c r="A2606">
        <v>0</v>
      </c>
      <c r="B2606">
        <v>0</v>
      </c>
    </row>
    <row r="2607" spans="1:2" ht="12.5">
      <c r="A2607">
        <v>0</v>
      </c>
      <c r="B2607">
        <v>0</v>
      </c>
    </row>
    <row r="2608" spans="1:2" ht="12.5">
      <c r="A2608">
        <v>0</v>
      </c>
      <c r="B2608">
        <v>0</v>
      </c>
    </row>
    <row r="2609" spans="1:2" ht="12.5">
      <c r="A2609">
        <v>0</v>
      </c>
      <c r="B2609">
        <v>0</v>
      </c>
    </row>
    <row r="2610" spans="1:2" ht="12.5">
      <c r="A2610">
        <v>0</v>
      </c>
      <c r="B2610">
        <v>0</v>
      </c>
    </row>
    <row r="2611" spans="1:2" ht="12.5">
      <c r="A2611">
        <v>0</v>
      </c>
      <c r="B2611">
        <v>0</v>
      </c>
    </row>
    <row r="2612" spans="1:2" ht="12.5">
      <c r="A2612">
        <v>0</v>
      </c>
      <c r="B2612">
        <v>0</v>
      </c>
    </row>
    <row r="2613" spans="1:2" ht="12.5">
      <c r="A2613">
        <v>0</v>
      </c>
      <c r="B2613">
        <v>0</v>
      </c>
    </row>
    <row r="2614" spans="1:2" ht="12.5">
      <c r="A2614">
        <v>0</v>
      </c>
      <c r="B2614">
        <v>0</v>
      </c>
    </row>
    <row r="2615" spans="1:2" ht="12.5">
      <c r="A2615">
        <v>0</v>
      </c>
      <c r="B2615">
        <v>0</v>
      </c>
    </row>
    <row r="2616" spans="1:2" ht="12.5">
      <c r="A2616">
        <v>0</v>
      </c>
      <c r="B2616">
        <v>0</v>
      </c>
    </row>
    <row r="2617" spans="1:2" ht="12.5">
      <c r="A2617">
        <v>0</v>
      </c>
      <c r="B2617">
        <v>0</v>
      </c>
    </row>
    <row r="2618" spans="1:2" ht="12.5">
      <c r="A2618">
        <v>0</v>
      </c>
      <c r="B2618">
        <v>0</v>
      </c>
    </row>
    <row r="2619" spans="1:2" ht="12.5">
      <c r="A2619">
        <v>0</v>
      </c>
      <c r="B2619">
        <v>0</v>
      </c>
    </row>
    <row r="2620" spans="1:2" ht="12.5">
      <c r="A2620">
        <v>0</v>
      </c>
      <c r="B2620">
        <v>0</v>
      </c>
    </row>
    <row r="2621" spans="1:2" ht="12.5">
      <c r="A2621">
        <v>0</v>
      </c>
      <c r="B2621">
        <v>0</v>
      </c>
    </row>
    <row r="2622" spans="1:2" ht="12.5">
      <c r="A2622">
        <v>0</v>
      </c>
      <c r="B2622">
        <v>0</v>
      </c>
    </row>
    <row r="2623" spans="1:2" ht="12.5">
      <c r="A2623">
        <v>0</v>
      </c>
      <c r="B2623">
        <v>0</v>
      </c>
    </row>
    <row r="2624" spans="1:2" ht="12.5">
      <c r="A2624">
        <v>0</v>
      </c>
      <c r="B2624">
        <v>0</v>
      </c>
    </row>
    <row r="2625" spans="1:2" ht="12.5">
      <c r="A2625">
        <v>0</v>
      </c>
      <c r="B2625">
        <v>0</v>
      </c>
    </row>
    <row r="2626" spans="1:2" ht="12.5">
      <c r="A2626">
        <v>0</v>
      </c>
      <c r="B2626">
        <v>0</v>
      </c>
    </row>
    <row r="2627" spans="1:2" ht="12.5">
      <c r="A2627">
        <v>0</v>
      </c>
      <c r="B2627">
        <v>0</v>
      </c>
    </row>
    <row r="2628" spans="1:2" ht="12.5">
      <c r="A2628">
        <v>0</v>
      </c>
      <c r="B2628">
        <v>0</v>
      </c>
    </row>
    <row r="2629" spans="1:2" ht="12.5">
      <c r="A2629">
        <v>0</v>
      </c>
      <c r="B2629">
        <v>0</v>
      </c>
    </row>
    <row r="2630" spans="1:2" ht="12.5">
      <c r="A2630">
        <v>0</v>
      </c>
      <c r="B2630">
        <v>0</v>
      </c>
    </row>
    <row r="2631" spans="1:2" ht="12.5">
      <c r="A2631">
        <v>0</v>
      </c>
      <c r="B2631">
        <v>0</v>
      </c>
    </row>
    <row r="2632" spans="1:2" ht="12.5">
      <c r="A2632">
        <v>0</v>
      </c>
      <c r="B2632">
        <v>0</v>
      </c>
    </row>
    <row r="2633" spans="1:2" ht="12.5">
      <c r="A2633">
        <v>0</v>
      </c>
      <c r="B2633">
        <v>0</v>
      </c>
    </row>
    <row r="2634" spans="1:2" ht="12.5">
      <c r="A2634">
        <v>0</v>
      </c>
      <c r="B2634">
        <v>0</v>
      </c>
    </row>
    <row r="2635" spans="1:2" ht="12.5">
      <c r="A2635">
        <v>0</v>
      </c>
      <c r="B2635">
        <v>0</v>
      </c>
    </row>
    <row r="2636" spans="1:2" ht="12.5">
      <c r="A2636">
        <v>0</v>
      </c>
      <c r="B2636">
        <v>0</v>
      </c>
    </row>
    <row r="2637" spans="1:2" ht="12.5">
      <c r="A2637">
        <v>0</v>
      </c>
      <c r="B2637">
        <v>0</v>
      </c>
    </row>
    <row r="2638" spans="1:2" ht="12.5">
      <c r="A2638">
        <v>0</v>
      </c>
      <c r="B2638">
        <v>0</v>
      </c>
    </row>
    <row r="2639" spans="1:2" ht="12.5">
      <c r="A2639">
        <v>0</v>
      </c>
      <c r="B2639">
        <v>0</v>
      </c>
    </row>
    <row r="2640" spans="1:2" ht="12.5">
      <c r="A2640">
        <v>0</v>
      </c>
      <c r="B2640">
        <v>0</v>
      </c>
    </row>
    <row r="2641" spans="1:2" ht="12.5">
      <c r="A2641">
        <v>0</v>
      </c>
      <c r="B2641">
        <v>0</v>
      </c>
    </row>
    <row r="2642" spans="1:2" ht="12.5">
      <c r="A2642">
        <v>0</v>
      </c>
      <c r="B2642">
        <v>0</v>
      </c>
    </row>
    <row r="2643" spans="1:2" ht="12.5">
      <c r="A2643">
        <v>0</v>
      </c>
      <c r="B2643">
        <v>0</v>
      </c>
    </row>
    <row r="2644" spans="1:2" ht="12.5">
      <c r="A2644">
        <v>0</v>
      </c>
      <c r="B2644">
        <v>0</v>
      </c>
    </row>
    <row r="2645" spans="1:2" ht="12.5">
      <c r="A2645">
        <v>0</v>
      </c>
      <c r="B2645">
        <v>0</v>
      </c>
    </row>
    <row r="2646" spans="1:2" ht="12.5">
      <c r="A2646">
        <v>0</v>
      </c>
      <c r="B2646">
        <v>0</v>
      </c>
    </row>
    <row r="2647" spans="1:2" ht="12.5">
      <c r="A2647">
        <v>0</v>
      </c>
      <c r="B2647">
        <v>0</v>
      </c>
    </row>
    <row r="2648" spans="1:2" ht="12.5">
      <c r="A2648">
        <v>0</v>
      </c>
      <c r="B2648">
        <v>0</v>
      </c>
    </row>
    <row r="2649" spans="1:2" ht="12.5">
      <c r="A2649">
        <v>0</v>
      </c>
      <c r="B2649">
        <v>0</v>
      </c>
    </row>
    <row r="2650" spans="1:2" ht="12.5">
      <c r="A2650">
        <v>0</v>
      </c>
      <c r="B2650">
        <v>0</v>
      </c>
    </row>
    <row r="2651" spans="1:2" ht="12.5">
      <c r="A2651">
        <v>0</v>
      </c>
      <c r="B2651">
        <v>0</v>
      </c>
    </row>
    <row r="2652" spans="1:2" ht="12.5">
      <c r="A2652">
        <v>0</v>
      </c>
      <c r="B2652">
        <v>0</v>
      </c>
    </row>
    <row r="2653" spans="1:2" ht="12.5">
      <c r="A2653">
        <v>0</v>
      </c>
      <c r="B2653">
        <v>0</v>
      </c>
    </row>
    <row r="2654" spans="1:2" ht="12.5">
      <c r="A2654">
        <v>0</v>
      </c>
      <c r="B2654">
        <v>0</v>
      </c>
    </row>
    <row r="2655" spans="1:2" ht="12.5">
      <c r="A2655">
        <v>0</v>
      </c>
      <c r="B2655">
        <v>0</v>
      </c>
    </row>
    <row r="2656" spans="1:2" ht="12.5">
      <c r="A2656">
        <v>0</v>
      </c>
      <c r="B2656">
        <v>0</v>
      </c>
    </row>
    <row r="2657" spans="1:2" ht="12.5">
      <c r="A2657">
        <v>0</v>
      </c>
      <c r="B2657">
        <v>0</v>
      </c>
    </row>
    <row r="2658" spans="1:2" ht="12.5">
      <c r="A2658">
        <v>0</v>
      </c>
      <c r="B2658">
        <v>0</v>
      </c>
    </row>
    <row r="2659" spans="1:2" ht="12.5">
      <c r="A2659">
        <v>0</v>
      </c>
      <c r="B2659">
        <v>0</v>
      </c>
    </row>
    <row r="2660" spans="1:2" ht="12.5">
      <c r="A2660">
        <v>0</v>
      </c>
      <c r="B2660">
        <v>0</v>
      </c>
    </row>
    <row r="2661" spans="1:2" ht="12.5">
      <c r="A2661">
        <v>0</v>
      </c>
      <c r="B2661">
        <v>0</v>
      </c>
    </row>
    <row r="2662" spans="1:2" ht="12.5">
      <c r="A2662">
        <v>0</v>
      </c>
      <c r="B2662">
        <v>0</v>
      </c>
    </row>
    <row r="2663" spans="1:2" ht="12.5">
      <c r="A2663">
        <v>0</v>
      </c>
      <c r="B2663">
        <v>0</v>
      </c>
    </row>
    <row r="2664" spans="1:2" ht="12.5">
      <c r="A2664">
        <v>0</v>
      </c>
      <c r="B2664">
        <v>0</v>
      </c>
    </row>
    <row r="2665" spans="1:2" ht="12.5">
      <c r="A2665">
        <v>0</v>
      </c>
      <c r="B2665">
        <v>0</v>
      </c>
    </row>
    <row r="2666" spans="1:2" ht="12.5">
      <c r="A2666">
        <v>0</v>
      </c>
      <c r="B2666">
        <v>0</v>
      </c>
    </row>
    <row r="2667" spans="1:2" ht="12.5">
      <c r="A2667">
        <v>0</v>
      </c>
      <c r="B2667">
        <v>0</v>
      </c>
    </row>
    <row r="2668" spans="1:2" ht="12.5">
      <c r="A2668">
        <v>0</v>
      </c>
      <c r="B2668">
        <v>0</v>
      </c>
    </row>
    <row r="2669" spans="1:2" ht="12.5">
      <c r="A2669">
        <v>0</v>
      </c>
      <c r="B2669">
        <v>0</v>
      </c>
    </row>
    <row r="2670" spans="1:2" ht="12.5">
      <c r="A2670">
        <v>0</v>
      </c>
      <c r="B2670">
        <v>0</v>
      </c>
    </row>
    <row r="2671" spans="1:2" ht="12.5">
      <c r="A2671">
        <v>0</v>
      </c>
      <c r="B2671">
        <v>0</v>
      </c>
    </row>
    <row r="2672" spans="1:2" ht="12.5">
      <c r="A2672">
        <v>0</v>
      </c>
      <c r="B2672">
        <v>0</v>
      </c>
    </row>
    <row r="2673" spans="1:2" ht="12.5">
      <c r="A2673">
        <v>0</v>
      </c>
      <c r="B2673">
        <v>0</v>
      </c>
    </row>
    <row r="2674" spans="1:2" ht="12.5">
      <c r="A2674">
        <v>0</v>
      </c>
      <c r="B2674">
        <v>0</v>
      </c>
    </row>
    <row r="2675" spans="1:2" ht="12.5">
      <c r="A2675">
        <v>0</v>
      </c>
      <c r="B2675">
        <v>0</v>
      </c>
    </row>
    <row r="2676" spans="1:2" ht="12.5">
      <c r="A2676">
        <v>0</v>
      </c>
      <c r="B2676">
        <v>0</v>
      </c>
    </row>
    <row r="2677" spans="1:2" ht="12.5">
      <c r="A2677">
        <v>0</v>
      </c>
      <c r="B2677">
        <v>0</v>
      </c>
    </row>
    <row r="2678" spans="1:2" ht="12.5">
      <c r="A2678">
        <v>0</v>
      </c>
      <c r="B2678">
        <v>0</v>
      </c>
    </row>
    <row r="2679" spans="1:2" ht="12.5">
      <c r="A2679">
        <v>0</v>
      </c>
      <c r="B2679">
        <v>0</v>
      </c>
    </row>
    <row r="2680" spans="1:2" ht="12.5">
      <c r="A2680">
        <v>0</v>
      </c>
      <c r="B2680">
        <v>0</v>
      </c>
    </row>
    <row r="2681" spans="1:2" ht="12.5">
      <c r="A2681">
        <v>0</v>
      </c>
      <c r="B2681">
        <v>0</v>
      </c>
    </row>
    <row r="2682" spans="1:2" ht="12.5">
      <c r="A2682">
        <v>0</v>
      </c>
      <c r="B2682">
        <v>0</v>
      </c>
    </row>
    <row r="2683" spans="1:2" ht="12.5">
      <c r="A2683">
        <v>0</v>
      </c>
      <c r="B2683">
        <v>0</v>
      </c>
    </row>
    <row r="2684" spans="1:2" ht="12.5">
      <c r="A2684">
        <v>0</v>
      </c>
      <c r="B2684">
        <v>0</v>
      </c>
    </row>
    <row r="2685" spans="1:2" ht="12.5">
      <c r="A2685">
        <v>0</v>
      </c>
      <c r="B2685">
        <v>0</v>
      </c>
    </row>
    <row r="2686" spans="1:2" ht="12.5">
      <c r="A2686">
        <v>0</v>
      </c>
      <c r="B2686">
        <v>0</v>
      </c>
    </row>
    <row r="2687" spans="1:2" ht="12.5">
      <c r="A2687">
        <v>0</v>
      </c>
      <c r="B2687">
        <v>0</v>
      </c>
    </row>
    <row r="2688" spans="1:2" ht="12.5">
      <c r="A2688">
        <v>0</v>
      </c>
      <c r="B2688">
        <v>0</v>
      </c>
    </row>
    <row r="2689" spans="1:2" ht="12.5">
      <c r="A2689">
        <v>0</v>
      </c>
      <c r="B2689">
        <v>0</v>
      </c>
    </row>
    <row r="2690" spans="1:2" ht="12.5">
      <c r="A2690">
        <v>0</v>
      </c>
      <c r="B2690">
        <v>0</v>
      </c>
    </row>
    <row r="2691" spans="1:2" ht="12.5">
      <c r="A2691">
        <v>0</v>
      </c>
      <c r="B2691">
        <v>0</v>
      </c>
    </row>
    <row r="2692" spans="1:2" ht="12.5">
      <c r="A2692">
        <v>0</v>
      </c>
      <c r="B2692">
        <v>0</v>
      </c>
    </row>
    <row r="2693" spans="1:2" ht="12.5">
      <c r="A2693">
        <v>0</v>
      </c>
      <c r="B2693">
        <v>0</v>
      </c>
    </row>
    <row r="2694" spans="1:2" ht="12.5">
      <c r="A2694">
        <v>0</v>
      </c>
      <c r="B2694">
        <v>0</v>
      </c>
    </row>
    <row r="2695" spans="1:2" ht="12.5">
      <c r="A2695">
        <v>0</v>
      </c>
      <c r="B2695">
        <v>0</v>
      </c>
    </row>
    <row r="2696" spans="1:2" ht="12.5">
      <c r="A2696">
        <v>0</v>
      </c>
      <c r="B2696">
        <v>0</v>
      </c>
    </row>
    <row r="2697" spans="1:2" ht="12.5">
      <c r="A2697">
        <v>0</v>
      </c>
      <c r="B2697">
        <v>0</v>
      </c>
    </row>
    <row r="2698" spans="1:2" ht="12.5">
      <c r="A2698">
        <v>0</v>
      </c>
      <c r="B2698">
        <v>0</v>
      </c>
    </row>
    <row r="2699" spans="1:2" ht="12.5">
      <c r="A2699">
        <v>0</v>
      </c>
      <c r="B2699">
        <v>0</v>
      </c>
    </row>
    <row r="2700" spans="1:2" ht="12.5">
      <c r="A2700">
        <v>0</v>
      </c>
      <c r="B2700">
        <v>0</v>
      </c>
    </row>
    <row r="2701" spans="1:2" ht="12.5">
      <c r="A2701">
        <v>0</v>
      </c>
      <c r="B2701">
        <v>0</v>
      </c>
    </row>
    <row r="2702" spans="1:2" ht="12.5">
      <c r="A2702">
        <v>0</v>
      </c>
      <c r="B2702">
        <v>0</v>
      </c>
    </row>
    <row r="2703" spans="1:2" ht="12.5">
      <c r="A2703">
        <v>0</v>
      </c>
      <c r="B2703">
        <v>0</v>
      </c>
    </row>
    <row r="2704" spans="1:2" ht="12.5">
      <c r="A2704">
        <v>0</v>
      </c>
      <c r="B2704">
        <v>0</v>
      </c>
    </row>
    <row r="2705" spans="1:2" ht="12.5">
      <c r="A2705">
        <v>0</v>
      </c>
      <c r="B2705">
        <v>0</v>
      </c>
    </row>
    <row r="2706" spans="1:2" ht="12.5">
      <c r="A2706">
        <v>0</v>
      </c>
      <c r="B2706">
        <v>0</v>
      </c>
    </row>
    <row r="2707" spans="1:2" ht="12.5">
      <c r="A2707">
        <v>0</v>
      </c>
      <c r="B2707">
        <v>0</v>
      </c>
    </row>
    <row r="2708" spans="1:2" ht="12.5">
      <c r="A2708">
        <v>0</v>
      </c>
      <c r="B2708">
        <v>0</v>
      </c>
    </row>
    <row r="2709" spans="1:2" ht="12.5">
      <c r="A2709">
        <v>0</v>
      </c>
      <c r="B2709">
        <v>0</v>
      </c>
    </row>
    <row r="2710" spans="1:2" ht="12.5">
      <c r="A2710">
        <v>0</v>
      </c>
      <c r="B2710">
        <v>0</v>
      </c>
    </row>
    <row r="2711" spans="1:2" ht="12.5">
      <c r="A2711">
        <v>0</v>
      </c>
      <c r="B2711">
        <v>0</v>
      </c>
    </row>
    <row r="2712" spans="1:2" ht="12.5">
      <c r="A2712">
        <v>0</v>
      </c>
      <c r="B2712">
        <v>0</v>
      </c>
    </row>
    <row r="2713" spans="1:2" ht="12.5">
      <c r="A2713">
        <v>0</v>
      </c>
      <c r="B2713">
        <v>0</v>
      </c>
    </row>
    <row r="2714" spans="1:2" ht="12.5">
      <c r="A2714">
        <v>0</v>
      </c>
      <c r="B2714">
        <v>0</v>
      </c>
    </row>
    <row r="2715" spans="1:2" ht="12.5">
      <c r="A2715">
        <v>0</v>
      </c>
      <c r="B2715">
        <v>0</v>
      </c>
    </row>
    <row r="2716" spans="1:2" ht="12.5">
      <c r="A2716">
        <v>0</v>
      </c>
      <c r="B2716">
        <v>0</v>
      </c>
    </row>
    <row r="2717" spans="1:2" ht="12.5">
      <c r="A2717">
        <v>0</v>
      </c>
      <c r="B2717">
        <v>0</v>
      </c>
    </row>
    <row r="2718" spans="1:2" ht="12.5">
      <c r="A2718">
        <v>0</v>
      </c>
      <c r="B2718">
        <v>0</v>
      </c>
    </row>
    <row r="2719" spans="1:2" ht="12.5">
      <c r="A2719">
        <v>0</v>
      </c>
      <c r="B2719">
        <v>0</v>
      </c>
    </row>
    <row r="2720" spans="1:2" ht="12.5">
      <c r="A2720">
        <v>0</v>
      </c>
      <c r="B2720">
        <v>0</v>
      </c>
    </row>
    <row r="2721" spans="1:2" ht="12.5">
      <c r="A2721">
        <v>0</v>
      </c>
      <c r="B2721">
        <v>0</v>
      </c>
    </row>
    <row r="2722" spans="1:2" ht="12.5">
      <c r="A2722">
        <v>0</v>
      </c>
      <c r="B2722">
        <v>0</v>
      </c>
    </row>
    <row r="2723" spans="1:2" ht="12.5">
      <c r="A2723">
        <v>0</v>
      </c>
      <c r="B2723">
        <v>0</v>
      </c>
    </row>
    <row r="2724" spans="1:2" ht="12.5">
      <c r="A2724">
        <v>0</v>
      </c>
      <c r="B2724">
        <v>0</v>
      </c>
    </row>
    <row r="2725" spans="1:2" ht="12.5">
      <c r="A2725">
        <v>0</v>
      </c>
      <c r="B2725">
        <v>0</v>
      </c>
    </row>
    <row r="2726" spans="1:2" ht="12.5">
      <c r="A2726">
        <v>0</v>
      </c>
      <c r="B2726">
        <v>0</v>
      </c>
    </row>
    <row r="2727" spans="1:2" ht="12.5">
      <c r="A2727">
        <v>0</v>
      </c>
      <c r="B2727">
        <v>0</v>
      </c>
    </row>
    <row r="2728" spans="1:2" ht="12.5">
      <c r="A2728">
        <v>0</v>
      </c>
      <c r="B2728">
        <v>0</v>
      </c>
    </row>
    <row r="2729" spans="1:2" ht="12.5">
      <c r="A2729">
        <v>0</v>
      </c>
      <c r="B2729">
        <v>0</v>
      </c>
    </row>
    <row r="2730" spans="1:2" ht="12.5">
      <c r="A2730">
        <v>0</v>
      </c>
      <c r="B2730">
        <v>0</v>
      </c>
    </row>
    <row r="2731" spans="1:2" ht="12.5">
      <c r="A2731">
        <v>0</v>
      </c>
      <c r="B2731">
        <v>0</v>
      </c>
    </row>
    <row r="2732" spans="1:2" ht="12.5">
      <c r="A2732">
        <v>0</v>
      </c>
      <c r="B2732">
        <v>0</v>
      </c>
    </row>
    <row r="2733" spans="1:2" ht="12.5">
      <c r="A2733">
        <v>0</v>
      </c>
      <c r="B2733">
        <v>0</v>
      </c>
    </row>
    <row r="2734" spans="1:2" ht="12.5">
      <c r="A2734">
        <v>0</v>
      </c>
      <c r="B2734">
        <v>0</v>
      </c>
    </row>
    <row r="2735" spans="1:2" ht="12.5">
      <c r="A2735">
        <v>0</v>
      </c>
      <c r="B2735">
        <v>0</v>
      </c>
    </row>
    <row r="2736" spans="1:2" ht="12.5">
      <c r="A2736">
        <v>0</v>
      </c>
      <c r="B2736">
        <v>0</v>
      </c>
    </row>
    <row r="2737" spans="1:2" ht="12.5">
      <c r="A2737">
        <v>0</v>
      </c>
      <c r="B2737">
        <v>0</v>
      </c>
    </row>
    <row r="2738" spans="1:2" ht="12.5">
      <c r="A2738">
        <v>0</v>
      </c>
      <c r="B2738">
        <v>0</v>
      </c>
    </row>
    <row r="2739" spans="1:2" ht="12.5">
      <c r="A2739">
        <v>0</v>
      </c>
      <c r="B2739">
        <v>0</v>
      </c>
    </row>
    <row r="2740" spans="1:2" ht="12.5">
      <c r="A2740">
        <v>0</v>
      </c>
      <c r="B2740">
        <v>0</v>
      </c>
    </row>
    <row r="2741" spans="1:2" ht="12.5">
      <c r="A2741">
        <v>0</v>
      </c>
      <c r="B2741">
        <v>0</v>
      </c>
    </row>
    <row r="2742" spans="1:2" ht="12.5">
      <c r="A2742">
        <v>0</v>
      </c>
      <c r="B2742">
        <v>0</v>
      </c>
    </row>
    <row r="2743" spans="1:2" ht="12.5">
      <c r="A2743">
        <v>0</v>
      </c>
      <c r="B2743">
        <v>0</v>
      </c>
    </row>
    <row r="2744" spans="1:2" ht="12.5">
      <c r="A2744">
        <v>0</v>
      </c>
      <c r="B2744">
        <v>0</v>
      </c>
    </row>
    <row r="2745" spans="1:2" ht="12.5">
      <c r="A2745">
        <v>0</v>
      </c>
      <c r="B2745">
        <v>0</v>
      </c>
    </row>
    <row r="2746" spans="1:2" ht="12.5">
      <c r="A2746">
        <v>0</v>
      </c>
      <c r="B2746">
        <v>0</v>
      </c>
    </row>
    <row r="2747" spans="1:2" ht="12.5">
      <c r="A2747">
        <v>0</v>
      </c>
      <c r="B2747">
        <v>0</v>
      </c>
    </row>
    <row r="2748" spans="1:2" ht="12.5">
      <c r="A2748">
        <v>0</v>
      </c>
      <c r="B2748">
        <v>0</v>
      </c>
    </row>
    <row r="2749" spans="1:2" ht="12.5">
      <c r="A2749">
        <v>0</v>
      </c>
      <c r="B2749">
        <v>0</v>
      </c>
    </row>
    <row r="2750" spans="1:2" ht="12.5">
      <c r="A2750">
        <v>0</v>
      </c>
      <c r="B2750">
        <v>0</v>
      </c>
    </row>
    <row r="2751" spans="1:2" ht="12.5">
      <c r="A2751">
        <v>0</v>
      </c>
      <c r="B2751">
        <v>0</v>
      </c>
    </row>
    <row r="2752" spans="1:2" ht="12.5">
      <c r="A2752">
        <v>0</v>
      </c>
      <c r="B2752">
        <v>0</v>
      </c>
    </row>
    <row r="2753" spans="1:2" ht="12.5">
      <c r="A2753">
        <v>0</v>
      </c>
      <c r="B2753">
        <v>0</v>
      </c>
    </row>
    <row r="2754" spans="1:2" ht="12.5">
      <c r="A2754">
        <v>0</v>
      </c>
      <c r="B2754">
        <v>0</v>
      </c>
    </row>
    <row r="2755" spans="1:2" ht="12.5">
      <c r="A2755">
        <v>0</v>
      </c>
      <c r="B2755">
        <v>0</v>
      </c>
    </row>
    <row r="2756" spans="1:2" ht="12.5">
      <c r="A2756">
        <v>0</v>
      </c>
      <c r="B2756">
        <v>0</v>
      </c>
    </row>
    <row r="2757" spans="1:2" ht="12.5">
      <c r="A2757">
        <v>0</v>
      </c>
      <c r="B2757">
        <v>0</v>
      </c>
    </row>
    <row r="2758" spans="1:2" ht="12.5">
      <c r="A2758">
        <v>0</v>
      </c>
      <c r="B2758">
        <v>0</v>
      </c>
    </row>
    <row r="2759" spans="1:2" ht="12.5">
      <c r="A2759">
        <v>0</v>
      </c>
      <c r="B2759">
        <v>0</v>
      </c>
    </row>
    <row r="2760" spans="1:2" ht="12.5">
      <c r="A2760">
        <v>0</v>
      </c>
      <c r="B2760">
        <v>0</v>
      </c>
    </row>
    <row r="2761" spans="1:2" ht="12.5">
      <c r="A2761">
        <v>0</v>
      </c>
      <c r="B2761">
        <v>0</v>
      </c>
    </row>
    <row r="2762" spans="1:2" ht="12.5">
      <c r="A2762">
        <v>0</v>
      </c>
      <c r="B2762">
        <v>0</v>
      </c>
    </row>
    <row r="2763" spans="1:2" ht="12.5">
      <c r="A2763">
        <v>0</v>
      </c>
      <c r="B2763">
        <v>0</v>
      </c>
    </row>
    <row r="2764" spans="1:2" ht="12.5">
      <c r="A2764">
        <v>0</v>
      </c>
      <c r="B2764">
        <v>0</v>
      </c>
    </row>
    <row r="2765" spans="1:2" ht="12.5">
      <c r="A2765">
        <v>0</v>
      </c>
      <c r="B2765">
        <v>0</v>
      </c>
    </row>
    <row r="2766" spans="1:2" ht="12.5">
      <c r="A2766">
        <v>0</v>
      </c>
      <c r="B2766">
        <v>0</v>
      </c>
    </row>
    <row r="2767" spans="1:2" ht="12.5">
      <c r="A2767">
        <v>0</v>
      </c>
      <c r="B2767">
        <v>0</v>
      </c>
    </row>
    <row r="2768" spans="1:2" ht="12.5">
      <c r="A2768">
        <v>0</v>
      </c>
      <c r="B2768">
        <v>0</v>
      </c>
    </row>
    <row r="2769" spans="1:2" ht="12.5">
      <c r="A2769">
        <v>0</v>
      </c>
      <c r="B2769">
        <v>0</v>
      </c>
    </row>
    <row r="2770" spans="1:2" ht="12.5">
      <c r="A2770">
        <v>0</v>
      </c>
      <c r="B2770">
        <v>0</v>
      </c>
    </row>
    <row r="2771" spans="1:2" ht="12.5">
      <c r="A2771">
        <v>0</v>
      </c>
      <c r="B2771">
        <v>0</v>
      </c>
    </row>
    <row r="2772" spans="1:2" ht="12.5">
      <c r="A2772">
        <v>0</v>
      </c>
      <c r="B2772">
        <v>0</v>
      </c>
    </row>
    <row r="2773" spans="1:2" ht="12.5">
      <c r="A2773">
        <v>0</v>
      </c>
      <c r="B2773">
        <v>0</v>
      </c>
    </row>
    <row r="2774" spans="1:2" ht="12.5">
      <c r="A2774">
        <v>0</v>
      </c>
      <c r="B2774">
        <v>0</v>
      </c>
    </row>
    <row r="2775" spans="1:2" ht="12.5">
      <c r="A2775">
        <v>0</v>
      </c>
      <c r="B2775">
        <v>0</v>
      </c>
    </row>
    <row r="2776" spans="1:2" ht="12.5">
      <c r="A2776">
        <v>0</v>
      </c>
      <c r="B2776">
        <v>0</v>
      </c>
    </row>
    <row r="2777" spans="1:2" ht="12.5">
      <c r="A2777">
        <v>0</v>
      </c>
      <c r="B2777">
        <v>0</v>
      </c>
    </row>
    <row r="2778" spans="1:2" ht="12.5">
      <c r="A2778">
        <v>0</v>
      </c>
      <c r="B2778">
        <v>0</v>
      </c>
    </row>
    <row r="2779" spans="1:2" ht="12.5">
      <c r="A2779">
        <v>0</v>
      </c>
      <c r="B2779">
        <v>0</v>
      </c>
    </row>
    <row r="2780" spans="1:2" ht="12.5">
      <c r="A2780">
        <v>0</v>
      </c>
      <c r="B2780">
        <v>0</v>
      </c>
    </row>
    <row r="2781" spans="1:2" ht="12.5">
      <c r="A2781">
        <v>0</v>
      </c>
      <c r="B2781">
        <v>0</v>
      </c>
    </row>
    <row r="2782" spans="1:2" ht="12.5">
      <c r="A2782">
        <v>0</v>
      </c>
      <c r="B2782">
        <v>0</v>
      </c>
    </row>
    <row r="2783" spans="1:2" ht="12.5">
      <c r="A2783">
        <v>0</v>
      </c>
      <c r="B2783">
        <v>0</v>
      </c>
    </row>
    <row r="2784" spans="1:2" ht="12.5">
      <c r="A2784">
        <v>0</v>
      </c>
      <c r="B2784">
        <v>0</v>
      </c>
    </row>
    <row r="2785" spans="1:2" ht="12.5">
      <c r="A2785">
        <v>0</v>
      </c>
      <c r="B2785">
        <v>0</v>
      </c>
    </row>
    <row r="2786" spans="1:2" ht="12.5">
      <c r="A2786">
        <v>0</v>
      </c>
      <c r="B2786">
        <v>0</v>
      </c>
    </row>
    <row r="2787" spans="1:2" ht="12.5">
      <c r="A2787">
        <v>0</v>
      </c>
      <c r="B2787">
        <v>0</v>
      </c>
    </row>
    <row r="2788" spans="1:2" ht="12.5">
      <c r="A2788">
        <v>0</v>
      </c>
      <c r="B2788">
        <v>0</v>
      </c>
    </row>
    <row r="2789" spans="1:2" ht="12.5">
      <c r="A2789">
        <v>0</v>
      </c>
      <c r="B2789">
        <v>0</v>
      </c>
    </row>
    <row r="2790" spans="1:2" ht="12.5">
      <c r="A2790">
        <v>0</v>
      </c>
      <c r="B2790">
        <v>0</v>
      </c>
    </row>
    <row r="2791" spans="1:2" ht="12.5">
      <c r="A2791">
        <v>0</v>
      </c>
      <c r="B2791">
        <v>0</v>
      </c>
    </row>
    <row r="2792" spans="1:2" ht="12.5">
      <c r="A2792">
        <v>0</v>
      </c>
      <c r="B2792">
        <v>0</v>
      </c>
    </row>
    <row r="2793" spans="1:2" ht="12.5">
      <c r="A2793">
        <v>0</v>
      </c>
      <c r="B2793">
        <v>0</v>
      </c>
    </row>
    <row r="2794" spans="1:2" ht="12.5">
      <c r="A2794">
        <v>0</v>
      </c>
      <c r="B2794">
        <v>0</v>
      </c>
    </row>
    <row r="2795" spans="1:2" ht="12.5">
      <c r="A2795">
        <v>0</v>
      </c>
      <c r="B2795">
        <v>0</v>
      </c>
    </row>
    <row r="2796" spans="1:2" ht="12.5">
      <c r="A2796">
        <v>0</v>
      </c>
      <c r="B2796">
        <v>0</v>
      </c>
    </row>
    <row r="2797" spans="1:2" ht="12.5">
      <c r="A2797">
        <v>0</v>
      </c>
      <c r="B2797">
        <v>0</v>
      </c>
    </row>
    <row r="2798" spans="1:2" ht="12.5">
      <c r="A2798">
        <v>0</v>
      </c>
      <c r="B2798">
        <v>0</v>
      </c>
    </row>
    <row r="2799" spans="1:2" ht="12.5">
      <c r="A2799">
        <v>0</v>
      </c>
      <c r="B2799">
        <v>0</v>
      </c>
    </row>
    <row r="2800" spans="1:2" ht="12.5">
      <c r="A2800">
        <v>0</v>
      </c>
      <c r="B2800">
        <v>0</v>
      </c>
    </row>
    <row r="2801" spans="1:2" ht="12.5">
      <c r="A2801">
        <v>0</v>
      </c>
      <c r="B2801">
        <v>0</v>
      </c>
    </row>
    <row r="2802" spans="1:2" ht="12.5">
      <c r="A2802">
        <v>0</v>
      </c>
      <c r="B2802">
        <v>0</v>
      </c>
    </row>
    <row r="2803" spans="1:2" ht="12.5">
      <c r="A2803">
        <v>0</v>
      </c>
      <c r="B2803">
        <v>0</v>
      </c>
    </row>
    <row r="2804" spans="1:2" ht="12.5">
      <c r="A2804">
        <v>0</v>
      </c>
      <c r="B2804">
        <v>0</v>
      </c>
    </row>
    <row r="2805" spans="1:2" ht="12.5">
      <c r="A2805">
        <v>0</v>
      </c>
      <c r="B2805">
        <v>0</v>
      </c>
    </row>
    <row r="2806" spans="1:2" ht="12.5">
      <c r="A2806">
        <v>0</v>
      </c>
      <c r="B2806">
        <v>0</v>
      </c>
    </row>
    <row r="2807" spans="1:2" ht="12.5">
      <c r="A2807">
        <v>0</v>
      </c>
      <c r="B2807">
        <v>0</v>
      </c>
    </row>
    <row r="2808" spans="1:2" ht="12.5">
      <c r="A2808">
        <v>0</v>
      </c>
      <c r="B2808">
        <v>0</v>
      </c>
    </row>
    <row r="2809" spans="1:2" ht="12.5">
      <c r="A2809">
        <v>0</v>
      </c>
      <c r="B2809">
        <v>0</v>
      </c>
    </row>
    <row r="2810" spans="1:2" ht="12.5">
      <c r="A2810">
        <v>0</v>
      </c>
      <c r="B2810">
        <v>0</v>
      </c>
    </row>
    <row r="2811" spans="1:2" ht="12.5">
      <c r="A2811">
        <v>0</v>
      </c>
      <c r="B2811">
        <v>0</v>
      </c>
    </row>
    <row r="2812" spans="1:2" ht="12.5">
      <c r="A2812">
        <v>0</v>
      </c>
      <c r="B2812">
        <v>0</v>
      </c>
    </row>
    <row r="2813" spans="1:2" ht="12.5">
      <c r="A2813">
        <v>0</v>
      </c>
      <c r="B2813">
        <v>0</v>
      </c>
    </row>
    <row r="2814" spans="1:2" ht="12.5">
      <c r="A2814">
        <v>0</v>
      </c>
      <c r="B2814">
        <v>0</v>
      </c>
    </row>
    <row r="2815" spans="1:2" ht="12.5">
      <c r="A2815">
        <v>0</v>
      </c>
      <c r="B2815">
        <v>0</v>
      </c>
    </row>
    <row r="2816" spans="1:2" ht="12.5">
      <c r="A2816">
        <v>0</v>
      </c>
      <c r="B2816">
        <v>0</v>
      </c>
    </row>
    <row r="2817" spans="1:2" ht="12.5">
      <c r="A2817">
        <v>0</v>
      </c>
      <c r="B2817">
        <v>0</v>
      </c>
    </row>
    <row r="2818" spans="1:2" ht="12.5">
      <c r="A2818">
        <v>0</v>
      </c>
      <c r="B2818">
        <v>0</v>
      </c>
    </row>
    <row r="2819" spans="1:2" ht="12.5">
      <c r="A2819">
        <v>0</v>
      </c>
      <c r="B2819">
        <v>0</v>
      </c>
    </row>
    <row r="2820" spans="1:2" ht="12.5">
      <c r="A2820">
        <v>0</v>
      </c>
      <c r="B2820">
        <v>0</v>
      </c>
    </row>
    <row r="2821" spans="1:2" ht="12.5">
      <c r="A2821">
        <v>0</v>
      </c>
      <c r="B2821">
        <v>0</v>
      </c>
    </row>
    <row r="2822" spans="1:2" ht="12.5">
      <c r="A2822">
        <v>0</v>
      </c>
      <c r="B2822">
        <v>0</v>
      </c>
    </row>
    <row r="2823" spans="1:2" ht="12.5">
      <c r="A2823">
        <v>0</v>
      </c>
      <c r="B2823">
        <v>0</v>
      </c>
    </row>
    <row r="2824" spans="1:2" ht="12.5">
      <c r="A2824">
        <v>0</v>
      </c>
      <c r="B2824">
        <v>0</v>
      </c>
    </row>
    <row r="2825" spans="1:2" ht="12.5">
      <c r="A2825">
        <v>0</v>
      </c>
      <c r="B2825">
        <v>0</v>
      </c>
    </row>
    <row r="2826" spans="1:2" ht="12.5">
      <c r="A2826">
        <v>0</v>
      </c>
      <c r="B2826">
        <v>0</v>
      </c>
    </row>
    <row r="2827" spans="1:2" ht="12.5">
      <c r="A2827">
        <v>0</v>
      </c>
      <c r="B2827">
        <v>0</v>
      </c>
    </row>
    <row r="2828" spans="1:2" ht="12.5">
      <c r="A2828">
        <v>0</v>
      </c>
      <c r="B2828">
        <v>0</v>
      </c>
    </row>
    <row r="2829" spans="1:2" ht="12.5">
      <c r="A2829">
        <v>0</v>
      </c>
      <c r="B2829">
        <v>0</v>
      </c>
    </row>
    <row r="2830" spans="1:2" ht="12.5">
      <c r="A2830">
        <v>0</v>
      </c>
      <c r="B2830">
        <v>0</v>
      </c>
    </row>
    <row r="2831" spans="1:2" ht="12.5">
      <c r="A2831">
        <v>0</v>
      </c>
      <c r="B2831">
        <v>0</v>
      </c>
    </row>
    <row r="2832" spans="1:2" ht="12.5">
      <c r="A2832">
        <v>0</v>
      </c>
      <c r="B2832">
        <v>0</v>
      </c>
    </row>
    <row r="2833" spans="1:2" ht="12.5">
      <c r="A2833">
        <v>0</v>
      </c>
      <c r="B2833">
        <v>0</v>
      </c>
    </row>
    <row r="2834" spans="1:2" ht="12.5">
      <c r="A2834">
        <v>0</v>
      </c>
      <c r="B2834">
        <v>0</v>
      </c>
    </row>
    <row r="2835" spans="1:2" ht="12.5">
      <c r="A2835">
        <v>0</v>
      </c>
      <c r="B2835">
        <v>0</v>
      </c>
    </row>
    <row r="2836" spans="1:2" ht="12.5">
      <c r="A2836">
        <v>0</v>
      </c>
      <c r="B2836">
        <v>0</v>
      </c>
    </row>
    <row r="2837" spans="1:2" ht="12.5">
      <c r="A2837">
        <v>0</v>
      </c>
      <c r="B2837">
        <v>0</v>
      </c>
    </row>
    <row r="2838" spans="1:2" ht="12.5">
      <c r="A2838">
        <v>0</v>
      </c>
      <c r="B2838">
        <v>0</v>
      </c>
    </row>
    <row r="2839" spans="1:2" ht="12.5">
      <c r="A2839">
        <v>0</v>
      </c>
      <c r="B2839">
        <v>0</v>
      </c>
    </row>
    <row r="2840" spans="1:2" ht="12.5">
      <c r="A2840">
        <v>0</v>
      </c>
      <c r="B2840">
        <v>0</v>
      </c>
    </row>
    <row r="2841" spans="1:2" ht="12.5">
      <c r="A2841">
        <v>0</v>
      </c>
      <c r="B2841">
        <v>0</v>
      </c>
    </row>
    <row r="2842" spans="1:2" ht="12.5">
      <c r="A2842">
        <v>0</v>
      </c>
      <c r="B2842">
        <v>0</v>
      </c>
    </row>
    <row r="2843" spans="1:2" ht="12.5">
      <c r="A2843">
        <v>0</v>
      </c>
      <c r="B2843">
        <v>0</v>
      </c>
    </row>
    <row r="2844" spans="1:2" ht="12.5">
      <c r="A2844">
        <v>0</v>
      </c>
      <c r="B2844">
        <v>0</v>
      </c>
    </row>
    <row r="2845" spans="1:2" ht="12.5">
      <c r="A2845">
        <v>0</v>
      </c>
      <c r="B2845">
        <v>0</v>
      </c>
    </row>
    <row r="2846" spans="1:2" ht="12.5">
      <c r="A2846">
        <v>0</v>
      </c>
      <c r="B2846">
        <v>0</v>
      </c>
    </row>
    <row r="2847" spans="1:2" ht="12.5">
      <c r="A2847">
        <v>0</v>
      </c>
      <c r="B2847">
        <v>0</v>
      </c>
    </row>
    <row r="2848" spans="1:2" ht="12.5">
      <c r="A2848">
        <v>0</v>
      </c>
      <c r="B2848">
        <v>0</v>
      </c>
    </row>
    <row r="2849" spans="1:2" ht="12.5">
      <c r="A2849">
        <v>0</v>
      </c>
      <c r="B2849">
        <v>0</v>
      </c>
    </row>
    <row r="2850" spans="1:2" ht="12.5">
      <c r="A2850">
        <v>0</v>
      </c>
      <c r="B2850">
        <v>0</v>
      </c>
    </row>
    <row r="2851" spans="1:2" ht="12.5">
      <c r="A2851">
        <v>0</v>
      </c>
      <c r="B2851">
        <v>0</v>
      </c>
    </row>
    <row r="2852" spans="1:2" ht="12.5">
      <c r="A2852">
        <v>0</v>
      </c>
      <c r="B2852">
        <v>0</v>
      </c>
    </row>
    <row r="2853" spans="1:2" ht="12.5">
      <c r="A2853">
        <v>0</v>
      </c>
      <c r="B2853">
        <v>0</v>
      </c>
    </row>
    <row r="2854" spans="1:2" ht="12.5">
      <c r="A2854">
        <v>0</v>
      </c>
      <c r="B2854">
        <v>0</v>
      </c>
    </row>
    <row r="2855" spans="1:2" ht="12.5">
      <c r="A2855">
        <v>0</v>
      </c>
      <c r="B2855">
        <v>0</v>
      </c>
    </row>
    <row r="2856" spans="1:2" ht="12.5">
      <c r="A2856">
        <v>0</v>
      </c>
      <c r="B2856">
        <v>0</v>
      </c>
    </row>
    <row r="2857" spans="1:2" ht="12.5">
      <c r="A2857">
        <v>0</v>
      </c>
      <c r="B2857">
        <v>0</v>
      </c>
    </row>
    <row r="2858" spans="1:2" ht="12.5">
      <c r="A2858">
        <v>0</v>
      </c>
      <c r="B2858">
        <v>0</v>
      </c>
    </row>
    <row r="2859" spans="1:2" ht="12.5">
      <c r="A2859">
        <v>0</v>
      </c>
      <c r="B2859">
        <v>0</v>
      </c>
    </row>
    <row r="2860" spans="1:2" ht="12.5">
      <c r="A2860">
        <v>0</v>
      </c>
      <c r="B2860">
        <v>0</v>
      </c>
    </row>
    <row r="2861" spans="1:2" ht="12.5">
      <c r="A2861">
        <v>0</v>
      </c>
      <c r="B2861">
        <v>0</v>
      </c>
    </row>
    <row r="2862" spans="1:2" ht="12.5">
      <c r="A2862">
        <v>0</v>
      </c>
      <c r="B2862">
        <v>0</v>
      </c>
    </row>
    <row r="2863" spans="1:2" ht="12.5">
      <c r="A2863">
        <v>0</v>
      </c>
      <c r="B2863">
        <v>0</v>
      </c>
    </row>
    <row r="2864" spans="1:2" ht="12.5">
      <c r="A2864">
        <v>0</v>
      </c>
      <c r="B2864">
        <v>0</v>
      </c>
    </row>
    <row r="2865" spans="1:2" ht="12.5">
      <c r="A2865">
        <v>0</v>
      </c>
      <c r="B2865">
        <v>0</v>
      </c>
    </row>
    <row r="2866" spans="1:2" ht="12.5">
      <c r="A2866">
        <v>0</v>
      </c>
      <c r="B2866">
        <v>0</v>
      </c>
    </row>
    <row r="2867" spans="1:2" ht="12.5">
      <c r="A2867">
        <v>0</v>
      </c>
      <c r="B2867">
        <v>0</v>
      </c>
    </row>
    <row r="2868" spans="1:2" ht="12.5">
      <c r="A2868">
        <v>0</v>
      </c>
      <c r="B2868">
        <v>0</v>
      </c>
    </row>
    <row r="2869" spans="1:2" ht="12.5">
      <c r="A2869">
        <v>0</v>
      </c>
      <c r="B2869">
        <v>0</v>
      </c>
    </row>
    <row r="2870" spans="1:2" ht="12.5">
      <c r="A2870">
        <v>0</v>
      </c>
      <c r="B2870">
        <v>0</v>
      </c>
    </row>
    <row r="2871" spans="1:2" ht="12.5">
      <c r="A2871">
        <v>0</v>
      </c>
      <c r="B2871">
        <v>0</v>
      </c>
    </row>
    <row r="2872" spans="1:2" ht="12.5">
      <c r="A2872">
        <v>0</v>
      </c>
      <c r="B2872">
        <v>0</v>
      </c>
    </row>
    <row r="2873" spans="1:2" ht="12.5">
      <c r="A2873">
        <v>0</v>
      </c>
      <c r="B2873">
        <v>0</v>
      </c>
    </row>
    <row r="2874" spans="1:2" ht="12.5">
      <c r="A2874">
        <v>0</v>
      </c>
      <c r="B2874">
        <v>0</v>
      </c>
    </row>
    <row r="2875" spans="1:2" ht="12.5">
      <c r="A2875">
        <v>0</v>
      </c>
      <c r="B2875">
        <v>0</v>
      </c>
    </row>
    <row r="2876" spans="1:2" ht="12.5">
      <c r="A2876">
        <v>0</v>
      </c>
      <c r="B2876">
        <v>0</v>
      </c>
    </row>
    <row r="2877" spans="1:2" ht="12.5">
      <c r="A2877">
        <v>0</v>
      </c>
      <c r="B2877">
        <v>0</v>
      </c>
    </row>
    <row r="2878" spans="1:2" ht="12.5">
      <c r="A2878">
        <v>0</v>
      </c>
      <c r="B2878">
        <v>0</v>
      </c>
    </row>
    <row r="2879" spans="1:2" ht="12.5">
      <c r="A2879">
        <v>0</v>
      </c>
      <c r="B2879">
        <v>0</v>
      </c>
    </row>
    <row r="2880" spans="1:2" ht="12.5">
      <c r="A2880">
        <v>0</v>
      </c>
      <c r="B2880">
        <v>0</v>
      </c>
    </row>
    <row r="2881" spans="1:2" ht="12.5">
      <c r="A2881">
        <v>0</v>
      </c>
      <c r="B2881">
        <v>0</v>
      </c>
    </row>
    <row r="2882" spans="1:2" ht="12.5">
      <c r="A2882">
        <v>0</v>
      </c>
      <c r="B2882">
        <v>0</v>
      </c>
    </row>
    <row r="2883" spans="1:2" ht="12.5">
      <c r="A2883">
        <v>0</v>
      </c>
      <c r="B2883">
        <v>0</v>
      </c>
    </row>
    <row r="2884" spans="1:2" ht="12.5">
      <c r="A2884">
        <v>0</v>
      </c>
      <c r="B2884">
        <v>0</v>
      </c>
    </row>
    <row r="2885" spans="1:2" ht="12.5">
      <c r="A2885">
        <v>0</v>
      </c>
      <c r="B2885">
        <v>0</v>
      </c>
    </row>
    <row r="2886" spans="1:2" ht="12.5">
      <c r="A2886">
        <v>0</v>
      </c>
      <c r="B2886">
        <v>0</v>
      </c>
    </row>
    <row r="2887" spans="1:2" ht="12.5">
      <c r="A2887">
        <v>0</v>
      </c>
      <c r="B2887">
        <v>0</v>
      </c>
    </row>
    <row r="2888" spans="1:2" ht="12.5">
      <c r="A2888">
        <v>0</v>
      </c>
      <c r="B2888">
        <v>0</v>
      </c>
    </row>
    <row r="2889" spans="1:2" ht="12.5">
      <c r="A2889">
        <v>0</v>
      </c>
      <c r="B2889">
        <v>0</v>
      </c>
    </row>
    <row r="2890" spans="1:2" ht="12.5">
      <c r="A2890">
        <v>0</v>
      </c>
      <c r="B2890">
        <v>0</v>
      </c>
    </row>
    <row r="2891" spans="1:2" ht="12.5">
      <c r="A2891">
        <v>0</v>
      </c>
      <c r="B2891">
        <v>0</v>
      </c>
    </row>
    <row r="2892" spans="1:2" ht="12.5">
      <c r="A2892">
        <v>0</v>
      </c>
      <c r="B2892">
        <v>0</v>
      </c>
    </row>
    <row r="2893" spans="1:2" ht="12.5">
      <c r="A2893">
        <v>0</v>
      </c>
      <c r="B2893">
        <v>0</v>
      </c>
    </row>
    <row r="2894" spans="1:2" ht="12.5">
      <c r="A2894">
        <v>0</v>
      </c>
      <c r="B2894">
        <v>0</v>
      </c>
    </row>
    <row r="2895" spans="1:2" ht="12.5">
      <c r="A2895">
        <v>0</v>
      </c>
      <c r="B2895">
        <v>0</v>
      </c>
    </row>
    <row r="2896" spans="1:2" ht="12.5">
      <c r="A2896">
        <v>0</v>
      </c>
      <c r="B2896">
        <v>0</v>
      </c>
    </row>
    <row r="2897" spans="1:2" ht="12.5">
      <c r="A2897">
        <v>0</v>
      </c>
      <c r="B2897">
        <v>0</v>
      </c>
    </row>
    <row r="2898" spans="1:2" ht="12.5">
      <c r="A2898">
        <v>0</v>
      </c>
      <c r="B2898">
        <v>0</v>
      </c>
    </row>
    <row r="2899" spans="1:2" ht="12.5">
      <c r="A2899">
        <v>0</v>
      </c>
      <c r="B2899">
        <v>0</v>
      </c>
    </row>
    <row r="2900" spans="1:2" ht="12.5">
      <c r="A2900">
        <v>0</v>
      </c>
      <c r="B2900">
        <v>0</v>
      </c>
    </row>
    <row r="2901" spans="1:2" ht="12.5">
      <c r="A2901">
        <v>0</v>
      </c>
      <c r="B2901">
        <v>0</v>
      </c>
    </row>
    <row r="2902" spans="1:2" ht="12.5">
      <c r="A2902">
        <v>0</v>
      </c>
      <c r="B2902">
        <v>0</v>
      </c>
    </row>
    <row r="2903" spans="1:2" ht="12.5">
      <c r="A2903">
        <v>0</v>
      </c>
      <c r="B2903">
        <v>0</v>
      </c>
    </row>
    <row r="2904" spans="1:2" ht="12.5">
      <c r="A2904">
        <v>0</v>
      </c>
      <c r="B2904">
        <v>0</v>
      </c>
    </row>
    <row r="2905" spans="1:2" ht="12.5">
      <c r="A2905">
        <v>0</v>
      </c>
      <c r="B2905">
        <v>0</v>
      </c>
    </row>
    <row r="2906" spans="1:2" ht="12.5">
      <c r="A2906">
        <v>0</v>
      </c>
      <c r="B2906">
        <v>0</v>
      </c>
    </row>
    <row r="2907" spans="1:2" ht="12.5">
      <c r="A2907">
        <v>0</v>
      </c>
      <c r="B2907">
        <v>0</v>
      </c>
    </row>
    <row r="2908" spans="1:2" ht="12.5">
      <c r="A2908">
        <v>0</v>
      </c>
      <c r="B2908">
        <v>0</v>
      </c>
    </row>
    <row r="2909" spans="1:2" ht="12.5">
      <c r="A2909">
        <v>0</v>
      </c>
      <c r="B2909">
        <v>0</v>
      </c>
    </row>
    <row r="2910" spans="1:2" ht="12.5">
      <c r="A2910">
        <v>0</v>
      </c>
      <c r="B2910">
        <v>0</v>
      </c>
    </row>
    <row r="2911" spans="1:2" ht="12.5">
      <c r="A2911">
        <v>0</v>
      </c>
      <c r="B2911">
        <v>0</v>
      </c>
    </row>
    <row r="2912" spans="1:2" ht="12.5">
      <c r="A2912">
        <v>0</v>
      </c>
      <c r="B2912">
        <v>0</v>
      </c>
    </row>
    <row r="2913" spans="1:2" ht="12.5">
      <c r="A2913">
        <v>0</v>
      </c>
      <c r="B2913">
        <v>0</v>
      </c>
    </row>
    <row r="2914" spans="1:2" ht="12.5">
      <c r="A2914">
        <v>0</v>
      </c>
      <c r="B2914">
        <v>0</v>
      </c>
    </row>
    <row r="2915" spans="1:2" ht="12.5">
      <c r="A2915">
        <v>0</v>
      </c>
      <c r="B2915">
        <v>0</v>
      </c>
    </row>
    <row r="2916" spans="1:2" ht="12.5">
      <c r="A2916">
        <v>0</v>
      </c>
      <c r="B2916">
        <v>0</v>
      </c>
    </row>
    <row r="2917" spans="1:2" ht="12.5">
      <c r="A2917">
        <v>0</v>
      </c>
      <c r="B2917">
        <v>0</v>
      </c>
    </row>
    <row r="2918" spans="1:2" ht="12.5">
      <c r="A2918">
        <v>0</v>
      </c>
      <c r="B2918">
        <v>0</v>
      </c>
    </row>
    <row r="2919" spans="1:2" ht="12.5">
      <c r="A2919">
        <v>0</v>
      </c>
      <c r="B2919">
        <v>0</v>
      </c>
    </row>
    <row r="2920" spans="1:2" ht="12.5">
      <c r="A2920">
        <v>0</v>
      </c>
      <c r="B2920">
        <v>0</v>
      </c>
    </row>
    <row r="2921" spans="1:2" ht="12.5">
      <c r="A2921">
        <v>0</v>
      </c>
      <c r="B2921">
        <v>0</v>
      </c>
    </row>
    <row r="2922" spans="1:2" ht="12.5">
      <c r="A2922">
        <v>0</v>
      </c>
      <c r="B2922">
        <v>0</v>
      </c>
    </row>
    <row r="2923" spans="1:2" ht="12.5">
      <c r="A2923">
        <v>0</v>
      </c>
      <c r="B2923">
        <v>0</v>
      </c>
    </row>
    <row r="2924" spans="1:2" ht="12.5">
      <c r="A2924">
        <v>0</v>
      </c>
      <c r="B2924">
        <v>0</v>
      </c>
    </row>
    <row r="2925" spans="1:2" ht="12.5">
      <c r="A2925">
        <v>0</v>
      </c>
      <c r="B2925">
        <v>0</v>
      </c>
    </row>
    <row r="2926" spans="1:2" ht="12.5">
      <c r="A2926">
        <v>0</v>
      </c>
      <c r="B2926">
        <v>0</v>
      </c>
    </row>
    <row r="2927" spans="1:2" ht="12.5">
      <c r="A2927">
        <v>0</v>
      </c>
      <c r="B2927">
        <v>0</v>
      </c>
    </row>
    <row r="2928" spans="1:2" ht="12.5">
      <c r="A2928">
        <v>0</v>
      </c>
      <c r="B2928">
        <v>0</v>
      </c>
    </row>
    <row r="2929" spans="1:2" ht="12.5">
      <c r="A2929">
        <v>0</v>
      </c>
      <c r="B2929">
        <v>0</v>
      </c>
    </row>
    <row r="2930" spans="1:2" ht="12.5">
      <c r="A2930">
        <v>0</v>
      </c>
      <c r="B2930">
        <v>0</v>
      </c>
    </row>
    <row r="2931" spans="1:2" ht="12.5">
      <c r="A2931">
        <v>0</v>
      </c>
      <c r="B2931">
        <v>0</v>
      </c>
    </row>
    <row r="2932" spans="1:2" ht="12.5">
      <c r="A2932">
        <v>0</v>
      </c>
      <c r="B2932">
        <v>0</v>
      </c>
    </row>
    <row r="2933" spans="1:2" ht="12.5">
      <c r="A2933">
        <v>0</v>
      </c>
      <c r="B2933">
        <v>0</v>
      </c>
    </row>
    <row r="2934" spans="1:2" ht="12.5">
      <c r="A2934">
        <v>0</v>
      </c>
      <c r="B2934">
        <v>0</v>
      </c>
    </row>
    <row r="2935" spans="1:2" ht="12.5">
      <c r="A2935">
        <v>0</v>
      </c>
      <c r="B2935">
        <v>0</v>
      </c>
    </row>
    <row r="2936" spans="1:2" ht="12.5">
      <c r="A2936">
        <v>0</v>
      </c>
      <c r="B2936">
        <v>0</v>
      </c>
    </row>
    <row r="2937" spans="1:2" ht="12.5">
      <c r="A2937">
        <v>0</v>
      </c>
      <c r="B2937">
        <v>0</v>
      </c>
    </row>
    <row r="2938" spans="1:2" ht="12.5">
      <c r="A2938">
        <v>0</v>
      </c>
      <c r="B2938">
        <v>0</v>
      </c>
    </row>
    <row r="2939" spans="1:2" ht="12.5">
      <c r="A2939">
        <v>0</v>
      </c>
      <c r="B2939">
        <v>0</v>
      </c>
    </row>
    <row r="2940" spans="1:2" ht="12.5">
      <c r="A2940">
        <v>0</v>
      </c>
      <c r="B2940">
        <v>0</v>
      </c>
    </row>
    <row r="2941" spans="1:2" ht="12.5">
      <c r="A2941">
        <v>0</v>
      </c>
      <c r="B2941">
        <v>0</v>
      </c>
    </row>
    <row r="2942" spans="1:2" ht="12.5">
      <c r="A2942">
        <v>0</v>
      </c>
      <c r="B2942">
        <v>0</v>
      </c>
    </row>
    <row r="2943" spans="1:2" ht="12.5">
      <c r="A2943">
        <v>0</v>
      </c>
      <c r="B2943">
        <v>0</v>
      </c>
    </row>
    <row r="2944" spans="1:2" ht="12.5">
      <c r="A2944">
        <v>0</v>
      </c>
      <c r="B2944">
        <v>0</v>
      </c>
    </row>
    <row r="2945" spans="1:2" ht="12.5">
      <c r="A2945">
        <v>0</v>
      </c>
      <c r="B2945">
        <v>0</v>
      </c>
    </row>
    <row r="2946" spans="1:2" ht="12.5">
      <c r="A2946">
        <v>0</v>
      </c>
      <c r="B2946">
        <v>0</v>
      </c>
    </row>
    <row r="2947" spans="1:2" ht="12.5">
      <c r="A2947">
        <v>0</v>
      </c>
      <c r="B2947">
        <v>0</v>
      </c>
    </row>
    <row r="2948" spans="1:2" ht="12.5">
      <c r="A2948">
        <v>0</v>
      </c>
      <c r="B2948">
        <v>0</v>
      </c>
    </row>
    <row r="2949" spans="1:2" ht="12.5">
      <c r="A2949">
        <v>0</v>
      </c>
      <c r="B2949">
        <v>0</v>
      </c>
    </row>
    <row r="2950" spans="1:2" ht="12.5">
      <c r="A2950">
        <v>0</v>
      </c>
      <c r="B2950">
        <v>0</v>
      </c>
    </row>
    <row r="2951" spans="1:2" ht="12.5">
      <c r="A2951">
        <v>0</v>
      </c>
      <c r="B2951">
        <v>0</v>
      </c>
    </row>
    <row r="2952" spans="1:2" ht="12.5">
      <c r="A2952">
        <v>0</v>
      </c>
      <c r="B2952">
        <v>0</v>
      </c>
    </row>
    <row r="2953" spans="1:2" ht="12.5">
      <c r="A2953">
        <v>0</v>
      </c>
      <c r="B2953">
        <v>0</v>
      </c>
    </row>
    <row r="2954" spans="1:2" ht="12.5">
      <c r="A2954">
        <v>0</v>
      </c>
      <c r="B2954">
        <v>0</v>
      </c>
    </row>
    <row r="2955" spans="1:2" ht="12.5">
      <c r="A2955">
        <v>0</v>
      </c>
      <c r="B2955">
        <v>0</v>
      </c>
    </row>
    <row r="2956" spans="1:2" ht="12.5">
      <c r="A2956">
        <v>0</v>
      </c>
      <c r="B2956">
        <v>0</v>
      </c>
    </row>
    <row r="2957" spans="1:2" ht="12.5">
      <c r="A2957">
        <v>0</v>
      </c>
      <c r="B2957">
        <v>0</v>
      </c>
    </row>
    <row r="2958" spans="1:2" ht="12.5">
      <c r="A2958">
        <v>0</v>
      </c>
      <c r="B2958">
        <v>0</v>
      </c>
    </row>
    <row r="2959" spans="1:2" ht="12.5">
      <c r="A2959">
        <v>0</v>
      </c>
      <c r="B2959">
        <v>0</v>
      </c>
    </row>
    <row r="2960" spans="1:2" ht="12.5">
      <c r="A2960">
        <v>0</v>
      </c>
      <c r="B2960">
        <v>0</v>
      </c>
    </row>
    <row r="2961" spans="1:2" ht="12.5">
      <c r="A2961">
        <v>0</v>
      </c>
      <c r="B2961">
        <v>0</v>
      </c>
    </row>
    <row r="2962" spans="1:2" ht="12.5">
      <c r="A2962">
        <v>0</v>
      </c>
      <c r="B2962">
        <v>0</v>
      </c>
    </row>
    <row r="2963" spans="1:2" ht="12.5">
      <c r="A2963">
        <v>0</v>
      </c>
      <c r="B2963">
        <v>0</v>
      </c>
    </row>
    <row r="2964" spans="1:2" ht="12.5">
      <c r="A2964">
        <v>0</v>
      </c>
      <c r="B2964">
        <v>0</v>
      </c>
    </row>
    <row r="2965" spans="1:2" ht="12.5">
      <c r="A2965">
        <v>0</v>
      </c>
      <c r="B2965">
        <v>0</v>
      </c>
    </row>
    <row r="2966" spans="1:2" ht="12.5">
      <c r="A2966">
        <v>0</v>
      </c>
      <c r="B2966">
        <v>0</v>
      </c>
    </row>
    <row r="2967" spans="1:2" ht="12.5">
      <c r="A2967">
        <v>0</v>
      </c>
      <c r="B2967">
        <v>0</v>
      </c>
    </row>
    <row r="2968" spans="1:2" ht="12.5">
      <c r="A2968">
        <v>0</v>
      </c>
      <c r="B2968">
        <v>0</v>
      </c>
    </row>
    <row r="2969" spans="1:2" ht="12.5">
      <c r="A2969">
        <v>0</v>
      </c>
      <c r="B2969">
        <v>0</v>
      </c>
    </row>
    <row r="2970" spans="1:2" ht="12.5">
      <c r="A2970">
        <v>0</v>
      </c>
      <c r="B2970">
        <v>0</v>
      </c>
    </row>
    <row r="2971" spans="1:2" ht="12.5">
      <c r="A2971">
        <v>0</v>
      </c>
      <c r="B2971">
        <v>0</v>
      </c>
    </row>
    <row r="2972" spans="1:2" ht="12.5">
      <c r="A2972">
        <v>0</v>
      </c>
      <c r="B2972">
        <v>0</v>
      </c>
    </row>
    <row r="2973" spans="1:2" ht="12.5">
      <c r="A2973">
        <v>0</v>
      </c>
      <c r="B2973">
        <v>0</v>
      </c>
    </row>
    <row r="2974" spans="1:2" ht="12.5">
      <c r="A2974">
        <v>0</v>
      </c>
      <c r="B2974">
        <v>0</v>
      </c>
    </row>
    <row r="2975" spans="1:2" ht="12.5">
      <c r="A2975">
        <v>0</v>
      </c>
      <c r="B2975">
        <v>0</v>
      </c>
    </row>
    <row r="2976" spans="1:2" ht="12.5">
      <c r="A2976">
        <v>0</v>
      </c>
      <c r="B2976">
        <v>0</v>
      </c>
    </row>
    <row r="2977" spans="1:2" ht="12.5">
      <c r="A2977">
        <v>0</v>
      </c>
      <c r="B2977">
        <v>0</v>
      </c>
    </row>
    <row r="2978" spans="1:2" ht="12.5">
      <c r="A2978">
        <v>0</v>
      </c>
      <c r="B2978">
        <v>0</v>
      </c>
    </row>
    <row r="2979" spans="1:2" ht="12.5">
      <c r="A2979">
        <v>0</v>
      </c>
      <c r="B2979">
        <v>0</v>
      </c>
    </row>
    <row r="2980" spans="1:2" ht="12.5">
      <c r="A2980">
        <v>0</v>
      </c>
      <c r="B2980">
        <v>0</v>
      </c>
    </row>
    <row r="2981" spans="1:2" ht="12.5">
      <c r="A2981">
        <v>0</v>
      </c>
      <c r="B2981">
        <v>0</v>
      </c>
    </row>
    <row r="2982" spans="1:2" ht="12.5">
      <c r="A2982">
        <v>0</v>
      </c>
      <c r="B2982">
        <v>0</v>
      </c>
    </row>
    <row r="2983" spans="1:2" ht="12.5">
      <c r="A2983">
        <v>0</v>
      </c>
      <c r="B2983">
        <v>0</v>
      </c>
    </row>
    <row r="2984" spans="1:2" ht="12.5">
      <c r="A2984">
        <v>0</v>
      </c>
      <c r="B2984">
        <v>0</v>
      </c>
    </row>
    <row r="2985" spans="1:2" ht="12.5">
      <c r="A2985">
        <v>0</v>
      </c>
      <c r="B2985">
        <v>0</v>
      </c>
    </row>
    <row r="2986" spans="1:2" ht="12.5">
      <c r="A2986">
        <v>0</v>
      </c>
      <c r="B2986">
        <v>0</v>
      </c>
    </row>
    <row r="2987" spans="1:2" ht="12.5">
      <c r="A2987">
        <v>0</v>
      </c>
      <c r="B2987">
        <v>0</v>
      </c>
    </row>
    <row r="2988" spans="1:2" ht="12.5">
      <c r="A2988">
        <v>0</v>
      </c>
      <c r="B2988">
        <v>0</v>
      </c>
    </row>
    <row r="2989" spans="1:2" ht="12.5">
      <c r="A2989">
        <v>0</v>
      </c>
      <c r="B2989">
        <v>0</v>
      </c>
    </row>
    <row r="2990" spans="1:2" ht="12.5">
      <c r="A2990">
        <v>0</v>
      </c>
      <c r="B2990">
        <v>0</v>
      </c>
    </row>
    <row r="2991" spans="1:2" ht="12.5">
      <c r="A2991">
        <v>0</v>
      </c>
      <c r="B2991">
        <v>0</v>
      </c>
    </row>
    <row r="2992" spans="1:2" ht="12.5">
      <c r="A2992">
        <v>0</v>
      </c>
      <c r="B2992">
        <v>0</v>
      </c>
    </row>
    <row r="2993" spans="1:2" ht="12.5">
      <c r="A2993">
        <v>0</v>
      </c>
      <c r="B2993">
        <v>0</v>
      </c>
    </row>
    <row r="2994" spans="1:2" ht="12.5">
      <c r="A2994">
        <v>0</v>
      </c>
      <c r="B2994">
        <v>0</v>
      </c>
    </row>
    <row r="2995" spans="1:2" ht="12.5">
      <c r="A2995">
        <v>0</v>
      </c>
      <c r="B2995">
        <v>0</v>
      </c>
    </row>
    <row r="2996" spans="1:2" ht="12.5">
      <c r="A2996">
        <v>0</v>
      </c>
      <c r="B2996">
        <v>0</v>
      </c>
    </row>
    <row r="2997" spans="1:2" ht="12.5">
      <c r="A2997">
        <v>0</v>
      </c>
      <c r="B2997">
        <v>0</v>
      </c>
    </row>
    <row r="2998" spans="1:2" ht="12.5">
      <c r="A2998">
        <v>0</v>
      </c>
      <c r="B2998">
        <v>0</v>
      </c>
    </row>
    <row r="2999" spans="1:2" ht="12.5">
      <c r="A2999">
        <v>0</v>
      </c>
      <c r="B2999">
        <v>0</v>
      </c>
    </row>
    <row r="3000" spans="1:2" ht="12.5">
      <c r="A3000">
        <v>0</v>
      </c>
      <c r="B3000">
        <v>0</v>
      </c>
    </row>
    <row r="3001" spans="1:2" ht="12.5">
      <c r="A3001">
        <v>0</v>
      </c>
      <c r="B3001">
        <v>0</v>
      </c>
    </row>
    <row r="3002" spans="1:2" ht="12.5">
      <c r="A3002">
        <v>0</v>
      </c>
      <c r="B3002">
        <v>0</v>
      </c>
    </row>
    <row r="3003" spans="1:2" ht="12.5">
      <c r="A3003">
        <v>0</v>
      </c>
      <c r="B3003">
        <v>0</v>
      </c>
    </row>
    <row r="3004" spans="1:2" ht="12.5">
      <c r="A3004">
        <v>0</v>
      </c>
      <c r="B3004">
        <v>0</v>
      </c>
    </row>
    <row r="3005" spans="1:2" ht="12.5">
      <c r="A3005">
        <v>0</v>
      </c>
      <c r="B3005">
        <v>0</v>
      </c>
    </row>
    <row r="3006" spans="1:2" ht="12.5">
      <c r="A3006">
        <v>0</v>
      </c>
      <c r="B3006">
        <v>0</v>
      </c>
    </row>
    <row r="3007" spans="1:2" ht="12.5">
      <c r="A3007">
        <v>0</v>
      </c>
      <c r="B3007">
        <v>0</v>
      </c>
    </row>
    <row r="3008" spans="1:2" ht="12.5">
      <c r="A3008">
        <v>0</v>
      </c>
      <c r="B3008">
        <v>0</v>
      </c>
    </row>
    <row r="3009" spans="1:2" ht="12.5">
      <c r="A3009">
        <v>0</v>
      </c>
      <c r="B3009">
        <v>0</v>
      </c>
    </row>
    <row r="3010" spans="1:2" ht="12.5">
      <c r="A3010">
        <v>0</v>
      </c>
      <c r="B3010">
        <v>0</v>
      </c>
    </row>
    <row r="3011" spans="1:2" ht="12.5">
      <c r="A3011">
        <v>0</v>
      </c>
      <c r="B3011">
        <v>0</v>
      </c>
    </row>
    <row r="3012" spans="1:2" ht="12.5">
      <c r="A3012">
        <v>0</v>
      </c>
      <c r="B3012">
        <v>0</v>
      </c>
    </row>
    <row r="3013" spans="1:2" ht="12.5">
      <c r="A3013">
        <v>0</v>
      </c>
      <c r="B3013">
        <v>0</v>
      </c>
    </row>
    <row r="3014" spans="1:2" ht="12.5">
      <c r="A3014">
        <v>0</v>
      </c>
      <c r="B3014">
        <v>0</v>
      </c>
    </row>
    <row r="3015" spans="1:2" ht="12.5">
      <c r="A3015">
        <v>0</v>
      </c>
      <c r="B3015">
        <v>0</v>
      </c>
    </row>
    <row r="3016" spans="1:2" ht="12.5">
      <c r="A3016">
        <v>0</v>
      </c>
      <c r="B3016">
        <v>0</v>
      </c>
    </row>
    <row r="3017" spans="1:2" ht="12.5">
      <c r="A3017">
        <v>0</v>
      </c>
      <c r="B3017">
        <v>0</v>
      </c>
    </row>
    <row r="3018" spans="1:2" ht="12.5">
      <c r="A3018">
        <v>0</v>
      </c>
      <c r="B3018">
        <v>0</v>
      </c>
    </row>
    <row r="3019" spans="1:2" ht="12.5">
      <c r="A3019">
        <v>0</v>
      </c>
      <c r="B3019">
        <v>0</v>
      </c>
    </row>
    <row r="3020" spans="1:2" ht="12.5">
      <c r="A3020">
        <v>0</v>
      </c>
      <c r="B3020">
        <v>0</v>
      </c>
    </row>
    <row r="3021" spans="1:2" ht="12.5">
      <c r="A3021">
        <v>0</v>
      </c>
      <c r="B3021">
        <v>0</v>
      </c>
    </row>
    <row r="3022" spans="1:2" ht="12.5">
      <c r="A3022">
        <v>0</v>
      </c>
      <c r="B3022">
        <v>0</v>
      </c>
    </row>
    <row r="3023" spans="1:2" ht="12.5">
      <c r="A3023">
        <v>0</v>
      </c>
      <c r="B3023">
        <v>0</v>
      </c>
    </row>
    <row r="3024" spans="1:2" ht="12.5">
      <c r="A3024">
        <v>0</v>
      </c>
      <c r="B3024">
        <v>0</v>
      </c>
    </row>
    <row r="3025" spans="1:2" ht="12.5">
      <c r="A3025">
        <v>0</v>
      </c>
      <c r="B3025">
        <v>0</v>
      </c>
    </row>
    <row r="3026" spans="1:2" ht="12.5">
      <c r="A3026">
        <v>0</v>
      </c>
      <c r="B3026">
        <v>0</v>
      </c>
    </row>
    <row r="3027" spans="1:2" ht="12.5">
      <c r="A3027">
        <v>0</v>
      </c>
      <c r="B3027">
        <v>0</v>
      </c>
    </row>
    <row r="3028" spans="1:2" ht="12.5">
      <c r="A3028">
        <v>0</v>
      </c>
      <c r="B3028">
        <v>0</v>
      </c>
    </row>
    <row r="3029" spans="1:2" ht="12.5">
      <c r="A3029">
        <v>0</v>
      </c>
      <c r="B3029">
        <v>0</v>
      </c>
    </row>
    <row r="3030" spans="1:2" ht="12.5">
      <c r="A3030">
        <v>0</v>
      </c>
      <c r="B3030">
        <v>0</v>
      </c>
    </row>
    <row r="3031" spans="1:2" ht="12.5">
      <c r="A3031">
        <v>0</v>
      </c>
      <c r="B3031">
        <v>0</v>
      </c>
    </row>
    <row r="3032" spans="1:2" ht="12.5">
      <c r="A3032">
        <v>0</v>
      </c>
      <c r="B3032">
        <v>0</v>
      </c>
    </row>
    <row r="3033" spans="1:2" ht="12.5">
      <c r="A3033">
        <v>0</v>
      </c>
      <c r="B3033">
        <v>0</v>
      </c>
    </row>
    <row r="3034" spans="1:2" ht="12.5">
      <c r="A3034">
        <v>0</v>
      </c>
      <c r="B3034">
        <v>0</v>
      </c>
    </row>
    <row r="3035" spans="1:2" ht="12.5">
      <c r="A3035">
        <v>0</v>
      </c>
      <c r="B3035">
        <v>0</v>
      </c>
    </row>
    <row r="3036" spans="1:2" ht="12.5">
      <c r="A3036">
        <v>0</v>
      </c>
      <c r="B3036">
        <v>0</v>
      </c>
    </row>
    <row r="3037" spans="1:2" ht="12.5">
      <c r="A3037">
        <v>0</v>
      </c>
      <c r="B3037">
        <v>0</v>
      </c>
    </row>
    <row r="3038" spans="1:2" ht="12.5">
      <c r="A3038">
        <v>0</v>
      </c>
      <c r="B3038">
        <v>0</v>
      </c>
    </row>
    <row r="3039" spans="1:2" ht="12.5">
      <c r="A3039">
        <v>0</v>
      </c>
      <c r="B3039">
        <v>0</v>
      </c>
    </row>
    <row r="3040" spans="1:2" ht="12.5">
      <c r="A3040">
        <v>0</v>
      </c>
      <c r="B3040">
        <v>0</v>
      </c>
    </row>
    <row r="3041" spans="1:2" ht="12.5">
      <c r="A3041">
        <v>0</v>
      </c>
      <c r="B3041">
        <v>0</v>
      </c>
    </row>
    <row r="3042" spans="1:2" ht="12.5">
      <c r="A3042">
        <v>0</v>
      </c>
      <c r="B3042">
        <v>0</v>
      </c>
    </row>
    <row r="3043" spans="1:2" ht="12.5">
      <c r="A3043">
        <v>0</v>
      </c>
      <c r="B3043">
        <v>0</v>
      </c>
    </row>
    <row r="3044" spans="1:2" ht="12.5">
      <c r="A3044">
        <v>0</v>
      </c>
      <c r="B3044">
        <v>0</v>
      </c>
    </row>
    <row r="3045" spans="1:2" ht="12.5">
      <c r="A3045">
        <v>0</v>
      </c>
      <c r="B3045">
        <v>0</v>
      </c>
    </row>
    <row r="3046" spans="1:2" ht="12.5">
      <c r="A3046">
        <v>0</v>
      </c>
      <c r="B3046">
        <v>0</v>
      </c>
    </row>
    <row r="3047" spans="1:2" ht="12.5">
      <c r="A3047">
        <v>0</v>
      </c>
      <c r="B3047">
        <v>0</v>
      </c>
    </row>
    <row r="3048" spans="1:2" ht="12.5">
      <c r="A3048">
        <v>0</v>
      </c>
      <c r="B3048">
        <v>0</v>
      </c>
    </row>
    <row r="3049" spans="1:2" ht="12.5">
      <c r="A3049">
        <v>0</v>
      </c>
      <c r="B3049">
        <v>0</v>
      </c>
    </row>
    <row r="3050" spans="1:2" ht="12.5">
      <c r="A3050">
        <v>0</v>
      </c>
      <c r="B3050">
        <v>0</v>
      </c>
    </row>
    <row r="3051" spans="1:2" ht="12.5">
      <c r="A3051">
        <v>0</v>
      </c>
      <c r="B3051">
        <v>0</v>
      </c>
    </row>
    <row r="3052" spans="1:2" ht="12.5">
      <c r="A3052">
        <v>0</v>
      </c>
      <c r="B3052">
        <v>0</v>
      </c>
    </row>
    <row r="3053" spans="1:2" ht="12.5">
      <c r="A3053">
        <v>0</v>
      </c>
      <c r="B3053">
        <v>0</v>
      </c>
    </row>
    <row r="3054" spans="1:2" ht="12.5">
      <c r="A3054">
        <v>0</v>
      </c>
      <c r="B3054">
        <v>0</v>
      </c>
    </row>
    <row r="3055" spans="1:2" ht="12.5">
      <c r="A3055">
        <v>0</v>
      </c>
      <c r="B3055">
        <v>0</v>
      </c>
    </row>
    <row r="3056" spans="1:2" ht="12.5">
      <c r="A3056">
        <v>0</v>
      </c>
      <c r="B3056">
        <v>0</v>
      </c>
    </row>
    <row r="3057" spans="1:2" ht="12.5">
      <c r="A3057">
        <v>0</v>
      </c>
      <c r="B3057">
        <v>0</v>
      </c>
    </row>
    <row r="3058" spans="1:2" ht="12.5">
      <c r="A3058">
        <v>0</v>
      </c>
      <c r="B3058">
        <v>0</v>
      </c>
    </row>
    <row r="3059" spans="1:2" ht="12.5">
      <c r="A3059">
        <v>0</v>
      </c>
      <c r="B3059">
        <v>0</v>
      </c>
    </row>
    <row r="3060" spans="1:2" ht="12.5">
      <c r="A3060">
        <v>0</v>
      </c>
      <c r="B3060">
        <v>0</v>
      </c>
    </row>
    <row r="3061" spans="1:2" ht="12.5">
      <c r="A3061">
        <v>0</v>
      </c>
      <c r="B3061">
        <v>0</v>
      </c>
    </row>
    <row r="3062" spans="1:2" ht="12.5">
      <c r="A3062">
        <v>0</v>
      </c>
      <c r="B3062">
        <v>0</v>
      </c>
    </row>
    <row r="3063" spans="1:2" ht="12.5">
      <c r="A3063">
        <v>0</v>
      </c>
      <c r="B3063">
        <v>0</v>
      </c>
    </row>
    <row r="3064" spans="1:2" ht="12.5">
      <c r="A3064">
        <v>0</v>
      </c>
      <c r="B3064">
        <v>0</v>
      </c>
    </row>
    <row r="3065" spans="1:2" ht="12.5">
      <c r="A3065">
        <v>0</v>
      </c>
      <c r="B3065">
        <v>0</v>
      </c>
    </row>
    <row r="3066" spans="1:2" ht="12.5">
      <c r="A3066">
        <v>0</v>
      </c>
      <c r="B3066">
        <v>0</v>
      </c>
    </row>
    <row r="3067" spans="1:2" ht="12.5">
      <c r="A3067">
        <v>0</v>
      </c>
      <c r="B3067">
        <v>0</v>
      </c>
    </row>
    <row r="3068" spans="1:2" ht="12.5">
      <c r="A3068">
        <v>0</v>
      </c>
      <c r="B3068">
        <v>0</v>
      </c>
    </row>
    <row r="3069" spans="1:2" ht="12.5">
      <c r="A3069">
        <v>0</v>
      </c>
      <c r="B3069">
        <v>0</v>
      </c>
    </row>
    <row r="3070" spans="1:2" ht="12.5">
      <c r="A3070">
        <v>0</v>
      </c>
      <c r="B3070">
        <v>0</v>
      </c>
    </row>
    <row r="3071" spans="1:2" ht="12.5">
      <c r="A3071">
        <v>0</v>
      </c>
      <c r="B3071">
        <v>0</v>
      </c>
    </row>
    <row r="3072" spans="1:2" ht="12.5">
      <c r="A3072">
        <v>0</v>
      </c>
      <c r="B3072">
        <v>0</v>
      </c>
    </row>
    <row r="3073" spans="1:2" ht="12.5">
      <c r="A3073">
        <v>0</v>
      </c>
      <c r="B3073">
        <v>0</v>
      </c>
    </row>
    <row r="3074" spans="1:2" ht="12.5">
      <c r="A3074">
        <v>0</v>
      </c>
      <c r="B3074">
        <v>0</v>
      </c>
    </row>
    <row r="3075" spans="1:2" ht="12.5">
      <c r="A3075">
        <v>0</v>
      </c>
      <c r="B3075">
        <v>0</v>
      </c>
    </row>
    <row r="3076" spans="1:2" ht="12.5">
      <c r="A3076">
        <v>0</v>
      </c>
      <c r="B3076">
        <v>0</v>
      </c>
    </row>
    <row r="3077" spans="1:2" ht="12.5">
      <c r="A3077">
        <v>0</v>
      </c>
      <c r="B3077">
        <v>0</v>
      </c>
    </row>
    <row r="3078" spans="1:2" ht="12.5">
      <c r="A3078">
        <v>0</v>
      </c>
      <c r="B3078">
        <v>0</v>
      </c>
    </row>
    <row r="3079" spans="1:2" ht="12.5">
      <c r="A3079">
        <v>0</v>
      </c>
      <c r="B3079">
        <v>0</v>
      </c>
    </row>
    <row r="3080" spans="1:2" ht="12.5">
      <c r="A3080">
        <v>0</v>
      </c>
      <c r="B3080">
        <v>0</v>
      </c>
    </row>
    <row r="3081" spans="1:2" ht="12.5">
      <c r="A3081">
        <v>0</v>
      </c>
      <c r="B3081">
        <v>0</v>
      </c>
    </row>
    <row r="3082" spans="1:2" ht="12.5">
      <c r="A3082">
        <v>0</v>
      </c>
      <c r="B3082">
        <v>0</v>
      </c>
    </row>
    <row r="3083" spans="1:2" ht="12.5">
      <c r="A3083">
        <v>0</v>
      </c>
      <c r="B3083">
        <v>0</v>
      </c>
    </row>
    <row r="3084" spans="1:2" ht="12.5">
      <c r="A3084">
        <v>0</v>
      </c>
      <c r="B3084">
        <v>0</v>
      </c>
    </row>
    <row r="3085" spans="1:2" ht="12.5">
      <c r="A3085">
        <v>0</v>
      </c>
      <c r="B3085">
        <v>0</v>
      </c>
    </row>
    <row r="3086" spans="1:2" ht="12.5">
      <c r="A3086">
        <v>0</v>
      </c>
      <c r="B3086">
        <v>0</v>
      </c>
    </row>
    <row r="3087" spans="1:2" ht="12.5">
      <c r="A3087">
        <v>0</v>
      </c>
      <c r="B3087">
        <v>0</v>
      </c>
    </row>
    <row r="3088" spans="1:2" ht="12.5">
      <c r="A3088">
        <v>0</v>
      </c>
      <c r="B3088">
        <v>0</v>
      </c>
    </row>
    <row r="3089" spans="1:2" ht="12.5">
      <c r="A3089">
        <v>0</v>
      </c>
      <c r="B3089">
        <v>0</v>
      </c>
    </row>
    <row r="3090" spans="1:2" ht="12.5">
      <c r="A3090">
        <v>0</v>
      </c>
      <c r="B3090">
        <v>0</v>
      </c>
    </row>
    <row r="3091" spans="1:2" ht="12.5">
      <c r="A3091">
        <v>0</v>
      </c>
      <c r="B3091">
        <v>0</v>
      </c>
    </row>
    <row r="3092" spans="1:2" ht="12.5">
      <c r="A3092">
        <v>0</v>
      </c>
      <c r="B3092">
        <v>0</v>
      </c>
    </row>
    <row r="3093" spans="1:2" ht="12.5">
      <c r="A3093">
        <v>0</v>
      </c>
      <c r="B3093">
        <v>0</v>
      </c>
    </row>
    <row r="3094" spans="1:2" ht="12.5">
      <c r="A3094">
        <v>0</v>
      </c>
      <c r="B3094">
        <v>0</v>
      </c>
    </row>
    <row r="3095" spans="1:2" ht="12.5">
      <c r="A3095">
        <v>0</v>
      </c>
      <c r="B3095">
        <v>0</v>
      </c>
    </row>
    <row r="3096" spans="1:2" ht="12.5">
      <c r="A3096">
        <v>0</v>
      </c>
      <c r="B3096">
        <v>0</v>
      </c>
    </row>
    <row r="3097" spans="1:2" ht="12.5">
      <c r="A3097">
        <v>0</v>
      </c>
      <c r="B3097">
        <v>0</v>
      </c>
    </row>
    <row r="3098" spans="1:2" ht="12.5">
      <c r="A3098">
        <v>0</v>
      </c>
      <c r="B3098">
        <v>0</v>
      </c>
    </row>
    <row r="3099" spans="1:2" ht="12.5">
      <c r="A3099">
        <v>0</v>
      </c>
      <c r="B3099">
        <v>0</v>
      </c>
    </row>
    <row r="3100" spans="1:2" ht="12.5">
      <c r="A3100">
        <v>0</v>
      </c>
      <c r="B3100">
        <v>0</v>
      </c>
    </row>
    <row r="3101" spans="1:2" ht="12.5">
      <c r="A3101">
        <v>0</v>
      </c>
      <c r="B3101">
        <v>0</v>
      </c>
    </row>
    <row r="3102" spans="1:2" ht="12.5">
      <c r="A3102">
        <v>0</v>
      </c>
      <c r="B3102">
        <v>0</v>
      </c>
    </row>
    <row r="3103" spans="1:2" ht="12.5">
      <c r="A3103">
        <v>0</v>
      </c>
      <c r="B3103">
        <v>0</v>
      </c>
    </row>
    <row r="3104" spans="1:2" ht="12.5">
      <c r="A3104">
        <v>0</v>
      </c>
      <c r="B3104">
        <v>0</v>
      </c>
    </row>
    <row r="3105" spans="1:2" ht="12.5">
      <c r="A3105">
        <v>0</v>
      </c>
      <c r="B3105">
        <v>0</v>
      </c>
    </row>
    <row r="3106" spans="1:2" ht="12.5">
      <c r="A3106">
        <v>0</v>
      </c>
      <c r="B3106">
        <v>0</v>
      </c>
    </row>
    <row r="3107" spans="1:2" ht="12.5">
      <c r="A3107">
        <v>0</v>
      </c>
      <c r="B3107">
        <v>0</v>
      </c>
    </row>
    <row r="3108" spans="1:2" ht="12.5">
      <c r="A3108">
        <v>0</v>
      </c>
      <c r="B3108">
        <v>0</v>
      </c>
    </row>
    <row r="3109" spans="1:2" ht="12.5">
      <c r="A3109">
        <v>0</v>
      </c>
      <c r="B3109">
        <v>0</v>
      </c>
    </row>
    <row r="3110" spans="1:2" ht="12.5">
      <c r="A3110">
        <v>0</v>
      </c>
      <c r="B3110">
        <v>0</v>
      </c>
    </row>
    <row r="3111" spans="1:2" ht="12.5">
      <c r="A3111">
        <v>0</v>
      </c>
      <c r="B3111">
        <v>0</v>
      </c>
    </row>
    <row r="3112" spans="1:2" ht="12.5">
      <c r="A3112">
        <v>0</v>
      </c>
      <c r="B3112">
        <v>0</v>
      </c>
    </row>
    <row r="3113" spans="1:2" ht="12.5">
      <c r="A3113">
        <v>0</v>
      </c>
      <c r="B3113">
        <v>0</v>
      </c>
    </row>
    <row r="3114" spans="1:2" ht="12.5">
      <c r="A3114">
        <v>0</v>
      </c>
      <c r="B3114">
        <v>0</v>
      </c>
    </row>
    <row r="3115" spans="1:2" ht="12.5">
      <c r="A3115">
        <v>0</v>
      </c>
      <c r="B3115">
        <v>0</v>
      </c>
    </row>
    <row r="3116" spans="1:2" ht="12.5">
      <c r="A3116">
        <v>0</v>
      </c>
      <c r="B3116">
        <v>0</v>
      </c>
    </row>
    <row r="3117" spans="1:2" ht="12.5">
      <c r="A3117">
        <v>0</v>
      </c>
      <c r="B3117">
        <v>0</v>
      </c>
    </row>
    <row r="3118" spans="1:2" ht="12.5">
      <c r="A3118">
        <v>0</v>
      </c>
      <c r="B3118">
        <v>0</v>
      </c>
    </row>
    <row r="3119" spans="1:2" ht="12.5">
      <c r="A3119">
        <v>0</v>
      </c>
      <c r="B3119">
        <v>0</v>
      </c>
    </row>
    <row r="3120" spans="1:2" ht="12.5">
      <c r="A3120">
        <v>0</v>
      </c>
      <c r="B3120">
        <v>0</v>
      </c>
    </row>
    <row r="3121" spans="1:2" ht="12.5">
      <c r="A3121">
        <v>0</v>
      </c>
      <c r="B3121">
        <v>0</v>
      </c>
    </row>
    <row r="3122" spans="1:2" ht="12.5">
      <c r="A3122">
        <v>0</v>
      </c>
      <c r="B3122">
        <v>0</v>
      </c>
    </row>
    <row r="3123" spans="1:2" ht="12.5">
      <c r="A3123">
        <v>0</v>
      </c>
      <c r="B3123">
        <v>0</v>
      </c>
    </row>
    <row r="3124" spans="1:2" ht="12.5">
      <c r="A3124">
        <v>0</v>
      </c>
      <c r="B3124">
        <v>0</v>
      </c>
    </row>
    <row r="3125" spans="1:2" ht="12.5">
      <c r="A3125">
        <v>0</v>
      </c>
      <c r="B3125">
        <v>0</v>
      </c>
    </row>
    <row r="3126" spans="1:2" ht="12.5">
      <c r="A3126">
        <v>0</v>
      </c>
      <c r="B3126">
        <v>0</v>
      </c>
    </row>
    <row r="3127" spans="1:2" ht="12.5">
      <c r="A3127">
        <v>0</v>
      </c>
      <c r="B3127">
        <v>0</v>
      </c>
    </row>
    <row r="3128" spans="1:2" ht="12.5">
      <c r="A3128">
        <v>0</v>
      </c>
      <c r="B3128">
        <v>0</v>
      </c>
    </row>
    <row r="3129" spans="1:2" ht="12.5">
      <c r="A3129">
        <v>0</v>
      </c>
      <c r="B3129">
        <v>0</v>
      </c>
    </row>
    <row r="3130" spans="1:2" ht="12.5">
      <c r="A3130">
        <v>0</v>
      </c>
      <c r="B3130">
        <v>0</v>
      </c>
    </row>
    <row r="3131" spans="1:2" ht="12.5">
      <c r="A3131">
        <v>0</v>
      </c>
      <c r="B3131">
        <v>0</v>
      </c>
    </row>
    <row r="3132" spans="1:2" ht="12.5">
      <c r="A3132">
        <v>0</v>
      </c>
      <c r="B3132">
        <v>0</v>
      </c>
    </row>
    <row r="3133" spans="1:2" ht="12.5">
      <c r="A3133">
        <v>0</v>
      </c>
      <c r="B3133">
        <v>0</v>
      </c>
    </row>
    <row r="3134" spans="1:2" ht="12.5">
      <c r="A3134">
        <v>0</v>
      </c>
      <c r="B3134">
        <v>0</v>
      </c>
    </row>
    <row r="3135" spans="1:2" ht="12.5">
      <c r="A3135">
        <v>0</v>
      </c>
      <c r="B3135">
        <v>0</v>
      </c>
    </row>
    <row r="3136" spans="1:2" ht="12.5">
      <c r="A3136">
        <v>0</v>
      </c>
      <c r="B3136">
        <v>0</v>
      </c>
    </row>
    <row r="3137" spans="1:2" ht="12.5">
      <c r="A3137">
        <v>0</v>
      </c>
      <c r="B3137">
        <v>0</v>
      </c>
    </row>
    <row r="3138" spans="1:2" ht="12.5">
      <c r="A3138">
        <v>0</v>
      </c>
      <c r="B3138">
        <v>0</v>
      </c>
    </row>
    <row r="3139" spans="1:2" ht="12.5">
      <c r="A3139">
        <v>0</v>
      </c>
      <c r="B3139">
        <v>0</v>
      </c>
    </row>
    <row r="3140" spans="1:2" ht="12.5">
      <c r="A3140">
        <v>0</v>
      </c>
      <c r="B3140">
        <v>0</v>
      </c>
    </row>
    <row r="3141" spans="1:2" ht="12.5">
      <c r="A3141">
        <v>0</v>
      </c>
      <c r="B3141">
        <v>0</v>
      </c>
    </row>
    <row r="3142" spans="1:2" ht="12.5">
      <c r="A3142">
        <v>0</v>
      </c>
      <c r="B3142">
        <v>0</v>
      </c>
    </row>
    <row r="3143" spans="1:2" ht="12.5">
      <c r="A3143">
        <v>0</v>
      </c>
      <c r="B3143">
        <v>0</v>
      </c>
    </row>
    <row r="3144" spans="1:2" ht="12.5">
      <c r="A3144">
        <v>0</v>
      </c>
      <c r="B3144">
        <v>0</v>
      </c>
    </row>
    <row r="3145" spans="1:2" ht="12.5">
      <c r="A3145">
        <v>0</v>
      </c>
      <c r="B3145">
        <v>0</v>
      </c>
    </row>
    <row r="3146" spans="1:2" ht="12.5">
      <c r="A3146">
        <v>0</v>
      </c>
      <c r="B3146">
        <v>0</v>
      </c>
    </row>
    <row r="3147" spans="1:2" ht="12.5">
      <c r="A3147">
        <v>0</v>
      </c>
      <c r="B3147">
        <v>0</v>
      </c>
    </row>
    <row r="3148" spans="1:2" ht="12.5">
      <c r="A3148">
        <v>0</v>
      </c>
      <c r="B3148">
        <v>0</v>
      </c>
    </row>
    <row r="3149" spans="1:2" ht="12.5">
      <c r="A3149">
        <v>0</v>
      </c>
      <c r="B3149">
        <v>0</v>
      </c>
    </row>
    <row r="3150" spans="1:2" ht="12.5">
      <c r="A3150">
        <v>0</v>
      </c>
      <c r="B3150">
        <v>0</v>
      </c>
    </row>
    <row r="3151" spans="1:2" ht="12.5">
      <c r="A3151">
        <v>0</v>
      </c>
      <c r="B3151">
        <v>0</v>
      </c>
    </row>
    <row r="3152" spans="1:2" ht="12.5">
      <c r="A3152">
        <v>0</v>
      </c>
      <c r="B3152">
        <v>0</v>
      </c>
    </row>
    <row r="3153" spans="1:2" ht="12.5">
      <c r="A3153">
        <v>0</v>
      </c>
      <c r="B3153">
        <v>0</v>
      </c>
    </row>
    <row r="3154" spans="1:2" ht="12.5">
      <c r="A3154">
        <v>0</v>
      </c>
      <c r="B3154">
        <v>0</v>
      </c>
    </row>
    <row r="3155" spans="1:2" ht="12.5">
      <c r="A3155">
        <v>0</v>
      </c>
      <c r="B3155">
        <v>0</v>
      </c>
    </row>
    <row r="3156" spans="1:2" ht="12.5">
      <c r="A3156">
        <v>0</v>
      </c>
      <c r="B3156">
        <v>0</v>
      </c>
    </row>
    <row r="3157" spans="1:2" ht="12.5">
      <c r="A3157">
        <v>0</v>
      </c>
      <c r="B3157">
        <v>0</v>
      </c>
    </row>
    <row r="3158" spans="1:2" ht="12.5">
      <c r="A3158">
        <v>0</v>
      </c>
      <c r="B3158">
        <v>0</v>
      </c>
    </row>
    <row r="3159" spans="1:2" ht="12.5">
      <c r="A3159">
        <v>0</v>
      </c>
      <c r="B3159">
        <v>0</v>
      </c>
    </row>
    <row r="3160" spans="1:2" ht="12.5">
      <c r="A3160">
        <v>0</v>
      </c>
      <c r="B3160">
        <v>0</v>
      </c>
    </row>
    <row r="3161" spans="1:2" ht="12.5">
      <c r="A3161">
        <v>0</v>
      </c>
      <c r="B3161">
        <v>0</v>
      </c>
    </row>
    <row r="3162" spans="1:2" ht="12.5">
      <c r="A3162">
        <v>0</v>
      </c>
      <c r="B3162">
        <v>0</v>
      </c>
    </row>
    <row r="3163" spans="1:2" ht="12.5">
      <c r="A3163">
        <v>0</v>
      </c>
      <c r="B3163">
        <v>0</v>
      </c>
    </row>
    <row r="3164" spans="1:2" ht="12.5">
      <c r="A3164">
        <v>0</v>
      </c>
      <c r="B3164">
        <v>0</v>
      </c>
    </row>
    <row r="3165" spans="1:2" ht="12.5">
      <c r="A3165">
        <v>0</v>
      </c>
      <c r="B3165">
        <v>0</v>
      </c>
    </row>
    <row r="3166" spans="1:2" ht="12.5">
      <c r="A3166">
        <v>0</v>
      </c>
      <c r="B3166">
        <v>0</v>
      </c>
    </row>
    <row r="3167" spans="1:2" ht="12.5">
      <c r="A3167">
        <v>0</v>
      </c>
      <c r="B3167">
        <v>0</v>
      </c>
    </row>
    <row r="3168" spans="1:2" ht="12.5">
      <c r="A3168">
        <v>0</v>
      </c>
      <c r="B3168">
        <v>0</v>
      </c>
    </row>
    <row r="3169" spans="1:2" ht="12.5">
      <c r="A3169">
        <v>0</v>
      </c>
      <c r="B3169">
        <v>0</v>
      </c>
    </row>
    <row r="3170" spans="1:2" ht="12.5">
      <c r="A3170">
        <v>0</v>
      </c>
      <c r="B3170">
        <v>0</v>
      </c>
    </row>
    <row r="3171" spans="1:2" ht="12.5">
      <c r="A3171">
        <v>0</v>
      </c>
      <c r="B3171">
        <v>0</v>
      </c>
    </row>
    <row r="3172" spans="1:2" ht="12.5">
      <c r="A3172">
        <v>0</v>
      </c>
      <c r="B3172">
        <v>0</v>
      </c>
    </row>
    <row r="3173" spans="1:2" ht="12.5">
      <c r="A3173">
        <v>0</v>
      </c>
      <c r="B3173">
        <v>0</v>
      </c>
    </row>
    <row r="3174" spans="1:2" ht="12.5">
      <c r="A3174">
        <v>0</v>
      </c>
      <c r="B3174">
        <v>0</v>
      </c>
    </row>
    <row r="3175" spans="1:2" ht="12.5">
      <c r="A3175">
        <v>0</v>
      </c>
      <c r="B3175">
        <v>0</v>
      </c>
    </row>
    <row r="3176" spans="1:2" ht="12.5">
      <c r="A3176">
        <v>0</v>
      </c>
      <c r="B3176">
        <v>0</v>
      </c>
    </row>
    <row r="3177" spans="1:2" ht="12.5">
      <c r="A3177">
        <v>0</v>
      </c>
      <c r="B3177">
        <v>0</v>
      </c>
    </row>
    <row r="3178" spans="1:2" ht="12.5">
      <c r="A3178">
        <v>0</v>
      </c>
      <c r="B3178">
        <v>0</v>
      </c>
    </row>
    <row r="3179" spans="1:2" ht="12.5">
      <c r="A3179">
        <v>0</v>
      </c>
      <c r="B3179">
        <v>0</v>
      </c>
    </row>
    <row r="3180" spans="1:2" ht="12.5">
      <c r="A3180">
        <v>0</v>
      </c>
      <c r="B3180">
        <v>0</v>
      </c>
    </row>
    <row r="3181" spans="1:2" ht="12.5">
      <c r="A3181">
        <v>0</v>
      </c>
      <c r="B3181">
        <v>0</v>
      </c>
    </row>
    <row r="3182" spans="1:2" ht="12.5">
      <c r="A3182">
        <v>0</v>
      </c>
      <c r="B3182">
        <v>0</v>
      </c>
    </row>
    <row r="3183" spans="1:2" ht="12.5">
      <c r="A3183">
        <v>0</v>
      </c>
      <c r="B3183">
        <v>0</v>
      </c>
    </row>
    <row r="3184" spans="1:2" ht="12.5">
      <c r="A3184">
        <v>0</v>
      </c>
      <c r="B3184">
        <v>0</v>
      </c>
    </row>
    <row r="3185" spans="1:2" ht="12.5">
      <c r="A3185">
        <v>0</v>
      </c>
      <c r="B3185">
        <v>0</v>
      </c>
    </row>
    <row r="3186" spans="1:2" ht="12.5">
      <c r="A3186">
        <v>0</v>
      </c>
      <c r="B3186">
        <v>0</v>
      </c>
    </row>
    <row r="3187" spans="1:2" ht="12.5">
      <c r="A3187">
        <v>0</v>
      </c>
      <c r="B3187">
        <v>0</v>
      </c>
    </row>
    <row r="3188" spans="1:2" ht="12.5">
      <c r="A3188">
        <v>0</v>
      </c>
      <c r="B3188">
        <v>0</v>
      </c>
    </row>
    <row r="3189" spans="1:2" ht="12.5">
      <c r="A3189">
        <v>0</v>
      </c>
      <c r="B3189">
        <v>0</v>
      </c>
    </row>
    <row r="3190" spans="1:2" ht="12.5">
      <c r="A3190">
        <v>0</v>
      </c>
      <c r="B3190">
        <v>0</v>
      </c>
    </row>
    <row r="3191" spans="1:2" ht="12.5">
      <c r="A3191">
        <v>0</v>
      </c>
      <c r="B3191">
        <v>0</v>
      </c>
    </row>
    <row r="3192" spans="1:2" ht="12.5">
      <c r="A3192">
        <v>0</v>
      </c>
      <c r="B3192">
        <v>0</v>
      </c>
    </row>
    <row r="3193" spans="1:2" ht="12.5">
      <c r="A3193">
        <v>0</v>
      </c>
      <c r="B3193">
        <v>0</v>
      </c>
    </row>
    <row r="3194" spans="1:2" ht="12.5">
      <c r="A3194">
        <v>0</v>
      </c>
      <c r="B3194">
        <v>0</v>
      </c>
    </row>
    <row r="3195" spans="1:2" ht="12.5">
      <c r="A3195">
        <v>0</v>
      </c>
      <c r="B3195">
        <v>0</v>
      </c>
    </row>
    <row r="3196" spans="1:2" ht="12.5">
      <c r="A3196">
        <v>0</v>
      </c>
      <c r="B3196">
        <v>0</v>
      </c>
    </row>
    <row r="3197" spans="1:2" ht="12.5">
      <c r="A3197">
        <v>0</v>
      </c>
      <c r="B3197">
        <v>0</v>
      </c>
    </row>
    <row r="3198" spans="1:2" ht="12.5">
      <c r="A3198">
        <v>0</v>
      </c>
      <c r="B3198">
        <v>0</v>
      </c>
    </row>
    <row r="3199" spans="1:2" ht="12.5">
      <c r="A3199">
        <v>0</v>
      </c>
      <c r="B3199">
        <v>0</v>
      </c>
    </row>
    <row r="3200" spans="1:2" ht="12.5">
      <c r="A3200">
        <v>0</v>
      </c>
      <c r="B3200">
        <v>0</v>
      </c>
    </row>
    <row r="3201" spans="1:2" ht="12.5">
      <c r="A3201">
        <v>0</v>
      </c>
      <c r="B3201">
        <v>0</v>
      </c>
    </row>
    <row r="3202" spans="1:2" ht="12.5">
      <c r="A3202">
        <v>0</v>
      </c>
      <c r="B3202">
        <v>0</v>
      </c>
    </row>
    <row r="3203" spans="1:2" ht="12.5">
      <c r="A3203">
        <v>0</v>
      </c>
      <c r="B3203">
        <v>0</v>
      </c>
    </row>
    <row r="3204" spans="1:2" ht="12.5">
      <c r="A3204">
        <v>0</v>
      </c>
      <c r="B3204">
        <v>0</v>
      </c>
    </row>
    <row r="3205" spans="1:2" ht="12.5">
      <c r="A3205">
        <v>0</v>
      </c>
      <c r="B3205">
        <v>0</v>
      </c>
    </row>
    <row r="3206" spans="1:2" ht="12.5">
      <c r="A3206">
        <v>0</v>
      </c>
      <c r="B3206">
        <v>0</v>
      </c>
    </row>
    <row r="3207" spans="1:2" ht="12.5">
      <c r="A3207">
        <v>0</v>
      </c>
      <c r="B3207">
        <v>0</v>
      </c>
    </row>
    <row r="3208" spans="1:2" ht="12.5">
      <c r="A3208">
        <v>0</v>
      </c>
      <c r="B3208">
        <v>0</v>
      </c>
    </row>
    <row r="3209" spans="1:2" ht="12.5">
      <c r="A3209">
        <v>0</v>
      </c>
      <c r="B3209">
        <v>0</v>
      </c>
    </row>
    <row r="3210" spans="1:2" ht="12.5">
      <c r="A3210">
        <v>0</v>
      </c>
      <c r="B3210">
        <v>0</v>
      </c>
    </row>
    <row r="3211" spans="1:2" ht="12.5">
      <c r="A3211">
        <v>0</v>
      </c>
      <c r="B3211">
        <v>0</v>
      </c>
    </row>
    <row r="3212" spans="1:2" ht="12.5">
      <c r="A3212">
        <v>0</v>
      </c>
      <c r="B3212">
        <v>0</v>
      </c>
    </row>
    <row r="3213" spans="1:2" ht="12.5">
      <c r="A3213">
        <v>0</v>
      </c>
      <c r="B3213">
        <v>0</v>
      </c>
    </row>
    <row r="3214" spans="1:2" ht="12.5">
      <c r="A3214">
        <v>0</v>
      </c>
      <c r="B3214">
        <v>0</v>
      </c>
    </row>
    <row r="3215" spans="1:2" ht="12.5">
      <c r="A3215">
        <v>0</v>
      </c>
      <c r="B3215">
        <v>0</v>
      </c>
    </row>
    <row r="3216" spans="1:2" ht="12.5">
      <c r="A3216">
        <v>0</v>
      </c>
      <c r="B3216">
        <v>0</v>
      </c>
    </row>
    <row r="3217" spans="1:2" ht="12.5">
      <c r="A3217">
        <v>0</v>
      </c>
      <c r="B3217">
        <v>0</v>
      </c>
    </row>
    <row r="3218" spans="1:2" ht="12.5">
      <c r="A3218">
        <v>0</v>
      </c>
      <c r="B3218">
        <v>0</v>
      </c>
    </row>
    <row r="3219" spans="1:2" ht="12.5">
      <c r="A3219">
        <v>0</v>
      </c>
      <c r="B3219">
        <v>0</v>
      </c>
    </row>
    <row r="3220" spans="1:2" ht="12.5">
      <c r="A3220">
        <v>0</v>
      </c>
      <c r="B3220">
        <v>0</v>
      </c>
    </row>
    <row r="3221" spans="1:2" ht="12.5">
      <c r="A3221">
        <v>0</v>
      </c>
      <c r="B3221">
        <v>0</v>
      </c>
    </row>
    <row r="3222" spans="1:2" ht="12.5">
      <c r="A3222">
        <v>0</v>
      </c>
      <c r="B3222">
        <v>0</v>
      </c>
    </row>
    <row r="3223" spans="1:2" ht="12.5">
      <c r="A3223">
        <v>0</v>
      </c>
      <c r="B3223">
        <v>0</v>
      </c>
    </row>
    <row r="3224" spans="1:2" ht="12.5">
      <c r="A3224">
        <v>0</v>
      </c>
      <c r="B3224">
        <v>0</v>
      </c>
    </row>
    <row r="3225" spans="1:2" ht="12.5">
      <c r="A3225">
        <v>0</v>
      </c>
      <c r="B3225">
        <v>0</v>
      </c>
    </row>
    <row r="3226" spans="1:2" ht="12.5">
      <c r="A3226">
        <v>0</v>
      </c>
      <c r="B3226">
        <v>0</v>
      </c>
    </row>
    <row r="3227" spans="1:2" ht="12.5">
      <c r="A3227">
        <v>0</v>
      </c>
      <c r="B3227">
        <v>0</v>
      </c>
    </row>
    <row r="3228" spans="1:2" ht="12.5">
      <c r="A3228">
        <v>0</v>
      </c>
      <c r="B3228">
        <v>0</v>
      </c>
    </row>
    <row r="3229" spans="1:2" ht="12.5">
      <c r="A3229">
        <v>0</v>
      </c>
      <c r="B3229">
        <v>0</v>
      </c>
    </row>
    <row r="3230" spans="1:2" ht="12.5">
      <c r="A3230">
        <v>0</v>
      </c>
      <c r="B3230">
        <v>0</v>
      </c>
    </row>
    <row r="3231" spans="1:2" ht="12.5">
      <c r="A3231">
        <v>0</v>
      </c>
      <c r="B3231">
        <v>0</v>
      </c>
    </row>
    <row r="3232" spans="1:2" ht="12.5">
      <c r="A3232">
        <v>0</v>
      </c>
      <c r="B3232">
        <v>0</v>
      </c>
    </row>
    <row r="3233" spans="1:2" ht="12.5">
      <c r="A3233">
        <v>0</v>
      </c>
      <c r="B3233">
        <v>0</v>
      </c>
    </row>
    <row r="3234" spans="1:2" ht="12.5">
      <c r="A3234">
        <v>0</v>
      </c>
      <c r="B3234">
        <v>0</v>
      </c>
    </row>
    <row r="3235" spans="1:2" ht="12.5">
      <c r="A3235">
        <v>0</v>
      </c>
      <c r="B3235">
        <v>0</v>
      </c>
    </row>
    <row r="3236" spans="1:2" ht="12.5">
      <c r="A3236">
        <v>0</v>
      </c>
      <c r="B3236">
        <v>0</v>
      </c>
    </row>
    <row r="3237" spans="1:2" ht="12.5">
      <c r="A3237">
        <v>0</v>
      </c>
      <c r="B3237">
        <v>0</v>
      </c>
    </row>
    <row r="3238" spans="1:2" ht="12.5">
      <c r="A3238">
        <v>0</v>
      </c>
      <c r="B3238">
        <v>0</v>
      </c>
    </row>
    <row r="3239" spans="1:2" ht="12.5">
      <c r="A3239">
        <v>0</v>
      </c>
      <c r="B3239">
        <v>0</v>
      </c>
    </row>
    <row r="3240" spans="1:2" ht="12.5">
      <c r="A3240">
        <v>0</v>
      </c>
      <c r="B3240">
        <v>0</v>
      </c>
    </row>
    <row r="3241" spans="1:2" ht="12.5">
      <c r="A3241">
        <v>0</v>
      </c>
      <c r="B3241">
        <v>0</v>
      </c>
    </row>
    <row r="3242" spans="1:2" ht="12.5">
      <c r="A3242">
        <v>0</v>
      </c>
      <c r="B3242">
        <v>0</v>
      </c>
    </row>
    <row r="3243" spans="1:2" ht="12.5">
      <c r="A3243">
        <v>0</v>
      </c>
      <c r="B3243">
        <v>0</v>
      </c>
    </row>
    <row r="3244" spans="1:2" ht="12.5">
      <c r="A3244">
        <v>0</v>
      </c>
      <c r="B3244">
        <v>0</v>
      </c>
    </row>
    <row r="3245" spans="1:2" ht="12.5">
      <c r="A3245">
        <v>0</v>
      </c>
      <c r="B3245">
        <v>0</v>
      </c>
    </row>
    <row r="3246" spans="1:2" ht="12.5">
      <c r="A3246">
        <v>0</v>
      </c>
      <c r="B3246">
        <v>0</v>
      </c>
    </row>
    <row r="3247" spans="1:2" ht="12.5">
      <c r="A3247">
        <v>0</v>
      </c>
      <c r="B3247">
        <v>0</v>
      </c>
    </row>
    <row r="3248" spans="1:2" ht="12.5">
      <c r="A3248">
        <v>0</v>
      </c>
      <c r="B3248">
        <v>0</v>
      </c>
    </row>
    <row r="3249" spans="1:2" ht="12.5">
      <c r="A3249">
        <v>0</v>
      </c>
      <c r="B3249">
        <v>0</v>
      </c>
    </row>
    <row r="3250" spans="1:2" ht="12.5">
      <c r="A3250">
        <v>0</v>
      </c>
      <c r="B3250">
        <v>0</v>
      </c>
    </row>
    <row r="3251" spans="1:2" ht="12.5">
      <c r="A3251">
        <v>0</v>
      </c>
      <c r="B3251">
        <v>0</v>
      </c>
    </row>
    <row r="3252" spans="1:2" ht="12.5">
      <c r="A3252">
        <v>0</v>
      </c>
      <c r="B3252">
        <v>0</v>
      </c>
    </row>
    <row r="3253" spans="1:2" ht="12.5">
      <c r="A3253">
        <v>0</v>
      </c>
      <c r="B3253">
        <v>0</v>
      </c>
    </row>
    <row r="3254" spans="1:2" ht="12.5">
      <c r="A3254">
        <v>0</v>
      </c>
      <c r="B3254">
        <v>0</v>
      </c>
    </row>
    <row r="3255" spans="1:2" ht="12.5">
      <c r="A3255">
        <v>0</v>
      </c>
      <c r="B3255">
        <v>0</v>
      </c>
    </row>
    <row r="3256" spans="1:2" ht="12.5">
      <c r="A3256">
        <v>0</v>
      </c>
      <c r="B3256">
        <v>0</v>
      </c>
    </row>
    <row r="3257" spans="1:2" ht="12.5">
      <c r="A3257">
        <v>0</v>
      </c>
      <c r="B3257">
        <v>0</v>
      </c>
    </row>
    <row r="3258" spans="1:2" ht="12.5">
      <c r="A3258">
        <v>0</v>
      </c>
      <c r="B3258">
        <v>0</v>
      </c>
    </row>
    <row r="3259" spans="1:2" ht="12.5">
      <c r="A3259">
        <v>0</v>
      </c>
      <c r="B3259">
        <v>0</v>
      </c>
    </row>
    <row r="3260" spans="1:2" ht="12.5">
      <c r="A3260">
        <v>0</v>
      </c>
      <c r="B3260">
        <v>0</v>
      </c>
    </row>
    <row r="3261" spans="1:2" ht="12.5">
      <c r="A3261">
        <v>0</v>
      </c>
      <c r="B3261">
        <v>0</v>
      </c>
    </row>
    <row r="3262" spans="1:2" ht="12.5">
      <c r="A3262">
        <v>0</v>
      </c>
      <c r="B3262">
        <v>0</v>
      </c>
    </row>
    <row r="3263" spans="1:2" ht="12.5">
      <c r="A3263">
        <v>0</v>
      </c>
      <c r="B3263">
        <v>0</v>
      </c>
    </row>
    <row r="3264" spans="1:2" ht="12.5">
      <c r="A3264">
        <v>0</v>
      </c>
      <c r="B3264">
        <v>0</v>
      </c>
    </row>
    <row r="3265" spans="1:2" ht="12.5">
      <c r="A3265">
        <v>0</v>
      </c>
      <c r="B3265">
        <v>0</v>
      </c>
    </row>
    <row r="3266" spans="1:2" ht="12.5">
      <c r="A3266">
        <v>0</v>
      </c>
      <c r="B3266">
        <v>0</v>
      </c>
    </row>
    <row r="3267" spans="1:2" ht="12.5">
      <c r="A3267">
        <v>0</v>
      </c>
      <c r="B3267">
        <v>0</v>
      </c>
    </row>
    <row r="3268" spans="1:2" ht="12.5">
      <c r="A3268">
        <v>0</v>
      </c>
      <c r="B3268">
        <v>0</v>
      </c>
    </row>
    <row r="3269" spans="1:2" ht="12.5">
      <c r="A3269">
        <v>0</v>
      </c>
      <c r="B3269">
        <v>0</v>
      </c>
    </row>
    <row r="3270" spans="1:2" ht="12.5">
      <c r="A3270">
        <v>0</v>
      </c>
      <c r="B3270">
        <v>0</v>
      </c>
    </row>
    <row r="3271" spans="1:2" ht="12.5">
      <c r="A3271">
        <v>0</v>
      </c>
      <c r="B3271">
        <v>0</v>
      </c>
    </row>
    <row r="3272" spans="1:2" ht="12.5">
      <c r="A3272">
        <v>0</v>
      </c>
      <c r="B3272">
        <v>0</v>
      </c>
    </row>
    <row r="3273" spans="1:2" ht="12.5">
      <c r="A3273">
        <v>0</v>
      </c>
      <c r="B3273">
        <v>0</v>
      </c>
    </row>
    <row r="3274" spans="1:2" ht="12.5">
      <c r="A3274">
        <v>0</v>
      </c>
      <c r="B3274">
        <v>0</v>
      </c>
    </row>
    <row r="3275" spans="1:2" ht="12.5">
      <c r="A3275">
        <v>0</v>
      </c>
      <c r="B3275">
        <v>0</v>
      </c>
    </row>
    <row r="3276" spans="1:2" ht="12.5">
      <c r="A3276">
        <v>0</v>
      </c>
      <c r="B3276">
        <v>0</v>
      </c>
    </row>
    <row r="3277" spans="1:2" ht="12.5">
      <c r="A3277">
        <v>0</v>
      </c>
      <c r="B3277">
        <v>0</v>
      </c>
    </row>
    <row r="3278" spans="1:2" ht="12.5">
      <c r="A3278">
        <v>0</v>
      </c>
      <c r="B3278">
        <v>0</v>
      </c>
    </row>
    <row r="3279" spans="1:2" ht="12.5">
      <c r="A3279">
        <v>0</v>
      </c>
      <c r="B3279">
        <v>0</v>
      </c>
    </row>
    <row r="3280" spans="1:2" ht="12.5">
      <c r="A3280">
        <v>0</v>
      </c>
      <c r="B3280">
        <v>0</v>
      </c>
    </row>
    <row r="3281" spans="1:2" ht="12.5">
      <c r="A3281">
        <v>0</v>
      </c>
      <c r="B3281">
        <v>0</v>
      </c>
    </row>
    <row r="3282" spans="1:2" ht="12.5">
      <c r="A3282">
        <v>0</v>
      </c>
      <c r="B3282">
        <v>0</v>
      </c>
    </row>
    <row r="3283" spans="1:2" ht="12.5">
      <c r="A3283">
        <v>0</v>
      </c>
      <c r="B3283">
        <v>0</v>
      </c>
    </row>
    <row r="3284" spans="1:2" ht="12.5">
      <c r="A3284">
        <v>0</v>
      </c>
      <c r="B3284">
        <v>0</v>
      </c>
    </row>
    <row r="3285" spans="1:2" ht="12.5">
      <c r="A3285">
        <v>0</v>
      </c>
      <c r="B3285">
        <v>0</v>
      </c>
    </row>
    <row r="3286" spans="1:2" ht="12.5">
      <c r="A3286">
        <v>0</v>
      </c>
      <c r="B3286">
        <v>0</v>
      </c>
    </row>
    <row r="3287" spans="1:2" ht="12.5">
      <c r="A3287">
        <v>0</v>
      </c>
      <c r="B3287">
        <v>0</v>
      </c>
    </row>
    <row r="3288" spans="1:2" ht="12.5">
      <c r="A3288">
        <v>0</v>
      </c>
      <c r="B3288">
        <v>0</v>
      </c>
    </row>
    <row r="3289" spans="1:2" ht="12.5">
      <c r="A3289">
        <v>0</v>
      </c>
      <c r="B3289">
        <v>0</v>
      </c>
    </row>
    <row r="3290" spans="1:2" ht="12.5">
      <c r="A3290">
        <v>0</v>
      </c>
      <c r="B3290">
        <v>0</v>
      </c>
    </row>
    <row r="3291" spans="1:2" ht="12.5">
      <c r="A3291">
        <v>0</v>
      </c>
      <c r="B3291">
        <v>0</v>
      </c>
    </row>
    <row r="3292" spans="1:2" ht="12.5">
      <c r="A3292">
        <v>0</v>
      </c>
      <c r="B3292">
        <v>0</v>
      </c>
    </row>
    <row r="3293" spans="1:2" ht="12.5">
      <c r="A3293">
        <v>0</v>
      </c>
      <c r="B3293">
        <v>0</v>
      </c>
    </row>
    <row r="3294" spans="1:2" ht="12.5">
      <c r="A3294">
        <v>0</v>
      </c>
      <c r="B3294">
        <v>0</v>
      </c>
    </row>
    <row r="3295" spans="1:2" ht="12.5">
      <c r="A3295">
        <v>0</v>
      </c>
      <c r="B3295">
        <v>0</v>
      </c>
    </row>
    <row r="3296" spans="1:2" ht="12.5">
      <c r="A3296">
        <v>0</v>
      </c>
      <c r="B3296">
        <v>0</v>
      </c>
    </row>
    <row r="3297" spans="1:2" ht="12.5">
      <c r="A3297">
        <v>0</v>
      </c>
      <c r="B3297">
        <v>0</v>
      </c>
    </row>
    <row r="3298" spans="1:2" ht="12.5">
      <c r="A3298">
        <v>0</v>
      </c>
      <c r="B3298">
        <v>0</v>
      </c>
    </row>
    <row r="3299" spans="1:2" ht="12.5">
      <c r="A3299">
        <v>0</v>
      </c>
      <c r="B3299">
        <v>0</v>
      </c>
    </row>
    <row r="3300" spans="1:2" ht="12.5">
      <c r="A3300">
        <v>0</v>
      </c>
      <c r="B3300">
        <v>0</v>
      </c>
    </row>
    <row r="3301" spans="1:2" ht="12.5">
      <c r="A3301">
        <v>0</v>
      </c>
      <c r="B3301">
        <v>0</v>
      </c>
    </row>
    <row r="3302" spans="1:2" ht="12.5">
      <c r="A3302">
        <v>0</v>
      </c>
      <c r="B3302">
        <v>0</v>
      </c>
    </row>
    <row r="3303" spans="1:2" ht="12.5">
      <c r="A3303">
        <v>0</v>
      </c>
      <c r="B3303">
        <v>0</v>
      </c>
    </row>
    <row r="3304" spans="1:2" ht="12.5">
      <c r="A3304">
        <v>0</v>
      </c>
      <c r="B3304">
        <v>0</v>
      </c>
    </row>
    <row r="3305" spans="1:2" ht="12.5">
      <c r="A3305">
        <v>0</v>
      </c>
      <c r="B3305">
        <v>0</v>
      </c>
    </row>
    <row r="3306" spans="1:2" ht="12.5">
      <c r="A3306">
        <v>0</v>
      </c>
      <c r="B3306">
        <v>0</v>
      </c>
    </row>
    <row r="3307" spans="1:2" ht="12.5">
      <c r="A3307">
        <v>0</v>
      </c>
      <c r="B3307">
        <v>0</v>
      </c>
    </row>
    <row r="3308" spans="1:2" ht="12.5">
      <c r="A3308">
        <v>0</v>
      </c>
      <c r="B3308">
        <v>0</v>
      </c>
    </row>
    <row r="3309" spans="1:2" ht="12.5">
      <c r="A3309">
        <v>0</v>
      </c>
      <c r="B3309">
        <v>0</v>
      </c>
    </row>
    <row r="3310" spans="1:2" ht="12.5">
      <c r="A3310">
        <v>0</v>
      </c>
      <c r="B3310">
        <v>0</v>
      </c>
    </row>
    <row r="3311" spans="1:2" ht="12.5">
      <c r="A3311">
        <v>0</v>
      </c>
      <c r="B3311">
        <v>0</v>
      </c>
    </row>
    <row r="3312" spans="1:2" ht="12.5">
      <c r="A3312">
        <v>0</v>
      </c>
      <c r="B3312">
        <v>0</v>
      </c>
    </row>
    <row r="3313" spans="1:2" ht="12.5">
      <c r="A3313">
        <v>0</v>
      </c>
      <c r="B3313">
        <v>0</v>
      </c>
    </row>
    <row r="3314" spans="1:2" ht="12.5">
      <c r="A3314">
        <v>0</v>
      </c>
      <c r="B3314">
        <v>0</v>
      </c>
    </row>
    <row r="3315" spans="1:2" ht="12.5">
      <c r="A3315">
        <v>0</v>
      </c>
      <c r="B3315">
        <v>0</v>
      </c>
    </row>
    <row r="3316" spans="1:2" ht="12.5">
      <c r="A3316">
        <v>0</v>
      </c>
      <c r="B3316">
        <v>0</v>
      </c>
    </row>
    <row r="3317" spans="1:2" ht="12.5">
      <c r="A3317">
        <v>0</v>
      </c>
      <c r="B3317">
        <v>0</v>
      </c>
    </row>
    <row r="3318" spans="1:2" ht="12.5">
      <c r="A3318">
        <v>0</v>
      </c>
      <c r="B3318">
        <v>0</v>
      </c>
    </row>
    <row r="3319" spans="1:2" ht="12.5">
      <c r="A3319">
        <v>0</v>
      </c>
      <c r="B3319">
        <v>0</v>
      </c>
    </row>
    <row r="3320" spans="1:2" ht="12.5">
      <c r="A3320">
        <v>0</v>
      </c>
      <c r="B3320">
        <v>0</v>
      </c>
    </row>
    <row r="3321" spans="1:2" ht="12.5">
      <c r="A3321">
        <v>0</v>
      </c>
      <c r="B3321">
        <v>0</v>
      </c>
    </row>
    <row r="3322" spans="1:2" ht="12.5">
      <c r="A3322">
        <v>0</v>
      </c>
      <c r="B3322">
        <v>0</v>
      </c>
    </row>
    <row r="3323" spans="1:2" ht="12.5">
      <c r="A3323">
        <v>0</v>
      </c>
      <c r="B3323">
        <v>0</v>
      </c>
    </row>
    <row r="3324" spans="1:2" ht="12.5">
      <c r="A3324">
        <v>0</v>
      </c>
      <c r="B3324">
        <v>0</v>
      </c>
    </row>
    <row r="3325" spans="1:2" ht="12.5">
      <c r="A3325">
        <v>0</v>
      </c>
      <c r="B3325">
        <v>0</v>
      </c>
    </row>
    <row r="3326" spans="1:2" ht="12.5">
      <c r="A3326">
        <v>0</v>
      </c>
      <c r="B3326">
        <v>0</v>
      </c>
    </row>
    <row r="3327" spans="1:2" ht="12.5">
      <c r="A3327">
        <v>0</v>
      </c>
      <c r="B3327">
        <v>0</v>
      </c>
    </row>
    <row r="3328" spans="1:2" ht="12.5">
      <c r="A3328">
        <v>0</v>
      </c>
      <c r="B3328">
        <v>0</v>
      </c>
    </row>
    <row r="3329" spans="1:2" ht="12.5">
      <c r="A3329">
        <v>0</v>
      </c>
      <c r="B3329">
        <v>0</v>
      </c>
    </row>
    <row r="3330" spans="1:2" ht="12.5">
      <c r="A3330">
        <v>0</v>
      </c>
      <c r="B3330">
        <v>0</v>
      </c>
    </row>
    <row r="3331" spans="1:2" ht="12.5">
      <c r="A3331">
        <v>0</v>
      </c>
      <c r="B3331">
        <v>0</v>
      </c>
    </row>
    <row r="3332" spans="1:2" ht="12.5">
      <c r="A3332">
        <v>0</v>
      </c>
      <c r="B3332">
        <v>0</v>
      </c>
    </row>
    <row r="3333" spans="1:2" ht="12.5">
      <c r="A3333">
        <v>0</v>
      </c>
      <c r="B3333">
        <v>0</v>
      </c>
    </row>
    <row r="3334" spans="1:2" ht="12.5">
      <c r="A3334">
        <v>0</v>
      </c>
      <c r="B3334">
        <v>0</v>
      </c>
    </row>
    <row r="3335" spans="1:2" ht="12.5">
      <c r="A3335">
        <v>0</v>
      </c>
      <c r="B3335">
        <v>0</v>
      </c>
    </row>
    <row r="3336" spans="1:2" ht="12.5">
      <c r="A3336">
        <v>0</v>
      </c>
      <c r="B3336">
        <v>0</v>
      </c>
    </row>
    <row r="3337" spans="1:2" ht="12.5">
      <c r="A3337">
        <v>0</v>
      </c>
      <c r="B3337">
        <v>0</v>
      </c>
    </row>
    <row r="3338" spans="1:2" ht="12.5">
      <c r="A3338">
        <v>0</v>
      </c>
      <c r="B3338">
        <v>0</v>
      </c>
    </row>
    <row r="3339" spans="1:2" ht="12.5">
      <c r="A3339">
        <v>0</v>
      </c>
      <c r="B3339">
        <v>0</v>
      </c>
    </row>
    <row r="3340" spans="1:2" ht="12.5">
      <c r="A3340">
        <v>0</v>
      </c>
      <c r="B3340">
        <v>0</v>
      </c>
    </row>
    <row r="3341" spans="1:2" ht="12.5">
      <c r="A3341">
        <v>0</v>
      </c>
      <c r="B3341">
        <v>0</v>
      </c>
    </row>
    <row r="3342" spans="1:2" ht="12.5">
      <c r="A3342">
        <v>0</v>
      </c>
      <c r="B3342">
        <v>0</v>
      </c>
    </row>
    <row r="3343" spans="1:2" ht="12.5">
      <c r="A3343">
        <v>0</v>
      </c>
      <c r="B3343">
        <v>0</v>
      </c>
    </row>
    <row r="3344" spans="1:2" ht="12.5">
      <c r="A3344">
        <v>0</v>
      </c>
      <c r="B3344">
        <v>0</v>
      </c>
    </row>
    <row r="3345" spans="1:2" ht="12.5">
      <c r="A3345">
        <v>0</v>
      </c>
      <c r="B3345">
        <v>0</v>
      </c>
    </row>
    <row r="3346" spans="1:2" ht="12.5">
      <c r="A3346">
        <v>0</v>
      </c>
      <c r="B3346">
        <v>0</v>
      </c>
    </row>
    <row r="3347" spans="1:2" ht="12.5">
      <c r="A3347">
        <v>0</v>
      </c>
      <c r="B3347">
        <v>0</v>
      </c>
    </row>
    <row r="3348" spans="1:2" ht="12.5">
      <c r="A3348">
        <v>0</v>
      </c>
      <c r="B3348">
        <v>0</v>
      </c>
    </row>
    <row r="3349" spans="1:2" ht="12.5">
      <c r="A3349">
        <v>0</v>
      </c>
      <c r="B3349">
        <v>0</v>
      </c>
    </row>
    <row r="3350" spans="1:2" ht="12.5">
      <c r="A3350">
        <v>0</v>
      </c>
      <c r="B3350">
        <v>0</v>
      </c>
    </row>
    <row r="3351" spans="1:2" ht="12.5">
      <c r="A3351">
        <v>0</v>
      </c>
      <c r="B3351">
        <v>0</v>
      </c>
    </row>
    <row r="3352" spans="1:2" ht="12.5">
      <c r="A3352">
        <v>0</v>
      </c>
      <c r="B3352">
        <v>0</v>
      </c>
    </row>
    <row r="3353" spans="1:2" ht="12.5">
      <c r="A3353">
        <v>0</v>
      </c>
      <c r="B3353">
        <v>0</v>
      </c>
    </row>
    <row r="3354" spans="1:2" ht="12.5">
      <c r="A3354">
        <v>0</v>
      </c>
      <c r="B3354">
        <v>0</v>
      </c>
    </row>
    <row r="3355" spans="1:2" ht="12.5">
      <c r="A3355">
        <v>0</v>
      </c>
      <c r="B3355">
        <v>0</v>
      </c>
    </row>
    <row r="3356" spans="1:2" ht="12.5">
      <c r="A3356">
        <v>0</v>
      </c>
      <c r="B3356">
        <v>0</v>
      </c>
    </row>
    <row r="3357" spans="1:2" ht="12.5">
      <c r="A3357">
        <v>0</v>
      </c>
      <c r="B3357">
        <v>0</v>
      </c>
    </row>
    <row r="3358" spans="1:2" ht="12.5">
      <c r="A3358">
        <v>0</v>
      </c>
      <c r="B3358">
        <v>0</v>
      </c>
    </row>
    <row r="3359" spans="1:2" ht="12.5">
      <c r="A3359">
        <v>0</v>
      </c>
      <c r="B3359">
        <v>0</v>
      </c>
    </row>
    <row r="3360" spans="1:2" ht="12.5">
      <c r="A3360">
        <v>0</v>
      </c>
      <c r="B3360">
        <v>0</v>
      </c>
    </row>
    <row r="3361" spans="1:2" ht="12.5">
      <c r="A3361">
        <v>0</v>
      </c>
      <c r="B3361">
        <v>0</v>
      </c>
    </row>
    <row r="3362" spans="1:2" ht="12.5">
      <c r="A3362">
        <v>0</v>
      </c>
      <c r="B3362">
        <v>0</v>
      </c>
    </row>
    <row r="3363" spans="1:2" ht="12.5">
      <c r="A3363">
        <v>0</v>
      </c>
      <c r="B3363">
        <v>0</v>
      </c>
    </row>
    <row r="3364" spans="1:2" ht="12.5">
      <c r="A3364">
        <v>0</v>
      </c>
      <c r="B3364">
        <v>0</v>
      </c>
    </row>
    <row r="3365" spans="1:2" ht="12.5">
      <c r="A3365">
        <v>0</v>
      </c>
      <c r="B3365">
        <v>0</v>
      </c>
    </row>
    <row r="3366" spans="1:2" ht="12.5">
      <c r="A3366">
        <v>0</v>
      </c>
      <c r="B3366">
        <v>0</v>
      </c>
    </row>
    <row r="3367" spans="1:2" ht="12.5">
      <c r="A3367">
        <v>0</v>
      </c>
      <c r="B3367">
        <v>0</v>
      </c>
    </row>
    <row r="3368" spans="1:2" ht="12.5">
      <c r="A3368">
        <v>0</v>
      </c>
      <c r="B3368">
        <v>0</v>
      </c>
    </row>
    <row r="3369" spans="1:2" ht="12.5">
      <c r="A3369">
        <v>0</v>
      </c>
      <c r="B3369">
        <v>0</v>
      </c>
    </row>
    <row r="3370" spans="1:2" ht="12.5">
      <c r="A3370">
        <v>0</v>
      </c>
      <c r="B3370">
        <v>0</v>
      </c>
    </row>
    <row r="3371" spans="1:2" ht="12.5">
      <c r="A3371">
        <v>0</v>
      </c>
      <c r="B3371">
        <v>0</v>
      </c>
    </row>
    <row r="3372" spans="1:2" ht="12.5">
      <c r="A3372">
        <v>0</v>
      </c>
      <c r="B3372">
        <v>0</v>
      </c>
    </row>
    <row r="3373" spans="1:2" ht="12.5">
      <c r="A3373">
        <v>0</v>
      </c>
      <c r="B3373">
        <v>0</v>
      </c>
    </row>
    <row r="3374" spans="1:2" ht="12.5">
      <c r="A3374">
        <v>0</v>
      </c>
      <c r="B3374">
        <v>0</v>
      </c>
    </row>
    <row r="3375" spans="1:2" ht="12.5">
      <c r="A3375">
        <v>0</v>
      </c>
      <c r="B3375">
        <v>0</v>
      </c>
    </row>
    <row r="3376" spans="1:2" ht="12.5">
      <c r="A3376">
        <v>0</v>
      </c>
      <c r="B3376">
        <v>0</v>
      </c>
    </row>
    <row r="3377" spans="1:2" ht="12.5">
      <c r="A3377">
        <v>0</v>
      </c>
      <c r="B3377">
        <v>0</v>
      </c>
    </row>
    <row r="3378" spans="1:2" ht="12.5">
      <c r="A3378">
        <v>0</v>
      </c>
      <c r="B3378">
        <v>0</v>
      </c>
    </row>
    <row r="3379" spans="1:2" ht="12.5">
      <c r="A3379">
        <v>0</v>
      </c>
      <c r="B3379">
        <v>0</v>
      </c>
    </row>
    <row r="3380" spans="1:2" ht="12.5">
      <c r="A3380">
        <v>0</v>
      </c>
      <c r="B3380">
        <v>0</v>
      </c>
    </row>
    <row r="3381" spans="1:2" ht="12.5">
      <c r="A3381">
        <v>0</v>
      </c>
      <c r="B3381">
        <v>0</v>
      </c>
    </row>
    <row r="3382" spans="1:2" ht="12.5">
      <c r="A3382">
        <v>0</v>
      </c>
      <c r="B3382">
        <v>0</v>
      </c>
    </row>
    <row r="3383" spans="1:2" ht="12.5">
      <c r="A3383">
        <v>0</v>
      </c>
      <c r="B3383">
        <v>0</v>
      </c>
    </row>
    <row r="3384" spans="1:2" ht="12.5">
      <c r="A3384">
        <v>0</v>
      </c>
      <c r="B3384">
        <v>0</v>
      </c>
    </row>
    <row r="3385" spans="1:2" ht="12.5">
      <c r="A3385">
        <v>0</v>
      </c>
      <c r="B3385">
        <v>0</v>
      </c>
    </row>
    <row r="3386" spans="1:2" ht="12.5">
      <c r="A3386">
        <v>0</v>
      </c>
      <c r="B3386">
        <v>0</v>
      </c>
    </row>
    <row r="3387" spans="1:2" ht="12.5">
      <c r="A3387">
        <v>0</v>
      </c>
      <c r="B3387">
        <v>0</v>
      </c>
    </row>
    <row r="3388" spans="1:2" ht="12.5">
      <c r="A3388">
        <v>0</v>
      </c>
      <c r="B3388">
        <v>0</v>
      </c>
    </row>
    <row r="3389" spans="1:2" ht="12.5">
      <c r="A3389">
        <v>0</v>
      </c>
      <c r="B3389">
        <v>0</v>
      </c>
    </row>
    <row r="3390" spans="1:2" ht="12.5">
      <c r="A3390">
        <v>0</v>
      </c>
      <c r="B3390">
        <v>0</v>
      </c>
    </row>
    <row r="3391" spans="1:2" ht="12.5">
      <c r="A3391">
        <v>0</v>
      </c>
      <c r="B3391">
        <v>0</v>
      </c>
    </row>
    <row r="3392" spans="1:2" ht="12.5">
      <c r="A3392">
        <v>0</v>
      </c>
      <c r="B3392">
        <v>0</v>
      </c>
    </row>
    <row r="3393" spans="1:2" ht="12.5">
      <c r="A3393">
        <v>0</v>
      </c>
      <c r="B3393">
        <v>0</v>
      </c>
    </row>
    <row r="3394" spans="1:2" ht="12.5">
      <c r="A3394">
        <v>0</v>
      </c>
      <c r="B3394">
        <v>0</v>
      </c>
    </row>
    <row r="3395" spans="1:2" ht="12.5">
      <c r="A3395">
        <v>0</v>
      </c>
      <c r="B3395">
        <v>0</v>
      </c>
    </row>
    <row r="3396" spans="1:2" ht="12.5">
      <c r="A3396">
        <v>0</v>
      </c>
      <c r="B3396">
        <v>0</v>
      </c>
    </row>
    <row r="3397" spans="1:2" ht="12.5">
      <c r="A3397">
        <v>0</v>
      </c>
      <c r="B3397">
        <v>0</v>
      </c>
    </row>
    <row r="3398" spans="1:2" ht="12.5">
      <c r="A3398">
        <v>0</v>
      </c>
      <c r="B3398">
        <v>0</v>
      </c>
    </row>
    <row r="3399" spans="1:2" ht="12.5">
      <c r="A3399">
        <v>0</v>
      </c>
      <c r="B3399">
        <v>0</v>
      </c>
    </row>
    <row r="3400" spans="1:2" ht="12.5">
      <c r="A3400">
        <v>0</v>
      </c>
      <c r="B3400">
        <v>0</v>
      </c>
    </row>
    <row r="3401" spans="1:2" ht="12.5">
      <c r="A3401">
        <v>0</v>
      </c>
      <c r="B3401">
        <v>0</v>
      </c>
    </row>
    <row r="3402" spans="1:2" ht="12.5">
      <c r="A3402">
        <v>0</v>
      </c>
      <c r="B3402">
        <v>0</v>
      </c>
    </row>
    <row r="3403" spans="1:2" ht="12.5">
      <c r="A3403">
        <v>0</v>
      </c>
      <c r="B3403">
        <v>0</v>
      </c>
    </row>
    <row r="3404" spans="1:2" ht="12.5">
      <c r="A3404">
        <v>0</v>
      </c>
      <c r="B3404">
        <v>0</v>
      </c>
    </row>
    <row r="3405" spans="1:2" ht="12.5">
      <c r="A3405">
        <v>0</v>
      </c>
      <c r="B3405">
        <v>0</v>
      </c>
    </row>
    <row r="3406" spans="1:2" ht="12.5">
      <c r="A3406">
        <v>0</v>
      </c>
      <c r="B3406">
        <v>0</v>
      </c>
    </row>
    <row r="3407" spans="1:2" ht="12.5">
      <c r="A3407">
        <v>0</v>
      </c>
      <c r="B3407">
        <v>0</v>
      </c>
    </row>
    <row r="3408" spans="1:2" ht="12.5">
      <c r="A3408">
        <v>0</v>
      </c>
      <c r="B3408">
        <v>0</v>
      </c>
    </row>
    <row r="3409" spans="1:2" ht="12.5">
      <c r="A3409">
        <v>0</v>
      </c>
      <c r="B3409">
        <v>0</v>
      </c>
    </row>
    <row r="3410" spans="1:2" ht="12.5">
      <c r="A3410">
        <v>0</v>
      </c>
      <c r="B3410">
        <v>0</v>
      </c>
    </row>
    <row r="3411" spans="1:2" ht="12.5">
      <c r="A3411">
        <v>0</v>
      </c>
      <c r="B3411">
        <v>0</v>
      </c>
    </row>
    <row r="3412" spans="1:2" ht="12.5">
      <c r="A3412">
        <v>0</v>
      </c>
      <c r="B3412">
        <v>0</v>
      </c>
    </row>
    <row r="3413" spans="1:2" ht="12.5">
      <c r="A3413">
        <v>0</v>
      </c>
      <c r="B3413">
        <v>0</v>
      </c>
    </row>
    <row r="3414" spans="1:2" ht="12.5">
      <c r="A3414">
        <v>0</v>
      </c>
      <c r="B3414">
        <v>0</v>
      </c>
    </row>
    <row r="3415" spans="1:2" ht="12.5">
      <c r="A3415">
        <v>0</v>
      </c>
      <c r="B3415">
        <v>0</v>
      </c>
    </row>
    <row r="3416" spans="1:2" ht="12.5">
      <c r="A3416">
        <v>0</v>
      </c>
      <c r="B3416">
        <v>0</v>
      </c>
    </row>
    <row r="3417" spans="1:2" ht="12.5">
      <c r="A3417">
        <v>0</v>
      </c>
      <c r="B3417">
        <v>0</v>
      </c>
    </row>
    <row r="3418" spans="1:2" ht="12.5">
      <c r="A3418">
        <v>0</v>
      </c>
      <c r="B3418">
        <v>0</v>
      </c>
    </row>
    <row r="3419" spans="1:2" ht="12.5">
      <c r="A3419">
        <v>0</v>
      </c>
      <c r="B3419">
        <v>0</v>
      </c>
    </row>
    <row r="3420" spans="1:2" ht="12.5">
      <c r="A3420">
        <v>0</v>
      </c>
      <c r="B3420">
        <v>0</v>
      </c>
    </row>
    <row r="3421" spans="1:2" ht="12.5">
      <c r="A3421">
        <v>0</v>
      </c>
      <c r="B3421">
        <v>0</v>
      </c>
    </row>
    <row r="3422" spans="1:2" ht="12.5">
      <c r="A3422">
        <v>0</v>
      </c>
      <c r="B3422">
        <v>0</v>
      </c>
    </row>
    <row r="3423" spans="1:2" ht="12.5">
      <c r="A3423">
        <v>0</v>
      </c>
      <c r="B3423">
        <v>0</v>
      </c>
    </row>
    <row r="3424" spans="1:2" ht="12.5">
      <c r="A3424">
        <v>0</v>
      </c>
      <c r="B3424">
        <v>0</v>
      </c>
    </row>
    <row r="3425" spans="1:2" ht="12.5">
      <c r="A3425">
        <v>0</v>
      </c>
      <c r="B3425">
        <v>0</v>
      </c>
    </row>
    <row r="3426" spans="1:2" ht="12.5">
      <c r="A3426">
        <v>0</v>
      </c>
      <c r="B3426">
        <v>0</v>
      </c>
    </row>
    <row r="3427" spans="1:2" ht="12.5">
      <c r="A3427">
        <v>0</v>
      </c>
      <c r="B3427">
        <v>0</v>
      </c>
    </row>
    <row r="3428" spans="1:2" ht="12.5">
      <c r="A3428">
        <v>0</v>
      </c>
      <c r="B3428">
        <v>0</v>
      </c>
    </row>
    <row r="3429" spans="1:2" ht="12.5">
      <c r="A3429">
        <v>0</v>
      </c>
      <c r="B3429">
        <v>0</v>
      </c>
    </row>
    <row r="3430" spans="1:2" ht="12.5">
      <c r="A3430">
        <v>0</v>
      </c>
      <c r="B3430">
        <v>0</v>
      </c>
    </row>
    <row r="3431" spans="1:2" ht="12.5">
      <c r="A3431">
        <v>0</v>
      </c>
      <c r="B3431">
        <v>0</v>
      </c>
    </row>
    <row r="3432" spans="1:2" ht="12.5">
      <c r="A3432">
        <v>0</v>
      </c>
      <c r="B3432">
        <v>0</v>
      </c>
    </row>
    <row r="3433" spans="1:2" ht="12.5">
      <c r="A3433">
        <v>0</v>
      </c>
      <c r="B3433">
        <v>0</v>
      </c>
    </row>
    <row r="3434" spans="1:2" ht="12.5">
      <c r="A3434">
        <v>0</v>
      </c>
      <c r="B3434">
        <v>0</v>
      </c>
    </row>
    <row r="3435" spans="1:2" ht="12.5">
      <c r="A3435">
        <v>0</v>
      </c>
      <c r="B3435">
        <v>0</v>
      </c>
    </row>
    <row r="3436" spans="1:2" ht="12.5">
      <c r="A3436">
        <v>0</v>
      </c>
      <c r="B3436">
        <v>0</v>
      </c>
    </row>
    <row r="3437" spans="1:2" ht="12.5">
      <c r="A3437">
        <v>0</v>
      </c>
      <c r="B3437">
        <v>0</v>
      </c>
    </row>
    <row r="3438" spans="1:2" ht="12.5">
      <c r="A3438">
        <v>0</v>
      </c>
      <c r="B3438">
        <v>0</v>
      </c>
    </row>
    <row r="3439" spans="1:2" ht="12.5">
      <c r="A3439">
        <v>0</v>
      </c>
      <c r="B3439">
        <v>0</v>
      </c>
    </row>
    <row r="3440" spans="1:2" ht="12.5">
      <c r="A3440">
        <v>0</v>
      </c>
      <c r="B3440">
        <v>0</v>
      </c>
    </row>
    <row r="3441" spans="1:2" ht="12.5">
      <c r="A3441">
        <v>0</v>
      </c>
      <c r="B3441">
        <v>0</v>
      </c>
    </row>
    <row r="3442" spans="1:2" ht="12.5">
      <c r="A3442">
        <v>0</v>
      </c>
      <c r="B3442">
        <v>0</v>
      </c>
    </row>
    <row r="3443" spans="1:2" ht="12.5">
      <c r="A3443">
        <v>0</v>
      </c>
      <c r="B3443">
        <v>0</v>
      </c>
    </row>
    <row r="3444" spans="1:2" ht="12.5">
      <c r="A3444">
        <v>0</v>
      </c>
      <c r="B3444">
        <v>0</v>
      </c>
    </row>
    <row r="3445" spans="1:2" ht="12.5">
      <c r="A3445">
        <v>0</v>
      </c>
      <c r="B3445">
        <v>0</v>
      </c>
    </row>
    <row r="3446" spans="1:2" ht="12.5">
      <c r="A3446">
        <v>0</v>
      </c>
      <c r="B3446">
        <v>0</v>
      </c>
    </row>
    <row r="3447" spans="1:2" ht="12.5">
      <c r="A3447">
        <v>0</v>
      </c>
      <c r="B3447">
        <v>0</v>
      </c>
    </row>
    <row r="3448" spans="1:2" ht="12.5">
      <c r="A3448">
        <v>0</v>
      </c>
      <c r="B3448">
        <v>0</v>
      </c>
    </row>
    <row r="3449" spans="1:2" ht="12.5">
      <c r="A3449">
        <v>0</v>
      </c>
      <c r="B3449">
        <v>0</v>
      </c>
    </row>
    <row r="3450" spans="1:2" ht="12.5">
      <c r="A3450">
        <v>0</v>
      </c>
      <c r="B3450">
        <v>0</v>
      </c>
    </row>
    <row r="3451" spans="1:2" ht="12.5">
      <c r="A3451">
        <v>0</v>
      </c>
      <c r="B3451">
        <v>0</v>
      </c>
    </row>
    <row r="3452" spans="1:2" ht="12.5">
      <c r="A3452">
        <v>0</v>
      </c>
      <c r="B3452">
        <v>0</v>
      </c>
    </row>
    <row r="3453" spans="1:2" ht="12.5">
      <c r="A3453">
        <v>0</v>
      </c>
      <c r="B3453">
        <v>0</v>
      </c>
    </row>
    <row r="3454" spans="1:2" ht="12.5">
      <c r="A3454">
        <v>0</v>
      </c>
      <c r="B3454">
        <v>0</v>
      </c>
    </row>
    <row r="3455" spans="1:2" ht="12.5">
      <c r="A3455">
        <v>0</v>
      </c>
      <c r="B3455">
        <v>0</v>
      </c>
    </row>
    <row r="3456" spans="1:2" ht="12.5">
      <c r="A3456">
        <v>0</v>
      </c>
      <c r="B3456">
        <v>0</v>
      </c>
    </row>
    <row r="3457" spans="1:2" ht="12.5">
      <c r="A3457">
        <v>0</v>
      </c>
      <c r="B3457">
        <v>0</v>
      </c>
    </row>
    <row r="3458" spans="1:2" ht="12.5">
      <c r="A3458">
        <v>0</v>
      </c>
      <c r="B3458">
        <v>0</v>
      </c>
    </row>
    <row r="3459" spans="1:2" ht="12.5">
      <c r="A3459">
        <v>0</v>
      </c>
      <c r="B3459">
        <v>0</v>
      </c>
    </row>
    <row r="3460" spans="1:2" ht="12.5">
      <c r="A3460">
        <v>0</v>
      </c>
      <c r="B3460">
        <v>0</v>
      </c>
    </row>
    <row r="3461" spans="1:2" ht="12.5">
      <c r="A3461">
        <v>0</v>
      </c>
      <c r="B3461">
        <v>0</v>
      </c>
    </row>
    <row r="3462" spans="1:2" ht="12.5">
      <c r="A3462">
        <v>0</v>
      </c>
      <c r="B3462">
        <v>0</v>
      </c>
    </row>
    <row r="3463" spans="1:2" ht="12.5">
      <c r="A3463">
        <v>0</v>
      </c>
      <c r="B3463">
        <v>0</v>
      </c>
    </row>
    <row r="3464" spans="1:2" ht="12.5">
      <c r="A3464">
        <v>0</v>
      </c>
      <c r="B3464">
        <v>0</v>
      </c>
    </row>
    <row r="3465" spans="1:2" ht="12.5">
      <c r="A3465">
        <v>0</v>
      </c>
      <c r="B3465">
        <v>0</v>
      </c>
    </row>
    <row r="3466" spans="1:2" ht="12.5">
      <c r="A3466">
        <v>0</v>
      </c>
      <c r="B3466">
        <v>0</v>
      </c>
    </row>
    <row r="3467" spans="1:2" ht="12.5">
      <c r="A3467">
        <v>0</v>
      </c>
      <c r="B3467">
        <v>0</v>
      </c>
    </row>
    <row r="3468" spans="1:2" ht="12.5">
      <c r="A3468">
        <v>0</v>
      </c>
      <c r="B3468">
        <v>0</v>
      </c>
    </row>
    <row r="3469" spans="1:2" ht="12.5">
      <c r="A3469">
        <v>0</v>
      </c>
      <c r="B3469">
        <v>0</v>
      </c>
    </row>
    <row r="3470" spans="1:2" ht="12.5">
      <c r="A3470">
        <v>0</v>
      </c>
      <c r="B3470">
        <v>0</v>
      </c>
    </row>
    <row r="3471" spans="1:2" ht="12.5">
      <c r="A3471">
        <v>0</v>
      </c>
      <c r="B3471">
        <v>0</v>
      </c>
    </row>
    <row r="3472" spans="1:2" ht="12.5">
      <c r="A3472">
        <v>0</v>
      </c>
      <c r="B3472">
        <v>0</v>
      </c>
    </row>
    <row r="3473" spans="1:2" ht="12.5">
      <c r="A3473">
        <v>0</v>
      </c>
      <c r="B3473">
        <v>0</v>
      </c>
    </row>
    <row r="3474" spans="1:2" ht="12.5">
      <c r="A3474">
        <v>0</v>
      </c>
      <c r="B3474">
        <v>0</v>
      </c>
    </row>
    <row r="3475" spans="1:2" ht="12.5">
      <c r="A3475">
        <v>0</v>
      </c>
      <c r="B3475">
        <v>0</v>
      </c>
    </row>
    <row r="3476" spans="1:2" ht="12.5">
      <c r="A3476">
        <v>0</v>
      </c>
      <c r="B3476">
        <v>0</v>
      </c>
    </row>
    <row r="3477" spans="1:2" ht="12.5">
      <c r="A3477">
        <v>0</v>
      </c>
      <c r="B3477">
        <v>0</v>
      </c>
    </row>
    <row r="3478" spans="1:2" ht="12.5">
      <c r="A3478">
        <v>0</v>
      </c>
      <c r="B3478">
        <v>0</v>
      </c>
    </row>
    <row r="3479" spans="1:2" ht="12.5">
      <c r="A3479">
        <v>0</v>
      </c>
      <c r="B3479">
        <v>0</v>
      </c>
    </row>
    <row r="3480" spans="1:2" ht="12.5">
      <c r="A3480">
        <v>0</v>
      </c>
      <c r="B3480">
        <v>0</v>
      </c>
    </row>
    <row r="3481" spans="1:2" ht="12.5">
      <c r="A3481">
        <v>0</v>
      </c>
      <c r="B3481">
        <v>0</v>
      </c>
    </row>
    <row r="3482" spans="1:2" ht="12.5">
      <c r="A3482">
        <v>0</v>
      </c>
      <c r="B3482">
        <v>0</v>
      </c>
    </row>
    <row r="3483" spans="1:2" ht="12.5">
      <c r="A3483">
        <v>0</v>
      </c>
      <c r="B3483">
        <v>0</v>
      </c>
    </row>
    <row r="3484" spans="1:2" ht="12.5">
      <c r="A3484">
        <v>0</v>
      </c>
      <c r="B3484">
        <v>0</v>
      </c>
    </row>
    <row r="3485" spans="1:2" ht="12.5">
      <c r="A3485">
        <v>0</v>
      </c>
      <c r="B3485">
        <v>0</v>
      </c>
    </row>
    <row r="3486" spans="1:2" ht="12.5">
      <c r="A3486">
        <v>0</v>
      </c>
      <c r="B3486">
        <v>0</v>
      </c>
    </row>
    <row r="3487" spans="1:2" ht="12.5">
      <c r="A3487">
        <v>0</v>
      </c>
      <c r="B3487">
        <v>0</v>
      </c>
    </row>
    <row r="3488" spans="1:2" ht="12.5">
      <c r="A3488">
        <v>0</v>
      </c>
      <c r="B3488">
        <v>0</v>
      </c>
    </row>
    <row r="3489" spans="1:2" ht="12.5">
      <c r="A3489">
        <v>0</v>
      </c>
      <c r="B3489">
        <v>0</v>
      </c>
    </row>
    <row r="3490" spans="1:2" ht="12.5">
      <c r="A3490">
        <v>0</v>
      </c>
      <c r="B3490">
        <v>0</v>
      </c>
    </row>
    <row r="3491" spans="1:2" ht="12.5">
      <c r="A3491">
        <v>0</v>
      </c>
      <c r="B3491">
        <v>0</v>
      </c>
    </row>
    <row r="3492" spans="1:2" ht="12.5">
      <c r="A3492">
        <v>0</v>
      </c>
      <c r="B3492">
        <v>0</v>
      </c>
    </row>
    <row r="3493" spans="1:2" ht="12.5">
      <c r="A3493">
        <v>0</v>
      </c>
      <c r="B3493">
        <v>0</v>
      </c>
    </row>
    <row r="3494" spans="1:2" ht="12.5">
      <c r="A3494">
        <v>0</v>
      </c>
      <c r="B3494">
        <v>0</v>
      </c>
    </row>
    <row r="3495" spans="1:2" ht="12.5">
      <c r="A3495">
        <v>0</v>
      </c>
      <c r="B3495">
        <v>0</v>
      </c>
    </row>
    <row r="3496" spans="1:2" ht="12.5">
      <c r="A3496">
        <v>0</v>
      </c>
      <c r="B3496">
        <v>0</v>
      </c>
    </row>
    <row r="3497" spans="1:2" ht="12.5">
      <c r="A3497">
        <v>0</v>
      </c>
      <c r="B3497">
        <v>0</v>
      </c>
    </row>
    <row r="3498" spans="1:2" ht="12.5">
      <c r="A3498">
        <v>0</v>
      </c>
      <c r="B3498">
        <v>0</v>
      </c>
    </row>
    <row r="3499" spans="1:2" ht="12.5">
      <c r="A3499">
        <v>0</v>
      </c>
      <c r="B3499">
        <v>0</v>
      </c>
    </row>
    <row r="3500" spans="1:2" ht="12.5">
      <c r="A3500">
        <v>0</v>
      </c>
      <c r="B3500">
        <v>0</v>
      </c>
    </row>
    <row r="3501" spans="1:2" ht="12.5">
      <c r="A3501">
        <v>0</v>
      </c>
      <c r="B3501">
        <v>0</v>
      </c>
    </row>
    <row r="3502" spans="1:2" ht="12.5">
      <c r="A3502">
        <v>0</v>
      </c>
      <c r="B3502">
        <v>0</v>
      </c>
    </row>
    <row r="3503" spans="1:2" ht="12.5">
      <c r="A3503">
        <v>0</v>
      </c>
      <c r="B3503">
        <v>0</v>
      </c>
    </row>
    <row r="3504" spans="1:2" ht="12.5">
      <c r="A3504">
        <v>0</v>
      </c>
      <c r="B3504">
        <v>0</v>
      </c>
    </row>
    <row r="3505" spans="1:2" ht="12.5">
      <c r="A3505">
        <v>0</v>
      </c>
      <c r="B3505">
        <v>0</v>
      </c>
    </row>
    <row r="3506" spans="1:2" ht="12.5">
      <c r="A3506">
        <v>0</v>
      </c>
      <c r="B3506">
        <v>0</v>
      </c>
    </row>
    <row r="3507" spans="1:2" ht="12.5">
      <c r="A3507">
        <v>0</v>
      </c>
      <c r="B3507">
        <v>0</v>
      </c>
    </row>
    <row r="3508" spans="1:2" ht="12.5">
      <c r="A3508">
        <v>0</v>
      </c>
      <c r="B3508">
        <v>0</v>
      </c>
    </row>
    <row r="3509" spans="1:2" ht="12.5">
      <c r="A3509">
        <v>0</v>
      </c>
      <c r="B3509">
        <v>0</v>
      </c>
    </row>
    <row r="3510" spans="1:2" ht="12.5">
      <c r="A3510">
        <v>0</v>
      </c>
      <c r="B3510">
        <v>0</v>
      </c>
    </row>
    <row r="3511" spans="1:2" ht="12.5">
      <c r="A3511">
        <v>0</v>
      </c>
      <c r="B3511">
        <v>0</v>
      </c>
    </row>
    <row r="3512" spans="1:2" ht="12.5">
      <c r="A3512">
        <v>0</v>
      </c>
      <c r="B3512">
        <v>0</v>
      </c>
    </row>
    <row r="3513" spans="1:2" ht="12.5">
      <c r="A3513">
        <v>0</v>
      </c>
      <c r="B3513">
        <v>0</v>
      </c>
    </row>
    <row r="3514" spans="1:2" ht="12.5">
      <c r="A3514">
        <v>0</v>
      </c>
      <c r="B3514">
        <v>0</v>
      </c>
    </row>
    <row r="3515" spans="1:2" ht="12.5">
      <c r="A3515">
        <v>0</v>
      </c>
      <c r="B3515">
        <v>0</v>
      </c>
    </row>
    <row r="3516" spans="1:2" ht="12.5">
      <c r="A3516">
        <v>0</v>
      </c>
      <c r="B3516">
        <v>0</v>
      </c>
    </row>
    <row r="3517" spans="1:2" ht="12.5">
      <c r="A3517">
        <v>0</v>
      </c>
      <c r="B3517">
        <v>0</v>
      </c>
    </row>
    <row r="3518" spans="1:2" ht="12.5">
      <c r="A3518">
        <v>0</v>
      </c>
      <c r="B3518">
        <v>0</v>
      </c>
    </row>
    <row r="3519" spans="1:2" ht="12.5">
      <c r="A3519">
        <v>0</v>
      </c>
      <c r="B3519">
        <v>0</v>
      </c>
    </row>
    <row r="3520" spans="1:2" ht="12.5">
      <c r="A3520">
        <v>0</v>
      </c>
      <c r="B3520">
        <v>0</v>
      </c>
    </row>
    <row r="3521" spans="1:2" ht="12.5">
      <c r="A3521">
        <v>0</v>
      </c>
      <c r="B3521">
        <v>0</v>
      </c>
    </row>
    <row r="3522" spans="1:2" ht="12.5">
      <c r="A3522">
        <v>0</v>
      </c>
      <c r="B3522">
        <v>0</v>
      </c>
    </row>
    <row r="3523" spans="1:2" ht="12.5">
      <c r="A3523">
        <v>0</v>
      </c>
      <c r="B3523">
        <v>0</v>
      </c>
    </row>
    <row r="3524" spans="1:2" ht="12.5">
      <c r="A3524">
        <v>0</v>
      </c>
      <c r="B3524">
        <v>0</v>
      </c>
    </row>
    <row r="3525" spans="1:2" ht="12.5">
      <c r="A3525">
        <v>0</v>
      </c>
      <c r="B3525">
        <v>0</v>
      </c>
    </row>
    <row r="3526" spans="1:2" ht="12.5">
      <c r="A3526">
        <v>0</v>
      </c>
      <c r="B3526">
        <v>0</v>
      </c>
    </row>
    <row r="3527" spans="1:2" ht="12.5">
      <c r="A3527">
        <v>0</v>
      </c>
      <c r="B3527">
        <v>0</v>
      </c>
    </row>
    <row r="3528" spans="1:2" ht="12.5">
      <c r="A3528">
        <v>0</v>
      </c>
      <c r="B3528">
        <v>0</v>
      </c>
    </row>
    <row r="3529" spans="1:2" ht="12.5">
      <c r="A3529">
        <v>0</v>
      </c>
      <c r="B3529">
        <v>0</v>
      </c>
    </row>
    <row r="3530" spans="1:2" ht="12.5">
      <c r="A3530">
        <v>0</v>
      </c>
      <c r="B3530">
        <v>0</v>
      </c>
    </row>
    <row r="3531" spans="1:2" ht="12.5">
      <c r="A3531">
        <v>0</v>
      </c>
      <c r="B3531">
        <v>0</v>
      </c>
    </row>
    <row r="3532" spans="1:2" ht="12.5">
      <c r="A3532">
        <v>0</v>
      </c>
      <c r="B3532">
        <v>0</v>
      </c>
    </row>
    <row r="3533" spans="1:2" ht="12.5">
      <c r="A3533">
        <v>0</v>
      </c>
      <c r="B3533">
        <v>0</v>
      </c>
    </row>
    <row r="3534" spans="1:2" ht="12.5">
      <c r="A3534">
        <v>0</v>
      </c>
      <c r="B3534">
        <v>0</v>
      </c>
    </row>
    <row r="3535" spans="1:2" ht="12.5">
      <c r="A3535">
        <v>0</v>
      </c>
      <c r="B3535">
        <v>0</v>
      </c>
    </row>
    <row r="3536" spans="1:2" ht="12.5">
      <c r="A3536">
        <v>0</v>
      </c>
      <c r="B3536">
        <v>0</v>
      </c>
    </row>
    <row r="3537" spans="1:2" ht="12.5">
      <c r="A3537">
        <v>0</v>
      </c>
      <c r="B3537">
        <v>0</v>
      </c>
    </row>
    <row r="3538" spans="1:2" ht="12.5">
      <c r="A3538">
        <v>0</v>
      </c>
      <c r="B3538">
        <v>0</v>
      </c>
    </row>
    <row r="3539" spans="1:2" ht="12.5">
      <c r="A3539">
        <v>0</v>
      </c>
      <c r="B3539">
        <v>0</v>
      </c>
    </row>
    <row r="3540" spans="1:2" ht="12.5">
      <c r="A3540">
        <v>0</v>
      </c>
      <c r="B3540">
        <v>0</v>
      </c>
    </row>
    <row r="3541" spans="1:2" ht="12.5">
      <c r="A3541">
        <v>0</v>
      </c>
      <c r="B3541">
        <v>0</v>
      </c>
    </row>
    <row r="3542" spans="1:2" ht="12.5">
      <c r="A3542">
        <v>0</v>
      </c>
      <c r="B3542">
        <v>0</v>
      </c>
    </row>
    <row r="3543" spans="1:2" ht="12.5">
      <c r="A3543">
        <v>0</v>
      </c>
      <c r="B3543">
        <v>0</v>
      </c>
    </row>
    <row r="3544" spans="1:2" ht="12.5">
      <c r="A3544">
        <v>0</v>
      </c>
      <c r="B3544">
        <v>0</v>
      </c>
    </row>
    <row r="3545" spans="1:2" ht="12.5">
      <c r="A3545">
        <v>0</v>
      </c>
      <c r="B3545">
        <v>0</v>
      </c>
    </row>
    <row r="3546" spans="1:2" ht="12.5">
      <c r="A3546">
        <v>0</v>
      </c>
      <c r="B3546">
        <v>0</v>
      </c>
    </row>
    <row r="3547" spans="1:2" ht="12.5">
      <c r="A3547">
        <v>0</v>
      </c>
      <c r="B3547">
        <v>0</v>
      </c>
    </row>
    <row r="3548" spans="1:2" ht="12.5">
      <c r="A3548">
        <v>0</v>
      </c>
      <c r="B3548">
        <v>0</v>
      </c>
    </row>
    <row r="3549" spans="1:2" ht="12.5">
      <c r="A3549">
        <v>0</v>
      </c>
      <c r="B3549">
        <v>0</v>
      </c>
    </row>
    <row r="3550" spans="1:2" ht="12.5">
      <c r="A3550">
        <v>0</v>
      </c>
      <c r="B3550">
        <v>0</v>
      </c>
    </row>
    <row r="3551" spans="1:2" ht="12.5">
      <c r="A3551">
        <v>0</v>
      </c>
      <c r="B3551">
        <v>0</v>
      </c>
    </row>
    <row r="3552" spans="1:2" ht="12.5">
      <c r="A3552">
        <v>0</v>
      </c>
      <c r="B3552">
        <v>0</v>
      </c>
    </row>
    <row r="3553" spans="1:2" ht="12.5">
      <c r="A3553">
        <v>0</v>
      </c>
      <c r="B3553">
        <v>0</v>
      </c>
    </row>
    <row r="3554" spans="1:2" ht="12.5">
      <c r="A3554">
        <v>0</v>
      </c>
      <c r="B3554">
        <v>0</v>
      </c>
    </row>
    <row r="3555" spans="1:2" ht="12.5">
      <c r="A3555">
        <v>0</v>
      </c>
      <c r="B3555">
        <v>0</v>
      </c>
    </row>
    <row r="3556" spans="1:2" ht="12.5">
      <c r="A3556">
        <v>0</v>
      </c>
      <c r="B3556">
        <v>0</v>
      </c>
    </row>
    <row r="3557" spans="1:2" ht="12.5">
      <c r="A3557">
        <v>0</v>
      </c>
      <c r="B3557">
        <v>0</v>
      </c>
    </row>
    <row r="3558" spans="1:2" ht="12.5">
      <c r="A3558">
        <v>0</v>
      </c>
      <c r="B3558">
        <v>0</v>
      </c>
    </row>
    <row r="3559" spans="1:2" ht="12.5">
      <c r="A3559">
        <v>0</v>
      </c>
      <c r="B3559">
        <v>0</v>
      </c>
    </row>
    <row r="3560" spans="1:2" ht="12.5">
      <c r="A3560">
        <v>0</v>
      </c>
      <c r="B3560">
        <v>0</v>
      </c>
    </row>
    <row r="3561" spans="1:2" ht="12.5">
      <c r="A3561">
        <v>0</v>
      </c>
      <c r="B3561">
        <v>0</v>
      </c>
    </row>
    <row r="3562" spans="1:2" ht="12.5">
      <c r="A3562">
        <v>0</v>
      </c>
      <c r="B3562">
        <v>0</v>
      </c>
    </row>
    <row r="3563" spans="1:2" ht="12.5">
      <c r="A3563">
        <v>0</v>
      </c>
      <c r="B3563">
        <v>0</v>
      </c>
    </row>
    <row r="3564" spans="1:2" ht="12.5">
      <c r="A3564">
        <v>0</v>
      </c>
      <c r="B3564">
        <v>0</v>
      </c>
    </row>
    <row r="3565" spans="1:2" ht="12.5">
      <c r="A3565">
        <v>0</v>
      </c>
      <c r="B3565">
        <v>0</v>
      </c>
    </row>
    <row r="3566" spans="1:2" ht="12.5">
      <c r="A3566">
        <v>0</v>
      </c>
      <c r="B3566">
        <v>0</v>
      </c>
    </row>
    <row r="3567" spans="1:2" ht="12.5">
      <c r="A3567">
        <v>0</v>
      </c>
      <c r="B3567">
        <v>0</v>
      </c>
    </row>
    <row r="3568" spans="1:2" ht="12.5">
      <c r="A3568">
        <v>0</v>
      </c>
      <c r="B3568">
        <v>0</v>
      </c>
    </row>
    <row r="3569" spans="1:2" ht="12.5">
      <c r="A3569">
        <v>0</v>
      </c>
      <c r="B3569">
        <v>0</v>
      </c>
    </row>
    <row r="3570" spans="1:2" ht="12.5">
      <c r="A3570">
        <v>0</v>
      </c>
      <c r="B3570">
        <v>0</v>
      </c>
    </row>
    <row r="3571" spans="1:2" ht="12.5">
      <c r="A3571">
        <v>0</v>
      </c>
      <c r="B3571">
        <v>0</v>
      </c>
    </row>
    <row r="3572" spans="1:2" ht="12.5">
      <c r="A3572">
        <v>0</v>
      </c>
      <c r="B3572">
        <v>0</v>
      </c>
    </row>
    <row r="3573" spans="1:2" ht="12.5">
      <c r="A3573">
        <v>0</v>
      </c>
      <c r="B3573">
        <v>0</v>
      </c>
    </row>
    <row r="3574" spans="1:2" ht="12.5">
      <c r="A3574">
        <v>0</v>
      </c>
      <c r="B3574">
        <v>0</v>
      </c>
    </row>
    <row r="3575" spans="1:2" ht="12.5">
      <c r="A3575">
        <v>0</v>
      </c>
      <c r="B3575">
        <v>0</v>
      </c>
    </row>
    <row r="3576" spans="1:2" ht="12.5">
      <c r="A3576">
        <v>0</v>
      </c>
      <c r="B3576">
        <v>0</v>
      </c>
    </row>
    <row r="3577" spans="1:2" ht="12.5">
      <c r="A3577">
        <v>0</v>
      </c>
      <c r="B3577">
        <v>0</v>
      </c>
    </row>
    <row r="3578" spans="1:2" ht="12.5">
      <c r="A3578">
        <v>0</v>
      </c>
      <c r="B3578">
        <v>0</v>
      </c>
    </row>
    <row r="3579" spans="1:2" ht="12.5">
      <c r="A3579">
        <v>0</v>
      </c>
      <c r="B3579">
        <v>0</v>
      </c>
    </row>
    <row r="3580" spans="1:2" ht="12.5">
      <c r="A3580">
        <v>0</v>
      </c>
      <c r="B3580">
        <v>0</v>
      </c>
    </row>
    <row r="3581" spans="1:2" ht="12.5">
      <c r="A3581">
        <v>0</v>
      </c>
      <c r="B3581">
        <v>0</v>
      </c>
    </row>
    <row r="3582" spans="1:2" ht="12.5">
      <c r="A3582">
        <v>0</v>
      </c>
      <c r="B3582">
        <v>0</v>
      </c>
    </row>
    <row r="3583" spans="1:2" ht="12.5">
      <c r="A3583">
        <v>0</v>
      </c>
      <c r="B3583">
        <v>0</v>
      </c>
    </row>
    <row r="3584" spans="1:2" ht="12.5">
      <c r="A3584">
        <v>0</v>
      </c>
      <c r="B3584">
        <v>0</v>
      </c>
    </row>
    <row r="3585" spans="1:2" ht="12.5">
      <c r="A3585">
        <v>0</v>
      </c>
      <c r="B3585">
        <v>0</v>
      </c>
    </row>
    <row r="3586" spans="1:2" ht="12.5">
      <c r="A3586">
        <v>0</v>
      </c>
      <c r="B3586">
        <v>0</v>
      </c>
    </row>
    <row r="3587" spans="1:2" ht="12.5">
      <c r="A3587">
        <v>0</v>
      </c>
      <c r="B3587">
        <v>0</v>
      </c>
    </row>
    <row r="3588" spans="1:2" ht="12.5">
      <c r="A3588">
        <v>0</v>
      </c>
      <c r="B3588">
        <v>0</v>
      </c>
    </row>
    <row r="3589" spans="1:2" ht="12.5">
      <c r="A3589">
        <v>0</v>
      </c>
      <c r="B3589">
        <v>0</v>
      </c>
    </row>
    <row r="3590" spans="1:2" ht="12.5">
      <c r="A3590">
        <v>0</v>
      </c>
      <c r="B3590">
        <v>0</v>
      </c>
    </row>
    <row r="3591" spans="1:2" ht="12.5">
      <c r="A3591">
        <v>0</v>
      </c>
      <c r="B3591">
        <v>0</v>
      </c>
    </row>
    <row r="3592" spans="1:2" ht="12.5">
      <c r="A3592">
        <v>0</v>
      </c>
      <c r="B3592">
        <v>0</v>
      </c>
    </row>
    <row r="3593" spans="1:2" ht="12.5">
      <c r="A3593">
        <v>0</v>
      </c>
      <c r="B3593">
        <v>0</v>
      </c>
    </row>
    <row r="3594" spans="1:2" ht="12.5">
      <c r="A3594">
        <v>0</v>
      </c>
      <c r="B3594">
        <v>0</v>
      </c>
    </row>
    <row r="3595" spans="1:2" ht="12.5">
      <c r="A3595">
        <v>0</v>
      </c>
      <c r="B3595">
        <v>0</v>
      </c>
    </row>
    <row r="3596" spans="1:2" ht="12.5">
      <c r="A3596">
        <v>0</v>
      </c>
      <c r="B3596">
        <v>0</v>
      </c>
    </row>
    <row r="3597" spans="1:2" ht="12.5">
      <c r="A3597">
        <v>0</v>
      </c>
      <c r="B3597">
        <v>0</v>
      </c>
    </row>
    <row r="3598" spans="1:2" ht="12.5">
      <c r="A3598">
        <v>0</v>
      </c>
      <c r="B3598">
        <v>0</v>
      </c>
    </row>
    <row r="3599" spans="1:2" ht="12.5">
      <c r="A3599">
        <v>0</v>
      </c>
      <c r="B3599">
        <v>0</v>
      </c>
    </row>
    <row r="3600" spans="1:2" ht="12.5">
      <c r="A3600">
        <v>0</v>
      </c>
      <c r="B3600">
        <v>0</v>
      </c>
    </row>
    <row r="3601" spans="1:2" ht="12.5">
      <c r="A3601">
        <v>0</v>
      </c>
      <c r="B3601">
        <v>0</v>
      </c>
    </row>
    <row r="3602" spans="1:2" ht="12.5">
      <c r="A3602">
        <v>0</v>
      </c>
      <c r="B3602">
        <v>0</v>
      </c>
    </row>
    <row r="3603" spans="1:2" ht="12.5">
      <c r="A3603">
        <v>0</v>
      </c>
      <c r="B3603">
        <v>0</v>
      </c>
    </row>
    <row r="3604" spans="1:2" ht="12.5">
      <c r="A3604">
        <v>0</v>
      </c>
      <c r="B3604">
        <v>0</v>
      </c>
    </row>
    <row r="3605" spans="1:2" ht="12.5">
      <c r="A3605">
        <v>0</v>
      </c>
      <c r="B3605">
        <v>0</v>
      </c>
    </row>
    <row r="3606" spans="1:2" ht="12.5">
      <c r="A3606">
        <v>0</v>
      </c>
      <c r="B3606">
        <v>0</v>
      </c>
    </row>
    <row r="3607" spans="1:2" ht="12.5">
      <c r="A3607">
        <v>0</v>
      </c>
      <c r="B3607">
        <v>0</v>
      </c>
    </row>
    <row r="3608" spans="1:2" ht="12.5">
      <c r="A3608">
        <v>0</v>
      </c>
      <c r="B3608">
        <v>0</v>
      </c>
    </row>
    <row r="3609" spans="1:2" ht="12.5">
      <c r="A3609">
        <v>0</v>
      </c>
      <c r="B3609">
        <v>0</v>
      </c>
    </row>
    <row r="3610" spans="1:2" ht="12.5">
      <c r="A3610">
        <v>0</v>
      </c>
      <c r="B3610">
        <v>0</v>
      </c>
    </row>
    <row r="3611" spans="1:2" ht="12.5">
      <c r="A3611">
        <v>0</v>
      </c>
      <c r="B3611">
        <v>0</v>
      </c>
    </row>
    <row r="3612" spans="1:2" ht="12.5">
      <c r="A3612">
        <v>0</v>
      </c>
      <c r="B3612">
        <v>0</v>
      </c>
    </row>
    <row r="3613" spans="1:2" ht="12.5">
      <c r="A3613">
        <v>0</v>
      </c>
      <c r="B3613">
        <v>0</v>
      </c>
    </row>
    <row r="3614" spans="1:2" ht="12.5">
      <c r="A3614">
        <v>0</v>
      </c>
      <c r="B3614">
        <v>0</v>
      </c>
    </row>
    <row r="3615" spans="1:2" ht="12.5">
      <c r="A3615">
        <v>0</v>
      </c>
      <c r="B3615">
        <v>0</v>
      </c>
    </row>
    <row r="3616" spans="1:2" ht="12.5">
      <c r="A3616">
        <v>0</v>
      </c>
      <c r="B3616">
        <v>0</v>
      </c>
    </row>
    <row r="3617" spans="1:2" ht="12.5">
      <c r="A3617">
        <v>0</v>
      </c>
      <c r="B3617">
        <v>0</v>
      </c>
    </row>
    <row r="3618" spans="1:2" ht="12.5">
      <c r="A3618">
        <v>0</v>
      </c>
      <c r="B3618">
        <v>0</v>
      </c>
    </row>
    <row r="3619" spans="1:2" ht="12.5">
      <c r="A3619">
        <v>0</v>
      </c>
      <c r="B3619">
        <v>0</v>
      </c>
    </row>
    <row r="3620" spans="1:2" ht="12.5">
      <c r="A3620">
        <v>0</v>
      </c>
      <c r="B3620">
        <v>0</v>
      </c>
    </row>
    <row r="3621" spans="1:2" ht="12.5">
      <c r="A3621">
        <v>0</v>
      </c>
      <c r="B3621">
        <v>0</v>
      </c>
    </row>
    <row r="3622" spans="1:2" ht="12.5">
      <c r="A3622">
        <v>0</v>
      </c>
      <c r="B3622">
        <v>0</v>
      </c>
    </row>
    <row r="3623" spans="1:2" ht="12.5">
      <c r="A3623">
        <v>0</v>
      </c>
      <c r="B3623">
        <v>0</v>
      </c>
    </row>
    <row r="3624" spans="1:2" ht="12.5">
      <c r="A3624">
        <v>0</v>
      </c>
      <c r="B3624">
        <v>0</v>
      </c>
    </row>
    <row r="3625" spans="1:2" ht="12.5">
      <c r="A3625">
        <v>0</v>
      </c>
      <c r="B3625">
        <v>0</v>
      </c>
    </row>
    <row r="3626" spans="1:2" ht="12.5">
      <c r="A3626">
        <v>0</v>
      </c>
      <c r="B3626">
        <v>0</v>
      </c>
    </row>
    <row r="3627" spans="1:2" ht="12.5">
      <c r="A3627">
        <v>0</v>
      </c>
      <c r="B3627">
        <v>0</v>
      </c>
    </row>
    <row r="3628" spans="1:2" ht="12.5">
      <c r="A3628">
        <v>0</v>
      </c>
      <c r="B3628">
        <v>0</v>
      </c>
    </row>
    <row r="3629" spans="1:2" ht="12.5">
      <c r="A3629">
        <v>0</v>
      </c>
      <c r="B3629">
        <v>0</v>
      </c>
    </row>
    <row r="3630" spans="1:2" ht="12.5">
      <c r="A3630">
        <v>0</v>
      </c>
      <c r="B3630">
        <v>0</v>
      </c>
    </row>
    <row r="3631" spans="1:2" ht="12.5">
      <c r="A3631">
        <v>0</v>
      </c>
      <c r="B3631">
        <v>0</v>
      </c>
    </row>
    <row r="3632" spans="1:2" ht="12.5">
      <c r="A3632">
        <v>0</v>
      </c>
      <c r="B3632">
        <v>0</v>
      </c>
    </row>
    <row r="3633" spans="1:2" ht="12.5">
      <c r="A3633">
        <v>0</v>
      </c>
      <c r="B3633">
        <v>0</v>
      </c>
    </row>
    <row r="3634" spans="1:2" ht="12.5">
      <c r="A3634">
        <v>0</v>
      </c>
      <c r="B3634">
        <v>0</v>
      </c>
    </row>
    <row r="3635" spans="1:2" ht="12.5">
      <c r="A3635">
        <v>0</v>
      </c>
      <c r="B3635">
        <v>0</v>
      </c>
    </row>
    <row r="3636" spans="1:2" ht="12.5">
      <c r="A3636">
        <v>0</v>
      </c>
      <c r="B3636">
        <v>0</v>
      </c>
    </row>
    <row r="3637" spans="1:2" ht="12.5">
      <c r="A3637">
        <v>0</v>
      </c>
      <c r="B3637">
        <v>0</v>
      </c>
    </row>
    <row r="3638" spans="1:2" ht="12.5">
      <c r="A3638">
        <v>0</v>
      </c>
      <c r="B3638">
        <v>0</v>
      </c>
    </row>
    <row r="3639" spans="1:2" ht="12.5">
      <c r="A3639">
        <v>0</v>
      </c>
      <c r="B3639">
        <v>0</v>
      </c>
    </row>
    <row r="3640" spans="1:2" ht="12.5">
      <c r="A3640">
        <v>0</v>
      </c>
      <c r="B3640">
        <v>0</v>
      </c>
    </row>
    <row r="3641" spans="1:2" ht="12.5">
      <c r="A3641">
        <v>0</v>
      </c>
      <c r="B3641">
        <v>0</v>
      </c>
    </row>
    <row r="3642" spans="1:2" ht="12.5">
      <c r="A3642">
        <v>0</v>
      </c>
      <c r="B3642">
        <v>0</v>
      </c>
    </row>
    <row r="3643" spans="1:2" ht="12.5">
      <c r="A3643">
        <v>0</v>
      </c>
      <c r="B3643">
        <v>0</v>
      </c>
    </row>
    <row r="3644" spans="1:2" ht="12.5">
      <c r="A3644">
        <v>0</v>
      </c>
      <c r="B3644">
        <v>0</v>
      </c>
    </row>
    <row r="3645" spans="1:2" ht="12.5">
      <c r="A3645">
        <v>0</v>
      </c>
      <c r="B3645">
        <v>0</v>
      </c>
    </row>
    <row r="3646" spans="1:2" ht="12.5">
      <c r="A3646">
        <v>0</v>
      </c>
      <c r="B3646">
        <v>0</v>
      </c>
    </row>
    <row r="3647" spans="1:2" ht="12.5">
      <c r="A3647">
        <v>0</v>
      </c>
      <c r="B3647">
        <v>0</v>
      </c>
    </row>
    <row r="3648" spans="1:2" ht="12.5">
      <c r="A3648">
        <v>0</v>
      </c>
      <c r="B3648">
        <v>0</v>
      </c>
    </row>
    <row r="3649" spans="1:2" ht="12.5">
      <c r="A3649">
        <v>0</v>
      </c>
      <c r="B3649">
        <v>0</v>
      </c>
    </row>
    <row r="3650" spans="1:2" ht="12.5">
      <c r="A3650">
        <v>0</v>
      </c>
      <c r="B3650">
        <v>0</v>
      </c>
    </row>
    <row r="3651" spans="1:2" ht="12.5">
      <c r="A3651">
        <v>0</v>
      </c>
      <c r="B3651">
        <v>0</v>
      </c>
    </row>
    <row r="3652" spans="1:2" ht="12.5">
      <c r="A3652">
        <v>0</v>
      </c>
      <c r="B3652">
        <v>0</v>
      </c>
    </row>
    <row r="3653" spans="1:2" ht="12.5">
      <c r="A3653">
        <v>0</v>
      </c>
      <c r="B3653">
        <v>0</v>
      </c>
    </row>
    <row r="3654" spans="1:2" ht="12.5">
      <c r="A3654">
        <v>0</v>
      </c>
      <c r="B3654">
        <v>0</v>
      </c>
    </row>
    <row r="3655" spans="1:2" ht="12.5">
      <c r="A3655">
        <v>0</v>
      </c>
      <c r="B3655">
        <v>0</v>
      </c>
    </row>
    <row r="3656" spans="1:2" ht="12.5">
      <c r="A3656">
        <v>0</v>
      </c>
      <c r="B3656">
        <v>0</v>
      </c>
    </row>
    <row r="3657" spans="1:2" ht="12.5">
      <c r="A3657">
        <v>0</v>
      </c>
      <c r="B3657">
        <v>0</v>
      </c>
    </row>
    <row r="3658" spans="1:2" ht="12.5">
      <c r="A3658">
        <v>0</v>
      </c>
      <c r="B3658">
        <v>0</v>
      </c>
    </row>
    <row r="3659" spans="1:2" ht="12.5">
      <c r="A3659">
        <v>0</v>
      </c>
      <c r="B3659">
        <v>0</v>
      </c>
    </row>
    <row r="3660" spans="1:2" ht="12.5">
      <c r="A3660">
        <v>0</v>
      </c>
      <c r="B3660">
        <v>0</v>
      </c>
    </row>
    <row r="3661" spans="1:2" ht="12.5">
      <c r="A3661">
        <v>0</v>
      </c>
      <c r="B3661">
        <v>0</v>
      </c>
    </row>
    <row r="3662" spans="1:2" ht="12.5">
      <c r="A3662">
        <v>0</v>
      </c>
      <c r="B3662">
        <v>0</v>
      </c>
    </row>
    <row r="3663" spans="1:2" ht="12.5">
      <c r="A3663">
        <v>0</v>
      </c>
      <c r="B3663">
        <v>0</v>
      </c>
    </row>
    <row r="3664" spans="1:2" ht="12.5">
      <c r="A3664">
        <v>0</v>
      </c>
      <c r="B3664">
        <v>0</v>
      </c>
    </row>
    <row r="3665" spans="1:2" ht="12.5">
      <c r="A3665">
        <v>0</v>
      </c>
      <c r="B3665">
        <v>0</v>
      </c>
    </row>
    <row r="3666" spans="1:2" ht="12.5">
      <c r="A3666">
        <v>0</v>
      </c>
      <c r="B3666">
        <v>0</v>
      </c>
    </row>
    <row r="3667" spans="1:2" ht="12.5">
      <c r="A3667">
        <v>0</v>
      </c>
      <c r="B3667">
        <v>0</v>
      </c>
    </row>
    <row r="3668" spans="1:2" ht="12.5">
      <c r="A3668">
        <v>0</v>
      </c>
      <c r="B3668">
        <v>0</v>
      </c>
    </row>
    <row r="3669" spans="1:2" ht="12.5">
      <c r="A3669">
        <v>0</v>
      </c>
      <c r="B3669">
        <v>0</v>
      </c>
    </row>
    <row r="3670" spans="1:2" ht="12.5">
      <c r="A3670">
        <v>0</v>
      </c>
      <c r="B3670">
        <v>0</v>
      </c>
    </row>
    <row r="3671" spans="1:2" ht="12.5">
      <c r="A3671">
        <v>0</v>
      </c>
      <c r="B3671">
        <v>0</v>
      </c>
    </row>
    <row r="3672" spans="1:2" ht="12.5">
      <c r="A3672">
        <v>0</v>
      </c>
      <c r="B3672">
        <v>0</v>
      </c>
    </row>
    <row r="3673" spans="1:2" ht="12.5">
      <c r="A3673">
        <v>0</v>
      </c>
      <c r="B3673">
        <v>0</v>
      </c>
    </row>
    <row r="3674" spans="1:2" ht="12.5">
      <c r="A3674">
        <v>0</v>
      </c>
      <c r="B3674">
        <v>0</v>
      </c>
    </row>
    <row r="3675" spans="1:2" ht="12.5">
      <c r="A3675">
        <v>0</v>
      </c>
      <c r="B3675">
        <v>0</v>
      </c>
    </row>
    <row r="3676" spans="1:2" ht="12.5">
      <c r="A3676">
        <v>0</v>
      </c>
      <c r="B3676">
        <v>0</v>
      </c>
    </row>
    <row r="3677" spans="1:2" ht="12.5">
      <c r="A3677">
        <v>0</v>
      </c>
      <c r="B3677">
        <v>0</v>
      </c>
    </row>
    <row r="3678" spans="1:2" ht="12.5">
      <c r="A3678">
        <v>0</v>
      </c>
      <c r="B3678">
        <v>0</v>
      </c>
    </row>
    <row r="3679" spans="1:2" ht="12.5">
      <c r="A3679">
        <v>0</v>
      </c>
      <c r="B3679">
        <v>0</v>
      </c>
    </row>
    <row r="3680" spans="1:2" ht="12.5">
      <c r="A3680">
        <v>0</v>
      </c>
      <c r="B3680">
        <v>0</v>
      </c>
    </row>
    <row r="3681" spans="1:2" ht="12.5">
      <c r="A3681">
        <v>0</v>
      </c>
      <c r="B3681">
        <v>0</v>
      </c>
    </row>
    <row r="3682" spans="1:2" ht="12.5">
      <c r="A3682">
        <v>0</v>
      </c>
      <c r="B3682">
        <v>0</v>
      </c>
    </row>
    <row r="3683" spans="1:2" ht="12.5">
      <c r="A3683">
        <v>0</v>
      </c>
      <c r="B3683">
        <v>0</v>
      </c>
    </row>
    <row r="3684" spans="1:2" ht="12.5">
      <c r="A3684">
        <v>0</v>
      </c>
      <c r="B3684">
        <v>0</v>
      </c>
    </row>
    <row r="3685" spans="1:2" ht="12.5">
      <c r="A3685">
        <v>0</v>
      </c>
      <c r="B3685">
        <v>0</v>
      </c>
    </row>
    <row r="3686" spans="1:2" ht="12.5">
      <c r="A3686">
        <v>0</v>
      </c>
      <c r="B3686">
        <v>0</v>
      </c>
    </row>
    <row r="3687" spans="1:2" ht="12.5">
      <c r="A3687">
        <v>0</v>
      </c>
      <c r="B3687">
        <v>0</v>
      </c>
    </row>
    <row r="3688" spans="1:2" ht="12.5">
      <c r="A3688">
        <v>0</v>
      </c>
      <c r="B3688">
        <v>0</v>
      </c>
    </row>
    <row r="3689" spans="1:2" ht="12.5">
      <c r="A3689">
        <v>0</v>
      </c>
      <c r="B3689">
        <v>0</v>
      </c>
    </row>
    <row r="3690" spans="1:2" ht="12.5">
      <c r="A3690">
        <v>0</v>
      </c>
      <c r="B3690">
        <v>0</v>
      </c>
    </row>
    <row r="3691" spans="1:2" ht="12.5">
      <c r="A3691">
        <v>0</v>
      </c>
      <c r="B3691">
        <v>0</v>
      </c>
    </row>
    <row r="3692" spans="1:2" ht="12.5">
      <c r="A3692">
        <v>0</v>
      </c>
      <c r="B3692">
        <v>0</v>
      </c>
    </row>
    <row r="3693" spans="1:2" ht="12.5">
      <c r="A3693">
        <v>0</v>
      </c>
      <c r="B3693">
        <v>0</v>
      </c>
    </row>
    <row r="3694" spans="1:2" ht="12.5">
      <c r="A3694">
        <v>0</v>
      </c>
      <c r="B3694">
        <v>0</v>
      </c>
    </row>
    <row r="3695" spans="1:2" ht="12.5">
      <c r="A3695">
        <v>0</v>
      </c>
      <c r="B3695">
        <v>0</v>
      </c>
    </row>
    <row r="3696" spans="1:2" ht="12.5">
      <c r="A3696">
        <v>0</v>
      </c>
      <c r="B3696">
        <v>0</v>
      </c>
    </row>
    <row r="3697" spans="1:2" ht="12.5">
      <c r="A3697">
        <v>0</v>
      </c>
      <c r="B3697">
        <v>0</v>
      </c>
    </row>
    <row r="3698" spans="1:2" ht="12.5">
      <c r="A3698">
        <v>0</v>
      </c>
      <c r="B3698">
        <v>0</v>
      </c>
    </row>
    <row r="3699" spans="1:2" ht="12.5">
      <c r="A3699">
        <v>0</v>
      </c>
      <c r="B3699">
        <v>0</v>
      </c>
    </row>
    <row r="3700" spans="1:2" ht="12.5">
      <c r="A3700">
        <v>0</v>
      </c>
      <c r="B3700">
        <v>0</v>
      </c>
    </row>
    <row r="3701" spans="1:2" ht="12.5">
      <c r="A3701">
        <v>0</v>
      </c>
      <c r="B3701">
        <v>0</v>
      </c>
    </row>
    <row r="3702" spans="1:2" ht="12.5">
      <c r="A3702">
        <v>0</v>
      </c>
      <c r="B3702">
        <v>0</v>
      </c>
    </row>
    <row r="3703" spans="1:2" ht="12.5">
      <c r="A3703">
        <v>0</v>
      </c>
      <c r="B3703">
        <v>0</v>
      </c>
    </row>
    <row r="3704" spans="1:2" ht="12.5">
      <c r="A3704">
        <v>0</v>
      </c>
      <c r="B3704">
        <v>0</v>
      </c>
    </row>
    <row r="3705" spans="1:2" ht="12.5">
      <c r="A3705">
        <v>0</v>
      </c>
      <c r="B3705">
        <v>0</v>
      </c>
    </row>
    <row r="3706" spans="1:2" ht="12.5">
      <c r="A3706">
        <v>0</v>
      </c>
      <c r="B3706">
        <v>0</v>
      </c>
    </row>
    <row r="3707" spans="1:2" ht="12.5">
      <c r="A3707">
        <v>0</v>
      </c>
      <c r="B3707">
        <v>0</v>
      </c>
    </row>
    <row r="3708" spans="1:2" ht="12.5">
      <c r="A3708">
        <v>0</v>
      </c>
      <c r="B3708">
        <v>0</v>
      </c>
    </row>
    <row r="3709" spans="1:2" ht="12.5">
      <c r="A3709">
        <v>0</v>
      </c>
      <c r="B3709">
        <v>0</v>
      </c>
    </row>
    <row r="3710" spans="1:2" ht="12.5">
      <c r="A3710">
        <v>0</v>
      </c>
      <c r="B3710">
        <v>0</v>
      </c>
    </row>
    <row r="3711" spans="1:2" ht="12.5">
      <c r="A3711">
        <v>0</v>
      </c>
      <c r="B3711">
        <v>0</v>
      </c>
    </row>
    <row r="3712" spans="1:2" ht="12.5">
      <c r="A3712">
        <v>0</v>
      </c>
      <c r="B3712">
        <v>0</v>
      </c>
    </row>
    <row r="3713" spans="1:2" ht="12.5">
      <c r="A3713">
        <v>0</v>
      </c>
      <c r="B3713">
        <v>0</v>
      </c>
    </row>
    <row r="3714" spans="1:2" ht="12.5">
      <c r="A3714">
        <v>0</v>
      </c>
      <c r="B3714">
        <v>0</v>
      </c>
    </row>
    <row r="3715" spans="1:2" ht="12.5">
      <c r="A3715">
        <v>0</v>
      </c>
      <c r="B3715">
        <v>0</v>
      </c>
    </row>
    <row r="3716" spans="1:2" ht="12.5">
      <c r="A3716">
        <v>0</v>
      </c>
      <c r="B3716">
        <v>0</v>
      </c>
    </row>
    <row r="3717" spans="1:2" ht="12.5">
      <c r="A3717">
        <v>0</v>
      </c>
      <c r="B3717">
        <v>0</v>
      </c>
    </row>
    <row r="3718" spans="1:2" ht="12.5">
      <c r="A3718">
        <v>0</v>
      </c>
      <c r="B3718">
        <v>0</v>
      </c>
    </row>
    <row r="3719" spans="1:2" ht="12.5">
      <c r="A3719">
        <v>0</v>
      </c>
      <c r="B3719">
        <v>0</v>
      </c>
    </row>
    <row r="3720" spans="1:2" ht="12.5">
      <c r="A3720">
        <v>0</v>
      </c>
      <c r="B3720">
        <v>0</v>
      </c>
    </row>
    <row r="3721" spans="1:2" ht="12.5">
      <c r="A3721">
        <v>0</v>
      </c>
      <c r="B3721">
        <v>0</v>
      </c>
    </row>
    <row r="3722" spans="1:2" ht="12.5">
      <c r="A3722">
        <v>0</v>
      </c>
      <c r="B3722">
        <v>0</v>
      </c>
    </row>
    <row r="3723" spans="1:2" ht="12.5">
      <c r="A3723">
        <v>0</v>
      </c>
      <c r="B3723">
        <v>0</v>
      </c>
    </row>
    <row r="3724" spans="1:2" ht="12.5">
      <c r="A3724">
        <v>0</v>
      </c>
      <c r="B3724">
        <v>0</v>
      </c>
    </row>
    <row r="3725" spans="1:2" ht="12.5">
      <c r="A3725">
        <v>0</v>
      </c>
      <c r="B3725">
        <v>0</v>
      </c>
    </row>
    <row r="3726" spans="1:2" ht="12.5">
      <c r="A3726">
        <v>0</v>
      </c>
      <c r="B3726">
        <v>0</v>
      </c>
    </row>
    <row r="3727" spans="1:2" ht="12.5">
      <c r="A3727">
        <v>0</v>
      </c>
      <c r="B3727">
        <v>0</v>
      </c>
    </row>
    <row r="3728" spans="1:2" ht="12.5">
      <c r="A3728">
        <v>0</v>
      </c>
      <c r="B3728">
        <v>0</v>
      </c>
    </row>
    <row r="3729" spans="1:2" ht="12.5">
      <c r="A3729">
        <v>0</v>
      </c>
      <c r="B3729">
        <v>0</v>
      </c>
    </row>
    <row r="3730" spans="1:2" ht="12.5">
      <c r="A3730">
        <v>0</v>
      </c>
      <c r="B3730">
        <v>0</v>
      </c>
    </row>
    <row r="3731" spans="1:2" ht="12.5">
      <c r="A3731">
        <v>0</v>
      </c>
      <c r="B3731">
        <v>0</v>
      </c>
    </row>
    <row r="3732" spans="1:2" ht="12.5">
      <c r="A3732">
        <v>0</v>
      </c>
      <c r="B3732">
        <v>0</v>
      </c>
    </row>
    <row r="3733" spans="1:2" ht="12.5">
      <c r="A3733">
        <v>0</v>
      </c>
      <c r="B3733">
        <v>0</v>
      </c>
    </row>
    <row r="3734" spans="1:2" ht="12.5">
      <c r="A3734">
        <v>0</v>
      </c>
      <c r="B3734">
        <v>0</v>
      </c>
    </row>
    <row r="3735" spans="1:2" ht="12.5">
      <c r="A3735">
        <v>0</v>
      </c>
      <c r="B3735">
        <v>0</v>
      </c>
    </row>
    <row r="3736" spans="1:2" ht="12.5">
      <c r="A3736">
        <v>0</v>
      </c>
      <c r="B3736">
        <v>0</v>
      </c>
    </row>
    <row r="3737" spans="1:2" ht="12.5">
      <c r="A3737">
        <v>0</v>
      </c>
      <c r="B3737">
        <v>0</v>
      </c>
    </row>
    <row r="3738" spans="1:2" ht="12.5">
      <c r="A3738">
        <v>0</v>
      </c>
      <c r="B3738">
        <v>0</v>
      </c>
    </row>
    <row r="3739" spans="1:2" ht="12.5">
      <c r="A3739">
        <v>0</v>
      </c>
      <c r="B3739">
        <v>0</v>
      </c>
    </row>
    <row r="3740" spans="1:2" ht="12.5">
      <c r="A3740">
        <v>0</v>
      </c>
      <c r="B3740">
        <v>0</v>
      </c>
    </row>
    <row r="3741" spans="1:2" ht="12.5">
      <c r="A3741">
        <v>0</v>
      </c>
      <c r="B3741">
        <v>0</v>
      </c>
    </row>
    <row r="3742" spans="1:2" ht="12.5">
      <c r="A3742">
        <v>0</v>
      </c>
      <c r="B3742">
        <v>0</v>
      </c>
    </row>
    <row r="3743" spans="1:2" ht="12.5">
      <c r="A3743">
        <v>0</v>
      </c>
      <c r="B3743">
        <v>0</v>
      </c>
    </row>
    <row r="3744" spans="1:2" ht="12.5">
      <c r="A3744">
        <v>0</v>
      </c>
      <c r="B3744">
        <v>0</v>
      </c>
    </row>
    <row r="3745" spans="1:2" ht="12.5">
      <c r="A3745">
        <v>0</v>
      </c>
      <c r="B3745">
        <v>0</v>
      </c>
    </row>
    <row r="3746" spans="1:2" ht="12.5">
      <c r="A3746">
        <v>0</v>
      </c>
      <c r="B3746">
        <v>0</v>
      </c>
    </row>
    <row r="3747" spans="1:2" ht="12.5">
      <c r="A3747">
        <v>0</v>
      </c>
      <c r="B3747">
        <v>0</v>
      </c>
    </row>
    <row r="3748" spans="1:2" ht="12.5">
      <c r="A3748">
        <v>0</v>
      </c>
      <c r="B3748">
        <v>0</v>
      </c>
    </row>
    <row r="3749" spans="1:2" ht="12.5">
      <c r="A3749">
        <v>0</v>
      </c>
      <c r="B3749">
        <v>0</v>
      </c>
    </row>
    <row r="3750" spans="1:2" ht="12.5">
      <c r="A3750">
        <v>0</v>
      </c>
      <c r="B3750">
        <v>0</v>
      </c>
    </row>
    <row r="3751" spans="1:2" ht="12.5">
      <c r="A3751">
        <v>0</v>
      </c>
      <c r="B3751">
        <v>0</v>
      </c>
    </row>
    <row r="3752" spans="1:2" ht="12.5">
      <c r="A3752">
        <v>0</v>
      </c>
      <c r="B3752">
        <v>0</v>
      </c>
    </row>
    <row r="3753" spans="1:2" ht="12.5">
      <c r="A3753">
        <v>0</v>
      </c>
      <c r="B3753">
        <v>0</v>
      </c>
    </row>
    <row r="3754" spans="1:2" ht="12.5">
      <c r="A3754">
        <v>0</v>
      </c>
      <c r="B3754">
        <v>0</v>
      </c>
    </row>
    <row r="3755" spans="1:2" ht="12.5">
      <c r="A3755">
        <v>0</v>
      </c>
      <c r="B3755">
        <v>0</v>
      </c>
    </row>
    <row r="3756" spans="1:2" ht="12.5">
      <c r="A3756">
        <v>0</v>
      </c>
      <c r="B3756">
        <v>0</v>
      </c>
    </row>
    <row r="3757" spans="1:2" ht="12.5">
      <c r="A3757">
        <v>0</v>
      </c>
      <c r="B3757">
        <v>0</v>
      </c>
    </row>
    <row r="3758" spans="1:2" ht="12.5">
      <c r="A3758">
        <v>0</v>
      </c>
      <c r="B3758">
        <v>0</v>
      </c>
    </row>
    <row r="3759" spans="1:2" ht="12.5">
      <c r="A3759">
        <v>0</v>
      </c>
      <c r="B3759">
        <v>0</v>
      </c>
    </row>
    <row r="3760" spans="1:2" ht="12.5">
      <c r="A3760">
        <v>0</v>
      </c>
      <c r="B3760">
        <v>0</v>
      </c>
    </row>
    <row r="3761" spans="1:2" ht="12.5">
      <c r="A3761">
        <v>0</v>
      </c>
      <c r="B3761">
        <v>0</v>
      </c>
    </row>
    <row r="3762" spans="1:2" ht="12.5">
      <c r="A3762">
        <v>0</v>
      </c>
      <c r="B3762">
        <v>0</v>
      </c>
    </row>
    <row r="3763" spans="1:2" ht="12.5">
      <c r="A3763">
        <v>0</v>
      </c>
      <c r="B3763">
        <v>0</v>
      </c>
    </row>
    <row r="3764" spans="1:2" ht="12.5">
      <c r="A3764">
        <v>0</v>
      </c>
      <c r="B3764">
        <v>0</v>
      </c>
    </row>
    <row r="3765" spans="1:2" ht="12.5">
      <c r="A3765">
        <v>0</v>
      </c>
      <c r="B3765">
        <v>0</v>
      </c>
    </row>
    <row r="3766" spans="1:2" ht="12.5">
      <c r="A3766">
        <v>0</v>
      </c>
      <c r="B3766">
        <v>0</v>
      </c>
    </row>
    <row r="3767" spans="1:2" ht="12.5">
      <c r="A3767">
        <v>0</v>
      </c>
      <c r="B3767">
        <v>0</v>
      </c>
    </row>
    <row r="3768" spans="1:2" ht="12.5">
      <c r="A3768">
        <v>0</v>
      </c>
      <c r="B3768">
        <v>0</v>
      </c>
    </row>
    <row r="3769" spans="1:2" ht="12.5">
      <c r="A3769">
        <v>0</v>
      </c>
      <c r="B3769">
        <v>0</v>
      </c>
    </row>
    <row r="3770" spans="1:2" ht="12.5">
      <c r="A3770">
        <v>0</v>
      </c>
      <c r="B3770">
        <v>0</v>
      </c>
    </row>
    <row r="3771" spans="1:2" ht="12.5">
      <c r="A3771">
        <v>0</v>
      </c>
      <c r="B3771">
        <v>0</v>
      </c>
    </row>
    <row r="3772" spans="1:2" ht="12.5">
      <c r="A3772">
        <v>0</v>
      </c>
      <c r="B3772">
        <v>0</v>
      </c>
    </row>
    <row r="3773" spans="1:2" ht="12.5">
      <c r="A3773">
        <v>0</v>
      </c>
      <c r="B3773">
        <v>0</v>
      </c>
    </row>
    <row r="3774" spans="1:2" ht="12.5">
      <c r="A3774">
        <v>0</v>
      </c>
      <c r="B3774">
        <v>0</v>
      </c>
    </row>
    <row r="3775" spans="1:2" ht="12.5">
      <c r="A3775">
        <v>0</v>
      </c>
      <c r="B3775">
        <v>0</v>
      </c>
    </row>
    <row r="3776" spans="1:2" ht="12.5">
      <c r="A3776">
        <v>0</v>
      </c>
      <c r="B3776">
        <v>0</v>
      </c>
    </row>
    <row r="3777" spans="1:2" ht="12.5">
      <c r="A3777">
        <v>0</v>
      </c>
      <c r="B3777">
        <v>0</v>
      </c>
    </row>
    <row r="3778" spans="1:2" ht="12.5">
      <c r="A3778">
        <v>0</v>
      </c>
      <c r="B3778">
        <v>0</v>
      </c>
    </row>
    <row r="3779" spans="1:2" ht="12.5">
      <c r="A3779">
        <v>0</v>
      </c>
      <c r="B3779">
        <v>0</v>
      </c>
    </row>
    <row r="3780" spans="1:2" ht="12.5">
      <c r="A3780">
        <v>0</v>
      </c>
      <c r="B3780">
        <v>0</v>
      </c>
    </row>
    <row r="3781" spans="1:2" ht="12.5">
      <c r="A3781">
        <v>0</v>
      </c>
      <c r="B3781">
        <v>0</v>
      </c>
    </row>
    <row r="3782" spans="1:2" ht="12.5">
      <c r="A3782">
        <v>0</v>
      </c>
      <c r="B3782">
        <v>0</v>
      </c>
    </row>
    <row r="3783" spans="1:2" ht="12.5">
      <c r="A3783">
        <v>0</v>
      </c>
      <c r="B3783">
        <v>0</v>
      </c>
    </row>
    <row r="3784" spans="1:2" ht="12.5">
      <c r="A3784">
        <v>0</v>
      </c>
      <c r="B3784">
        <v>0</v>
      </c>
    </row>
    <row r="3785" spans="1:2" ht="12.5">
      <c r="A3785">
        <v>0</v>
      </c>
      <c r="B3785">
        <v>0</v>
      </c>
    </row>
    <row r="3786" spans="1:2" ht="12.5">
      <c r="A3786">
        <v>0</v>
      </c>
      <c r="B3786">
        <v>0</v>
      </c>
    </row>
    <row r="3787" spans="1:2" ht="12.5">
      <c r="A3787">
        <v>0</v>
      </c>
      <c r="B3787">
        <v>0</v>
      </c>
    </row>
    <row r="3788" spans="1:2" ht="12.5">
      <c r="A3788">
        <v>0</v>
      </c>
      <c r="B3788">
        <v>0</v>
      </c>
    </row>
    <row r="3789" spans="1:2" ht="12.5">
      <c r="A3789">
        <v>0</v>
      </c>
      <c r="B3789">
        <v>0</v>
      </c>
    </row>
    <row r="3790" spans="1:2" ht="12.5">
      <c r="A3790">
        <v>0</v>
      </c>
      <c r="B3790">
        <v>0</v>
      </c>
    </row>
    <row r="3791" spans="1:2" ht="12.5">
      <c r="A3791">
        <v>0</v>
      </c>
      <c r="B3791">
        <v>0</v>
      </c>
    </row>
    <row r="3792" spans="1:2" ht="12.5">
      <c r="A3792">
        <v>0</v>
      </c>
      <c r="B3792">
        <v>0</v>
      </c>
    </row>
    <row r="3793" spans="1:2" ht="12.5">
      <c r="A3793">
        <v>0</v>
      </c>
      <c r="B3793">
        <v>0</v>
      </c>
    </row>
    <row r="3794" spans="1:2" ht="12.5">
      <c r="A3794">
        <v>0</v>
      </c>
      <c r="B3794">
        <v>0</v>
      </c>
    </row>
    <row r="3795" spans="1:2" ht="12.5">
      <c r="A3795">
        <v>0</v>
      </c>
      <c r="B3795">
        <v>0</v>
      </c>
    </row>
    <row r="3796" spans="1:2" ht="12.5">
      <c r="A3796">
        <v>0</v>
      </c>
      <c r="B3796">
        <v>0</v>
      </c>
    </row>
    <row r="3797" spans="1:2" ht="12.5">
      <c r="A3797">
        <v>0</v>
      </c>
      <c r="B3797">
        <v>0</v>
      </c>
    </row>
    <row r="3798" spans="1:2" ht="12.5">
      <c r="A3798">
        <v>0</v>
      </c>
      <c r="B3798">
        <v>0</v>
      </c>
    </row>
    <row r="3799" spans="1:2" ht="12.5">
      <c r="A3799">
        <v>0</v>
      </c>
      <c r="B3799">
        <v>0</v>
      </c>
    </row>
    <row r="3800" spans="1:2" ht="12.5">
      <c r="A3800">
        <v>0</v>
      </c>
      <c r="B3800">
        <v>0</v>
      </c>
    </row>
    <row r="3801" spans="1:2" ht="12.5">
      <c r="A3801">
        <v>0</v>
      </c>
      <c r="B3801">
        <v>0</v>
      </c>
    </row>
    <row r="3802" spans="1:2" ht="12.5">
      <c r="A3802">
        <v>0</v>
      </c>
      <c r="B3802">
        <v>0</v>
      </c>
    </row>
    <row r="3803" spans="1:2" ht="12.5">
      <c r="A3803">
        <v>0</v>
      </c>
      <c r="B3803">
        <v>0</v>
      </c>
    </row>
    <row r="3804" spans="1:2" ht="12.5">
      <c r="A3804">
        <v>0</v>
      </c>
      <c r="B3804">
        <v>0</v>
      </c>
    </row>
    <row r="3805" spans="1:2" ht="12.5">
      <c r="A3805">
        <v>0</v>
      </c>
      <c r="B3805">
        <v>0</v>
      </c>
    </row>
    <row r="3806" spans="1:2" ht="12.5">
      <c r="A3806">
        <v>0</v>
      </c>
      <c r="B3806">
        <v>0</v>
      </c>
    </row>
    <row r="3807" spans="1:2" ht="12.5">
      <c r="A3807">
        <v>0</v>
      </c>
      <c r="B3807">
        <v>0</v>
      </c>
    </row>
    <row r="3808" spans="1:2" ht="12.5">
      <c r="A3808">
        <v>0</v>
      </c>
      <c r="B3808">
        <v>0</v>
      </c>
    </row>
    <row r="3809" spans="1:2" ht="12.5">
      <c r="A3809">
        <v>0</v>
      </c>
      <c r="B3809">
        <v>0</v>
      </c>
    </row>
    <row r="3810" spans="1:2" ht="12.5">
      <c r="A3810">
        <v>0</v>
      </c>
      <c r="B3810">
        <v>0</v>
      </c>
    </row>
    <row r="3811" spans="1:2" ht="12.5">
      <c r="A3811">
        <v>0</v>
      </c>
      <c r="B3811">
        <v>0</v>
      </c>
    </row>
    <row r="3812" spans="1:2" ht="12.5">
      <c r="A3812">
        <v>0</v>
      </c>
      <c r="B3812">
        <v>0</v>
      </c>
    </row>
    <row r="3813" spans="1:2" ht="12.5">
      <c r="A3813">
        <v>0</v>
      </c>
      <c r="B3813">
        <v>0</v>
      </c>
    </row>
    <row r="3814" spans="1:2" ht="12.5">
      <c r="A3814">
        <v>0</v>
      </c>
      <c r="B3814">
        <v>0</v>
      </c>
    </row>
    <row r="3815" spans="1:2" ht="12.5">
      <c r="A3815">
        <v>0</v>
      </c>
      <c r="B3815">
        <v>0</v>
      </c>
    </row>
    <row r="3816" spans="1:2" ht="12.5">
      <c r="A3816">
        <v>0</v>
      </c>
      <c r="B3816">
        <v>0</v>
      </c>
    </row>
    <row r="3817" spans="1:2" ht="12.5">
      <c r="A3817">
        <v>0</v>
      </c>
      <c r="B3817">
        <v>0</v>
      </c>
    </row>
    <row r="3818" spans="1:2" ht="12.5">
      <c r="A3818">
        <v>0</v>
      </c>
      <c r="B3818">
        <v>0</v>
      </c>
    </row>
    <row r="3819" spans="1:2" ht="12.5">
      <c r="A3819">
        <v>0</v>
      </c>
      <c r="B3819">
        <v>0</v>
      </c>
    </row>
    <row r="3820" spans="1:2" ht="12.5">
      <c r="A3820">
        <v>0</v>
      </c>
      <c r="B3820">
        <v>0</v>
      </c>
    </row>
    <row r="3821" spans="1:2" ht="12.5">
      <c r="A3821">
        <v>0</v>
      </c>
      <c r="B3821">
        <v>0</v>
      </c>
    </row>
    <row r="3822" spans="1:2" ht="12.5">
      <c r="A3822">
        <v>0</v>
      </c>
      <c r="B3822">
        <v>0</v>
      </c>
    </row>
    <row r="3823" spans="1:2" ht="12.5">
      <c r="A3823">
        <v>0</v>
      </c>
      <c r="B3823">
        <v>0</v>
      </c>
    </row>
    <row r="3824" spans="1:2" ht="12.5">
      <c r="A3824">
        <v>0</v>
      </c>
      <c r="B3824">
        <v>0</v>
      </c>
    </row>
    <row r="3825" spans="1:2" ht="12.5">
      <c r="A3825">
        <v>0</v>
      </c>
      <c r="B3825">
        <v>0</v>
      </c>
    </row>
    <row r="3826" spans="1:2" ht="12.5">
      <c r="A3826">
        <v>0</v>
      </c>
      <c r="B3826">
        <v>0</v>
      </c>
    </row>
    <row r="3827" spans="1:2" ht="12.5">
      <c r="A3827">
        <v>0</v>
      </c>
      <c r="B3827">
        <v>0</v>
      </c>
    </row>
    <row r="3828" spans="1:2" ht="12.5">
      <c r="A3828">
        <v>0</v>
      </c>
      <c r="B3828">
        <v>0</v>
      </c>
    </row>
    <row r="3829" spans="1:2" ht="12.5">
      <c r="A3829">
        <v>0</v>
      </c>
      <c r="B3829">
        <v>0</v>
      </c>
    </row>
    <row r="3830" spans="1:2" ht="12.5">
      <c r="A3830">
        <v>0</v>
      </c>
      <c r="B3830">
        <v>0</v>
      </c>
    </row>
    <row r="3831" spans="1:2" ht="12.5">
      <c r="A3831">
        <v>0</v>
      </c>
      <c r="B3831">
        <v>0</v>
      </c>
    </row>
    <row r="3832" spans="1:2" ht="12.5">
      <c r="A3832">
        <v>0</v>
      </c>
      <c r="B3832">
        <v>0</v>
      </c>
    </row>
    <row r="3833" spans="1:2" ht="12.5">
      <c r="A3833">
        <v>0</v>
      </c>
      <c r="B3833">
        <v>0</v>
      </c>
    </row>
    <row r="3834" spans="1:2" ht="12.5">
      <c r="A3834">
        <v>0</v>
      </c>
      <c r="B3834">
        <v>0</v>
      </c>
    </row>
    <row r="3835" spans="1:2" ht="12.5">
      <c r="A3835">
        <v>0</v>
      </c>
      <c r="B3835">
        <v>0</v>
      </c>
    </row>
    <row r="3836" spans="1:2" ht="12.5">
      <c r="A3836">
        <v>0</v>
      </c>
      <c r="B3836">
        <v>0</v>
      </c>
    </row>
    <row r="3837" spans="1:2" ht="12.5">
      <c r="A3837">
        <v>0</v>
      </c>
      <c r="B3837">
        <v>0</v>
      </c>
    </row>
    <row r="3838" spans="1:2" ht="12.5">
      <c r="A3838">
        <v>0</v>
      </c>
      <c r="B3838">
        <v>0</v>
      </c>
    </row>
    <row r="3839" spans="1:2" ht="12.5">
      <c r="A3839">
        <v>0</v>
      </c>
      <c r="B3839">
        <v>0</v>
      </c>
    </row>
    <row r="3840" spans="1:2" ht="12.5">
      <c r="A3840">
        <v>0</v>
      </c>
      <c r="B3840">
        <v>0</v>
      </c>
    </row>
    <row r="3841" spans="1:2" ht="12.5">
      <c r="A3841">
        <v>0</v>
      </c>
      <c r="B3841">
        <v>0</v>
      </c>
    </row>
    <row r="3842" spans="1:2" ht="12.5">
      <c r="A3842">
        <v>0</v>
      </c>
      <c r="B3842">
        <v>0</v>
      </c>
    </row>
    <row r="3843" spans="1:2" ht="12.5">
      <c r="A3843">
        <v>0</v>
      </c>
      <c r="B3843">
        <v>0</v>
      </c>
    </row>
    <row r="3844" spans="1:2" ht="12.5">
      <c r="A3844">
        <v>0</v>
      </c>
      <c r="B3844">
        <v>0</v>
      </c>
    </row>
    <row r="3845" spans="1:2" ht="12.5">
      <c r="A3845">
        <v>0</v>
      </c>
      <c r="B3845">
        <v>0</v>
      </c>
    </row>
    <row r="3846" spans="1:2" ht="12.5">
      <c r="A3846">
        <v>0</v>
      </c>
      <c r="B3846">
        <v>0</v>
      </c>
    </row>
    <row r="3847" spans="1:2" ht="12.5">
      <c r="A3847">
        <v>0</v>
      </c>
      <c r="B3847">
        <v>0</v>
      </c>
    </row>
    <row r="3848" spans="1:2" ht="12.5">
      <c r="A3848">
        <v>0</v>
      </c>
      <c r="B3848">
        <v>0</v>
      </c>
    </row>
    <row r="3849" spans="1:2" ht="12.5">
      <c r="A3849">
        <v>0</v>
      </c>
      <c r="B3849">
        <v>0</v>
      </c>
    </row>
    <row r="3850" spans="1:2" ht="12.5">
      <c r="A3850">
        <v>0</v>
      </c>
      <c r="B3850">
        <v>0</v>
      </c>
    </row>
    <row r="3851" spans="1:2" ht="12.5">
      <c r="A3851">
        <v>0</v>
      </c>
      <c r="B3851">
        <v>0</v>
      </c>
    </row>
    <row r="3852" spans="1:2" ht="12.5">
      <c r="A3852">
        <v>0</v>
      </c>
      <c r="B3852">
        <v>0</v>
      </c>
    </row>
    <row r="3853" spans="1:2" ht="12.5">
      <c r="A3853">
        <v>0</v>
      </c>
      <c r="B3853">
        <v>0</v>
      </c>
    </row>
    <row r="3854" spans="1:2" ht="12.5">
      <c r="A3854">
        <v>0</v>
      </c>
      <c r="B3854">
        <v>0</v>
      </c>
    </row>
    <row r="3855" spans="1:2" ht="12.5">
      <c r="A3855">
        <v>0</v>
      </c>
      <c r="B3855">
        <v>0</v>
      </c>
    </row>
    <row r="3856" spans="1:2" ht="12.5">
      <c r="A3856">
        <v>0</v>
      </c>
      <c r="B3856">
        <v>0</v>
      </c>
    </row>
    <row r="3857" spans="1:2" ht="12.5">
      <c r="A3857">
        <v>0</v>
      </c>
      <c r="B3857">
        <v>0</v>
      </c>
    </row>
    <row r="3858" spans="1:2" ht="12.5">
      <c r="A3858">
        <v>0</v>
      </c>
      <c r="B3858">
        <v>0</v>
      </c>
    </row>
    <row r="3859" spans="1:2" ht="12.5">
      <c r="A3859">
        <v>0</v>
      </c>
      <c r="B3859">
        <v>0</v>
      </c>
    </row>
    <row r="3860" spans="1:2" ht="12.5">
      <c r="A3860">
        <v>0</v>
      </c>
      <c r="B3860">
        <v>0</v>
      </c>
    </row>
    <row r="3861" spans="1:2" ht="12.5">
      <c r="A3861">
        <v>0</v>
      </c>
      <c r="B3861">
        <v>0</v>
      </c>
    </row>
    <row r="3862" spans="1:2" ht="12.5">
      <c r="A3862">
        <v>0</v>
      </c>
      <c r="B3862">
        <v>0</v>
      </c>
    </row>
    <row r="3863" spans="1:2" ht="12.5">
      <c r="A3863">
        <v>0</v>
      </c>
      <c r="B3863">
        <v>0</v>
      </c>
    </row>
    <row r="3864" spans="1:2" ht="12.5">
      <c r="A3864">
        <v>0</v>
      </c>
      <c r="B3864">
        <v>0</v>
      </c>
    </row>
    <row r="3865" spans="1:2" ht="12.5">
      <c r="A3865">
        <v>0</v>
      </c>
      <c r="B3865">
        <v>0</v>
      </c>
    </row>
    <row r="3866" spans="1:2" ht="12.5">
      <c r="A3866">
        <v>0</v>
      </c>
      <c r="B3866">
        <v>0</v>
      </c>
    </row>
    <row r="3867" spans="1:2" ht="12.5">
      <c r="A3867">
        <v>0</v>
      </c>
      <c r="B3867">
        <v>0</v>
      </c>
    </row>
    <row r="3868" spans="1:2" ht="12.5">
      <c r="A3868">
        <v>0</v>
      </c>
      <c r="B3868">
        <v>0</v>
      </c>
    </row>
    <row r="3869" spans="1:2" ht="12.5">
      <c r="A3869">
        <v>0</v>
      </c>
      <c r="B3869">
        <v>0</v>
      </c>
    </row>
    <row r="3870" spans="1:2" ht="12.5">
      <c r="A3870">
        <v>0</v>
      </c>
      <c r="B3870">
        <v>0</v>
      </c>
    </row>
    <row r="3871" spans="1:2" ht="12.5">
      <c r="A3871">
        <v>0</v>
      </c>
      <c r="B3871">
        <v>0</v>
      </c>
    </row>
    <row r="3872" spans="1:2" ht="12.5">
      <c r="A3872">
        <v>0</v>
      </c>
      <c r="B3872">
        <v>0</v>
      </c>
    </row>
    <row r="3873" spans="1:2" ht="12.5">
      <c r="A3873">
        <v>0</v>
      </c>
      <c r="B3873">
        <v>0</v>
      </c>
    </row>
    <row r="3874" spans="1:2" ht="12.5">
      <c r="A3874">
        <v>0</v>
      </c>
      <c r="B3874">
        <v>0</v>
      </c>
    </row>
    <row r="3875" spans="1:2" ht="12.5">
      <c r="A3875">
        <v>0</v>
      </c>
      <c r="B3875">
        <v>0</v>
      </c>
    </row>
    <row r="3876" spans="1:2" ht="12.5">
      <c r="A3876">
        <v>0</v>
      </c>
      <c r="B3876">
        <v>0</v>
      </c>
    </row>
    <row r="3877" spans="1:2" ht="12.5">
      <c r="A3877">
        <v>0</v>
      </c>
      <c r="B3877">
        <v>0</v>
      </c>
    </row>
    <row r="3878" spans="1:2" ht="12.5">
      <c r="A3878">
        <v>0</v>
      </c>
      <c r="B3878">
        <v>0</v>
      </c>
    </row>
    <row r="3879" spans="1:2" ht="12.5">
      <c r="A3879">
        <v>0</v>
      </c>
      <c r="B3879">
        <v>0</v>
      </c>
    </row>
    <row r="3880" spans="1:2" ht="12.5">
      <c r="A3880">
        <v>0</v>
      </c>
      <c r="B3880">
        <v>0</v>
      </c>
    </row>
    <row r="3881" spans="1:2" ht="12.5">
      <c r="A3881">
        <v>0</v>
      </c>
      <c r="B3881">
        <v>0</v>
      </c>
    </row>
    <row r="3882" spans="1:2" ht="12.5">
      <c r="A3882">
        <v>0</v>
      </c>
      <c r="B3882">
        <v>0</v>
      </c>
    </row>
    <row r="3883" spans="1:2" ht="12.5">
      <c r="A3883">
        <v>0</v>
      </c>
      <c r="B3883">
        <v>0</v>
      </c>
    </row>
    <row r="3884" spans="1:2" ht="12.5">
      <c r="A3884">
        <v>0</v>
      </c>
      <c r="B3884">
        <v>0</v>
      </c>
    </row>
    <row r="3885" spans="1:2" ht="12.5">
      <c r="A3885">
        <v>0</v>
      </c>
      <c r="B3885">
        <v>0</v>
      </c>
    </row>
    <row r="3886" spans="1:2" ht="12.5">
      <c r="A3886">
        <v>0</v>
      </c>
      <c r="B3886">
        <v>0</v>
      </c>
    </row>
    <row r="3887" spans="1:2" ht="12.5">
      <c r="A3887">
        <v>0</v>
      </c>
      <c r="B3887">
        <v>0</v>
      </c>
    </row>
    <row r="3888" spans="1:2" ht="12.5">
      <c r="A3888">
        <v>0</v>
      </c>
      <c r="B3888">
        <v>0</v>
      </c>
    </row>
    <row r="3889" spans="1:2" ht="12.5">
      <c r="A3889">
        <v>0</v>
      </c>
      <c r="B3889">
        <v>0</v>
      </c>
    </row>
    <row r="3890" spans="1:2" ht="12.5">
      <c r="A3890">
        <v>0</v>
      </c>
      <c r="B3890">
        <v>0</v>
      </c>
    </row>
    <row r="3891" spans="1:2" ht="12.5">
      <c r="A3891">
        <v>0</v>
      </c>
      <c r="B3891">
        <v>0</v>
      </c>
    </row>
    <row r="3892" spans="1:2" ht="12.5">
      <c r="A3892">
        <v>0</v>
      </c>
      <c r="B3892">
        <v>0</v>
      </c>
    </row>
    <row r="3893" spans="1:2" ht="12.5">
      <c r="A3893">
        <v>0</v>
      </c>
      <c r="B3893">
        <v>0</v>
      </c>
    </row>
    <row r="3894" spans="1:2" ht="12.5">
      <c r="A3894">
        <v>0</v>
      </c>
      <c r="B3894">
        <v>0</v>
      </c>
    </row>
    <row r="3895" spans="1:2" ht="12.5">
      <c r="A3895">
        <v>0</v>
      </c>
      <c r="B3895">
        <v>0</v>
      </c>
    </row>
    <row r="3896" spans="1:2" ht="12.5">
      <c r="A3896">
        <v>0</v>
      </c>
      <c r="B3896">
        <v>0</v>
      </c>
    </row>
    <row r="3897" spans="1:2" ht="12.5">
      <c r="A3897">
        <v>0</v>
      </c>
      <c r="B3897">
        <v>0</v>
      </c>
    </row>
    <row r="3898" spans="1:2" ht="12.5">
      <c r="A3898">
        <v>0</v>
      </c>
      <c r="B3898">
        <v>0</v>
      </c>
    </row>
    <row r="3899" spans="1:2" ht="12.5">
      <c r="A3899">
        <v>0</v>
      </c>
      <c r="B3899">
        <v>0</v>
      </c>
    </row>
    <row r="3900" spans="1:2" ht="12.5">
      <c r="A3900">
        <v>0</v>
      </c>
      <c r="B3900">
        <v>0</v>
      </c>
    </row>
    <row r="3901" spans="1:2" ht="12.5">
      <c r="A3901">
        <v>0</v>
      </c>
      <c r="B3901">
        <v>0</v>
      </c>
    </row>
    <row r="3902" spans="1:2" ht="12.5">
      <c r="A3902">
        <v>0</v>
      </c>
      <c r="B3902">
        <v>0</v>
      </c>
    </row>
    <row r="3903" spans="1:2" ht="12.5">
      <c r="A3903">
        <v>0</v>
      </c>
      <c r="B3903">
        <v>0</v>
      </c>
    </row>
    <row r="3904" spans="1:2" ht="12.5">
      <c r="A3904">
        <v>0</v>
      </c>
      <c r="B3904">
        <v>0</v>
      </c>
    </row>
    <row r="3905" spans="1:2" ht="12.5">
      <c r="A3905">
        <v>0</v>
      </c>
      <c r="B3905">
        <v>0</v>
      </c>
    </row>
    <row r="3906" spans="1:2" ht="12.5">
      <c r="A3906">
        <v>0</v>
      </c>
      <c r="B3906">
        <v>0</v>
      </c>
    </row>
    <row r="3907" spans="1:2" ht="12.5">
      <c r="A3907">
        <v>0</v>
      </c>
      <c r="B3907">
        <v>0</v>
      </c>
    </row>
    <row r="3908" spans="1:2" ht="12.5">
      <c r="A3908">
        <v>0</v>
      </c>
      <c r="B3908">
        <v>0</v>
      </c>
    </row>
    <row r="3909" spans="1:2" ht="12.5">
      <c r="A3909">
        <v>0</v>
      </c>
      <c r="B3909">
        <v>0</v>
      </c>
    </row>
    <row r="3910" spans="1:2" ht="12.5">
      <c r="A3910">
        <v>0</v>
      </c>
      <c r="B3910">
        <v>0</v>
      </c>
    </row>
    <row r="3911" spans="1:2" ht="12.5">
      <c r="A3911">
        <v>0</v>
      </c>
      <c r="B3911">
        <v>0</v>
      </c>
    </row>
    <row r="3912" spans="1:2" ht="12.5">
      <c r="A3912">
        <v>0</v>
      </c>
      <c r="B3912">
        <v>0</v>
      </c>
    </row>
    <row r="3913" spans="1:2" ht="12.5">
      <c r="A3913">
        <v>0</v>
      </c>
      <c r="B3913">
        <v>0</v>
      </c>
    </row>
    <row r="3914" spans="1:2" ht="12.5">
      <c r="A3914">
        <v>0</v>
      </c>
      <c r="B3914">
        <v>0</v>
      </c>
    </row>
    <row r="3915" spans="1:2" ht="12.5">
      <c r="A3915">
        <v>0</v>
      </c>
      <c r="B3915">
        <v>0</v>
      </c>
    </row>
    <row r="3916" spans="1:2" ht="12.5">
      <c r="A3916">
        <v>0</v>
      </c>
      <c r="B3916">
        <v>0</v>
      </c>
    </row>
    <row r="3917" spans="1:2" ht="12.5">
      <c r="A3917">
        <v>0</v>
      </c>
      <c r="B3917">
        <v>0</v>
      </c>
    </row>
    <row r="3918" spans="1:2" ht="12.5">
      <c r="A3918">
        <v>0</v>
      </c>
      <c r="B3918">
        <v>0</v>
      </c>
    </row>
    <row r="3919" spans="1:2" ht="12.5">
      <c r="A3919">
        <v>0</v>
      </c>
      <c r="B3919">
        <v>0</v>
      </c>
    </row>
    <row r="3920" spans="1:2" ht="12.5">
      <c r="A3920">
        <v>0</v>
      </c>
      <c r="B3920">
        <v>0</v>
      </c>
    </row>
    <row r="3921" spans="1:2" ht="12.5">
      <c r="A3921">
        <v>0</v>
      </c>
      <c r="B3921">
        <v>0</v>
      </c>
    </row>
    <row r="3922" spans="1:2" ht="12.5">
      <c r="A3922">
        <v>0</v>
      </c>
      <c r="B3922">
        <v>0</v>
      </c>
    </row>
    <row r="3923" spans="1:2" ht="12.5">
      <c r="A3923">
        <v>0</v>
      </c>
      <c r="B3923">
        <v>0</v>
      </c>
    </row>
    <row r="3924" spans="1:2" ht="12.5">
      <c r="A3924">
        <v>0</v>
      </c>
      <c r="B3924">
        <v>0</v>
      </c>
    </row>
    <row r="3925" spans="1:2" ht="12.5">
      <c r="A3925">
        <v>0</v>
      </c>
      <c r="B3925">
        <v>0</v>
      </c>
    </row>
    <row r="3926" spans="1:2" ht="12.5">
      <c r="A3926">
        <v>0</v>
      </c>
      <c r="B3926">
        <v>0</v>
      </c>
    </row>
    <row r="3927" spans="1:2" ht="12.5">
      <c r="A3927">
        <v>0</v>
      </c>
      <c r="B3927">
        <v>0</v>
      </c>
    </row>
    <row r="3928" spans="1:2" ht="12.5">
      <c r="A3928">
        <v>0</v>
      </c>
      <c r="B3928">
        <v>0</v>
      </c>
    </row>
    <row r="3929" spans="1:2" ht="12.5">
      <c r="A3929">
        <v>0</v>
      </c>
      <c r="B3929">
        <v>0</v>
      </c>
    </row>
    <row r="3930" spans="1:2" ht="12.5">
      <c r="A3930">
        <v>0</v>
      </c>
      <c r="B3930">
        <v>0</v>
      </c>
    </row>
    <row r="3931" spans="1:2" ht="12.5">
      <c r="A3931">
        <v>0</v>
      </c>
      <c r="B3931">
        <v>0</v>
      </c>
    </row>
    <row r="3932" spans="1:2" ht="12.5">
      <c r="A3932">
        <v>0</v>
      </c>
      <c r="B3932">
        <v>0</v>
      </c>
    </row>
    <row r="3933" spans="1:2" ht="12.5">
      <c r="A3933">
        <v>0</v>
      </c>
      <c r="B3933">
        <v>0</v>
      </c>
    </row>
    <row r="3934" spans="1:2" ht="12.5">
      <c r="A3934">
        <v>0</v>
      </c>
      <c r="B3934">
        <v>0</v>
      </c>
    </row>
    <row r="3935" spans="1:2" ht="12.5">
      <c r="A3935">
        <v>0</v>
      </c>
      <c r="B3935">
        <v>0</v>
      </c>
    </row>
    <row r="3936" spans="1:2" ht="12.5">
      <c r="A3936">
        <v>0</v>
      </c>
      <c r="B3936">
        <v>0</v>
      </c>
    </row>
    <row r="3937" spans="1:2" ht="12.5">
      <c r="A3937">
        <v>0</v>
      </c>
      <c r="B3937">
        <v>0</v>
      </c>
    </row>
    <row r="3938" spans="1:2" ht="12.5">
      <c r="A3938">
        <v>0</v>
      </c>
      <c r="B3938">
        <v>0</v>
      </c>
    </row>
    <row r="3939" spans="1:2" ht="12.5">
      <c r="A3939">
        <v>0</v>
      </c>
      <c r="B3939">
        <v>0</v>
      </c>
    </row>
    <row r="3940" spans="1:2" ht="12.5">
      <c r="A3940">
        <v>0</v>
      </c>
      <c r="B3940">
        <v>0</v>
      </c>
    </row>
    <row r="3941" spans="1:2" ht="12.5">
      <c r="A3941">
        <v>0</v>
      </c>
      <c r="B3941">
        <v>0</v>
      </c>
    </row>
    <row r="3942" spans="1:2" ht="12.5">
      <c r="A3942">
        <v>0</v>
      </c>
      <c r="B3942">
        <v>0</v>
      </c>
    </row>
    <row r="3943" spans="1:2" ht="12.5">
      <c r="A3943">
        <v>0</v>
      </c>
      <c r="B3943">
        <v>0</v>
      </c>
    </row>
    <row r="3944" spans="1:2" ht="12.5">
      <c r="A3944">
        <v>0</v>
      </c>
      <c r="B3944">
        <v>0</v>
      </c>
    </row>
    <row r="3945" spans="1:2" ht="12.5">
      <c r="A3945">
        <v>0</v>
      </c>
      <c r="B3945">
        <v>0</v>
      </c>
    </row>
    <row r="3946" spans="1:2" ht="12.5">
      <c r="A3946">
        <v>0</v>
      </c>
      <c r="B3946">
        <v>0</v>
      </c>
    </row>
    <row r="3947" spans="1:2" ht="12.5">
      <c r="A3947">
        <v>0</v>
      </c>
      <c r="B3947">
        <v>0</v>
      </c>
    </row>
    <row r="3948" spans="1:2" ht="12.5">
      <c r="A3948">
        <v>0</v>
      </c>
      <c r="B3948">
        <v>0</v>
      </c>
    </row>
    <row r="3949" spans="1:2" ht="12.5">
      <c r="A3949">
        <v>0</v>
      </c>
      <c r="B3949">
        <v>0</v>
      </c>
    </row>
    <row r="3950" spans="1:2" ht="12.5">
      <c r="A3950">
        <v>0</v>
      </c>
      <c r="B3950">
        <v>0</v>
      </c>
    </row>
    <row r="3951" spans="1:2" ht="12.5">
      <c r="A3951">
        <v>0</v>
      </c>
      <c r="B3951">
        <v>0</v>
      </c>
    </row>
    <row r="3952" spans="1:2" ht="12.5">
      <c r="A3952">
        <v>0</v>
      </c>
      <c r="B3952">
        <v>0</v>
      </c>
    </row>
    <row r="3953" spans="1:2" ht="12.5">
      <c r="A3953">
        <v>0</v>
      </c>
      <c r="B3953">
        <v>0</v>
      </c>
    </row>
    <row r="3954" spans="1:2" ht="12.5">
      <c r="A3954">
        <v>0</v>
      </c>
      <c r="B3954">
        <v>0</v>
      </c>
    </row>
    <row r="3955" spans="1:2" ht="12.5">
      <c r="A3955">
        <v>0</v>
      </c>
      <c r="B3955">
        <v>0</v>
      </c>
    </row>
    <row r="3956" spans="1:2" ht="12.5">
      <c r="A3956">
        <v>0</v>
      </c>
      <c r="B3956">
        <v>0</v>
      </c>
    </row>
    <row r="3957" spans="1:2" ht="12.5">
      <c r="A3957">
        <v>0</v>
      </c>
      <c r="B3957">
        <v>0</v>
      </c>
    </row>
    <row r="3958" spans="1:2" ht="12.5">
      <c r="A3958">
        <v>0</v>
      </c>
      <c r="B3958">
        <v>0</v>
      </c>
    </row>
    <row r="3959" spans="1:2" ht="12.5">
      <c r="A3959">
        <v>0</v>
      </c>
      <c r="B3959">
        <v>0</v>
      </c>
    </row>
    <row r="3960" spans="1:2" ht="12.5">
      <c r="A3960">
        <v>0</v>
      </c>
      <c r="B3960">
        <v>0</v>
      </c>
    </row>
    <row r="3961" spans="1:2" ht="12.5">
      <c r="A3961">
        <v>0</v>
      </c>
      <c r="B3961">
        <v>0</v>
      </c>
    </row>
    <row r="3962" spans="1:2" ht="12.5">
      <c r="A3962">
        <v>0</v>
      </c>
      <c r="B3962">
        <v>0</v>
      </c>
    </row>
    <row r="3963" spans="1:2" ht="12.5">
      <c r="A3963">
        <v>0</v>
      </c>
      <c r="B3963">
        <v>0</v>
      </c>
    </row>
    <row r="3964" spans="1:2" ht="12.5">
      <c r="A3964">
        <v>0</v>
      </c>
      <c r="B3964">
        <v>0</v>
      </c>
    </row>
    <row r="3965" spans="1:2" ht="12.5">
      <c r="A3965">
        <v>0</v>
      </c>
      <c r="B3965">
        <v>0</v>
      </c>
    </row>
    <row r="3966" spans="1:2" ht="12.5">
      <c r="A3966">
        <v>0</v>
      </c>
      <c r="B3966">
        <v>0</v>
      </c>
    </row>
    <row r="3967" spans="1:2" ht="12.5">
      <c r="A3967">
        <v>0</v>
      </c>
      <c r="B3967">
        <v>0</v>
      </c>
    </row>
    <row r="3968" spans="1:2" ht="12.5">
      <c r="A3968">
        <v>0</v>
      </c>
      <c r="B3968">
        <v>0</v>
      </c>
    </row>
    <row r="3969" spans="1:2" ht="12.5">
      <c r="A3969">
        <v>0</v>
      </c>
      <c r="B3969">
        <v>0</v>
      </c>
    </row>
    <row r="3970" spans="1:2" ht="12.5">
      <c r="A3970">
        <v>0</v>
      </c>
      <c r="B3970">
        <v>0</v>
      </c>
    </row>
    <row r="3971" spans="1:2" ht="12.5">
      <c r="A3971">
        <v>0</v>
      </c>
      <c r="B3971">
        <v>0</v>
      </c>
    </row>
    <row r="3972" spans="1:2" ht="12.5">
      <c r="A3972">
        <v>0</v>
      </c>
      <c r="B3972">
        <v>0</v>
      </c>
    </row>
    <row r="3973" spans="1:2" ht="12.5">
      <c r="A3973">
        <v>0</v>
      </c>
      <c r="B3973">
        <v>0</v>
      </c>
    </row>
    <row r="3974" spans="1:2" ht="12.5">
      <c r="A3974">
        <v>0</v>
      </c>
      <c r="B3974">
        <v>0</v>
      </c>
    </row>
    <row r="3975" spans="1:2" ht="12.5">
      <c r="A3975">
        <v>0</v>
      </c>
      <c r="B3975">
        <v>0</v>
      </c>
    </row>
    <row r="3976" spans="1:2" ht="12.5">
      <c r="A3976">
        <v>0</v>
      </c>
      <c r="B3976">
        <v>0</v>
      </c>
    </row>
    <row r="3977" spans="1:2" ht="12.5">
      <c r="A3977">
        <v>0</v>
      </c>
      <c r="B3977">
        <v>0</v>
      </c>
    </row>
    <row r="3978" spans="1:2" ht="12.5">
      <c r="A3978">
        <v>0</v>
      </c>
      <c r="B3978">
        <v>0</v>
      </c>
    </row>
    <row r="3979" spans="1:2" ht="12.5">
      <c r="A3979">
        <v>0</v>
      </c>
      <c r="B3979">
        <v>0</v>
      </c>
    </row>
    <row r="3980" spans="1:2" ht="12.5">
      <c r="A3980">
        <v>0</v>
      </c>
      <c r="B3980">
        <v>0</v>
      </c>
    </row>
    <row r="3981" spans="1:2" ht="12.5">
      <c r="A3981">
        <v>0</v>
      </c>
      <c r="B3981">
        <v>0</v>
      </c>
    </row>
    <row r="3982" spans="1:2" ht="12.5">
      <c r="A3982">
        <v>0</v>
      </c>
      <c r="B3982">
        <v>0</v>
      </c>
    </row>
    <row r="3983" spans="1:2" ht="12.5">
      <c r="A3983">
        <v>0</v>
      </c>
      <c r="B3983">
        <v>0</v>
      </c>
    </row>
    <row r="3984" spans="1:2" ht="12.5">
      <c r="A3984">
        <v>0</v>
      </c>
      <c r="B3984">
        <v>0</v>
      </c>
    </row>
    <row r="3985" spans="1:2" ht="12.5">
      <c r="A3985">
        <v>0</v>
      </c>
      <c r="B3985">
        <v>0</v>
      </c>
    </row>
    <row r="3986" spans="1:2" ht="12.5">
      <c r="A3986">
        <v>0</v>
      </c>
      <c r="B3986">
        <v>0</v>
      </c>
    </row>
    <row r="3987" spans="1:2" ht="12.5">
      <c r="A3987">
        <v>0</v>
      </c>
      <c r="B3987">
        <v>0</v>
      </c>
    </row>
    <row r="3988" spans="1:2" ht="12.5">
      <c r="A3988">
        <v>0</v>
      </c>
      <c r="B3988">
        <v>0</v>
      </c>
    </row>
    <row r="3989" spans="1:2" ht="12.5">
      <c r="A3989">
        <v>0</v>
      </c>
      <c r="B3989">
        <v>0</v>
      </c>
    </row>
    <row r="3990" spans="1:2" ht="12.5">
      <c r="A3990">
        <v>0</v>
      </c>
      <c r="B3990">
        <v>0</v>
      </c>
    </row>
    <row r="3991" spans="1:2" ht="12.5">
      <c r="A3991">
        <v>0</v>
      </c>
      <c r="B3991">
        <v>0</v>
      </c>
    </row>
    <row r="3992" spans="1:2" ht="12.5">
      <c r="A3992">
        <v>0</v>
      </c>
      <c r="B3992">
        <v>0</v>
      </c>
    </row>
    <row r="3993" spans="1:2" ht="12.5">
      <c r="A3993">
        <v>0</v>
      </c>
      <c r="B3993">
        <v>0</v>
      </c>
    </row>
    <row r="3994" spans="1:2" ht="12.5">
      <c r="A3994">
        <v>0</v>
      </c>
      <c r="B3994">
        <v>0</v>
      </c>
    </row>
    <row r="3995" spans="1:2" ht="12.5">
      <c r="A3995">
        <v>0</v>
      </c>
      <c r="B3995">
        <v>0</v>
      </c>
    </row>
    <row r="3996" spans="1:2" ht="12.5">
      <c r="A3996">
        <v>0</v>
      </c>
      <c r="B3996">
        <v>0</v>
      </c>
    </row>
    <row r="3997" spans="1:2" ht="12.5">
      <c r="A3997">
        <v>0</v>
      </c>
      <c r="B3997">
        <v>0</v>
      </c>
    </row>
    <row r="3998" spans="1:2" ht="12.5">
      <c r="A3998">
        <v>0</v>
      </c>
      <c r="B3998">
        <v>0</v>
      </c>
    </row>
    <row r="3999" spans="1:2" ht="12.5">
      <c r="A3999">
        <v>0</v>
      </c>
      <c r="B3999">
        <v>0</v>
      </c>
    </row>
    <row r="4000" spans="1:2" ht="12.5">
      <c r="A4000">
        <v>0</v>
      </c>
      <c r="B4000">
        <v>0</v>
      </c>
    </row>
    <row r="4001" spans="1:2" ht="12.5">
      <c r="A4001">
        <v>0</v>
      </c>
      <c r="B4001">
        <v>0</v>
      </c>
    </row>
    <row r="4002" spans="1:2" ht="12.5">
      <c r="A4002">
        <v>0</v>
      </c>
      <c r="B4002">
        <v>0</v>
      </c>
    </row>
    <row r="4003" spans="1:2" ht="12.5">
      <c r="A4003">
        <v>0</v>
      </c>
      <c r="B4003">
        <v>0</v>
      </c>
    </row>
    <row r="4004" spans="1:2" ht="12.5">
      <c r="A4004">
        <v>0</v>
      </c>
      <c r="B4004">
        <v>0</v>
      </c>
    </row>
    <row r="4005" spans="1:2" ht="12.5">
      <c r="A4005">
        <v>0</v>
      </c>
      <c r="B4005">
        <v>0</v>
      </c>
    </row>
    <row r="4006" spans="1:2" ht="12.5">
      <c r="A4006">
        <v>0</v>
      </c>
      <c r="B4006">
        <v>0</v>
      </c>
    </row>
    <row r="4007" spans="1:2" ht="12.5">
      <c r="A4007">
        <v>0</v>
      </c>
      <c r="B4007">
        <v>0</v>
      </c>
    </row>
    <row r="4008" spans="1:2" ht="12.5">
      <c r="A4008">
        <v>0</v>
      </c>
      <c r="B4008">
        <v>0</v>
      </c>
    </row>
    <row r="4009" spans="1:2" ht="12.5">
      <c r="A4009">
        <v>0</v>
      </c>
      <c r="B4009">
        <v>0</v>
      </c>
    </row>
    <row r="4010" spans="1:2" ht="12.5">
      <c r="A4010">
        <v>0</v>
      </c>
      <c r="B4010">
        <v>0</v>
      </c>
    </row>
    <row r="4011" spans="1:2" ht="12.5">
      <c r="A4011">
        <v>0</v>
      </c>
      <c r="B4011">
        <v>0</v>
      </c>
    </row>
    <row r="4012" spans="1:2" ht="12.5">
      <c r="A4012">
        <v>0</v>
      </c>
      <c r="B4012">
        <v>0</v>
      </c>
    </row>
    <row r="4013" spans="1:2" ht="12.5">
      <c r="A4013">
        <v>0</v>
      </c>
      <c r="B4013">
        <v>0</v>
      </c>
    </row>
    <row r="4014" spans="1:2" ht="12.5">
      <c r="A4014">
        <v>0</v>
      </c>
      <c r="B4014">
        <v>0</v>
      </c>
    </row>
    <row r="4015" spans="1:2" ht="12.5">
      <c r="A4015">
        <v>0</v>
      </c>
      <c r="B4015">
        <v>0</v>
      </c>
    </row>
    <row r="4016" spans="1:2" ht="12.5">
      <c r="A4016">
        <v>0</v>
      </c>
      <c r="B4016">
        <v>0</v>
      </c>
    </row>
    <row r="4017" spans="1:2" ht="12.5">
      <c r="A4017">
        <v>0</v>
      </c>
      <c r="B4017">
        <v>0</v>
      </c>
    </row>
    <row r="4018" spans="1:2" ht="12.5">
      <c r="A4018">
        <v>0</v>
      </c>
      <c r="B4018">
        <v>0</v>
      </c>
    </row>
    <row r="4019" spans="1:2" ht="12.5">
      <c r="A4019">
        <v>0</v>
      </c>
      <c r="B4019">
        <v>0</v>
      </c>
    </row>
    <row r="4020" spans="1:2" ht="12.5">
      <c r="A4020">
        <v>0</v>
      </c>
      <c r="B4020">
        <v>0</v>
      </c>
    </row>
    <row r="4021" spans="1:2" ht="12.5">
      <c r="A4021">
        <v>0</v>
      </c>
      <c r="B4021">
        <v>0</v>
      </c>
    </row>
    <row r="4022" spans="1:2" ht="12.5">
      <c r="A4022">
        <v>0</v>
      </c>
      <c r="B4022">
        <v>0</v>
      </c>
    </row>
    <row r="4023" spans="1:2" ht="12.5">
      <c r="A4023">
        <v>0</v>
      </c>
      <c r="B4023">
        <v>0</v>
      </c>
    </row>
    <row r="4024" spans="1:2" ht="12.5">
      <c r="A4024">
        <v>0</v>
      </c>
      <c r="B4024">
        <v>0</v>
      </c>
    </row>
    <row r="4025" spans="1:2" ht="12.5">
      <c r="A4025">
        <v>0</v>
      </c>
      <c r="B4025">
        <v>0</v>
      </c>
    </row>
    <row r="4026" spans="1:2" ht="12.5">
      <c r="A4026">
        <v>0</v>
      </c>
      <c r="B4026">
        <v>0</v>
      </c>
    </row>
    <row r="4027" spans="1:2" ht="12.5">
      <c r="A4027">
        <v>0</v>
      </c>
      <c r="B4027">
        <v>0</v>
      </c>
    </row>
    <row r="4028" spans="1:2" ht="12.5">
      <c r="A4028">
        <v>0</v>
      </c>
      <c r="B4028">
        <v>0</v>
      </c>
    </row>
    <row r="4029" spans="1:2" ht="12.5">
      <c r="A4029">
        <v>0</v>
      </c>
      <c r="B4029">
        <v>0</v>
      </c>
    </row>
    <row r="4030" spans="1:2" ht="12.5">
      <c r="A4030">
        <v>0</v>
      </c>
      <c r="B4030">
        <v>0</v>
      </c>
    </row>
    <row r="4031" spans="1:2" ht="12.5">
      <c r="A4031">
        <v>0</v>
      </c>
      <c r="B4031">
        <v>0</v>
      </c>
    </row>
    <row r="4032" spans="1:2" ht="12.5">
      <c r="A4032">
        <v>0</v>
      </c>
      <c r="B4032">
        <v>0</v>
      </c>
    </row>
    <row r="4033" spans="1:2" ht="12.5">
      <c r="A4033">
        <v>0</v>
      </c>
      <c r="B4033">
        <v>0</v>
      </c>
    </row>
    <row r="4034" spans="1:2" ht="12.5">
      <c r="A4034">
        <v>0</v>
      </c>
      <c r="B4034">
        <v>0</v>
      </c>
    </row>
    <row r="4035" spans="1:2" ht="12.5">
      <c r="A4035">
        <v>0</v>
      </c>
      <c r="B4035">
        <v>0</v>
      </c>
    </row>
    <row r="4036" spans="1:2" ht="12.5">
      <c r="A4036">
        <v>0</v>
      </c>
      <c r="B4036">
        <v>0</v>
      </c>
    </row>
    <row r="4037" spans="1:2" ht="12.5">
      <c r="A4037">
        <v>0</v>
      </c>
      <c r="B4037">
        <v>0</v>
      </c>
    </row>
    <row r="4038" spans="1:2" ht="12.5">
      <c r="A4038">
        <v>0</v>
      </c>
      <c r="B4038">
        <v>0</v>
      </c>
    </row>
    <row r="4039" spans="1:2" ht="12.5">
      <c r="A4039">
        <v>0</v>
      </c>
      <c r="B4039">
        <v>0</v>
      </c>
    </row>
    <row r="4040" spans="1:2" ht="12.5">
      <c r="A4040">
        <v>0</v>
      </c>
      <c r="B4040">
        <v>0</v>
      </c>
    </row>
    <row r="4041" spans="1:2" ht="12.5">
      <c r="A4041">
        <v>0</v>
      </c>
      <c r="B4041">
        <v>0</v>
      </c>
    </row>
    <row r="4042" spans="1:2" ht="12.5">
      <c r="A4042">
        <v>0</v>
      </c>
      <c r="B4042">
        <v>0</v>
      </c>
    </row>
    <row r="4043" spans="1:2" ht="12.5">
      <c r="A4043">
        <v>0</v>
      </c>
      <c r="B4043">
        <v>0</v>
      </c>
    </row>
    <row r="4044" spans="1:2" ht="12.5">
      <c r="A4044">
        <v>0</v>
      </c>
      <c r="B4044">
        <v>0</v>
      </c>
    </row>
    <row r="4045" spans="1:2" ht="12.5">
      <c r="A4045">
        <v>0</v>
      </c>
      <c r="B4045">
        <v>0</v>
      </c>
    </row>
    <row r="4046" spans="1:2" ht="12.5">
      <c r="A4046">
        <v>0</v>
      </c>
      <c r="B4046">
        <v>0</v>
      </c>
    </row>
    <row r="4047" spans="1:2" ht="12.5">
      <c r="A4047">
        <v>0</v>
      </c>
      <c r="B4047">
        <v>0</v>
      </c>
    </row>
    <row r="4048" spans="1:2" ht="12.5">
      <c r="A4048">
        <v>0</v>
      </c>
      <c r="B4048">
        <v>0</v>
      </c>
    </row>
    <row r="4049" spans="1:2" ht="12.5">
      <c r="A4049">
        <v>0</v>
      </c>
      <c r="B4049">
        <v>0</v>
      </c>
    </row>
    <row r="4050" spans="1:2" ht="12.5">
      <c r="A4050">
        <v>0</v>
      </c>
      <c r="B4050">
        <v>0</v>
      </c>
    </row>
    <row r="4051" spans="1:2" ht="12.5">
      <c r="A4051">
        <v>0</v>
      </c>
      <c r="B4051">
        <v>0</v>
      </c>
    </row>
    <row r="4052" spans="1:2" ht="12.5">
      <c r="A4052">
        <v>0</v>
      </c>
      <c r="B4052">
        <v>0</v>
      </c>
    </row>
    <row r="4053" spans="1:2" ht="12.5">
      <c r="A4053">
        <v>0</v>
      </c>
      <c r="B4053">
        <v>0</v>
      </c>
    </row>
    <row r="4054" spans="1:2" ht="12.5">
      <c r="A4054">
        <v>0</v>
      </c>
      <c r="B4054">
        <v>0</v>
      </c>
    </row>
    <row r="4055" spans="1:2" ht="12.5">
      <c r="A4055">
        <v>0</v>
      </c>
      <c r="B4055">
        <v>0</v>
      </c>
    </row>
    <row r="4056" spans="1:2" ht="12.5">
      <c r="A4056">
        <v>0</v>
      </c>
      <c r="B4056">
        <v>0</v>
      </c>
    </row>
    <row r="4057" spans="1:2" ht="12.5">
      <c r="A4057">
        <v>0</v>
      </c>
      <c r="B4057">
        <v>0</v>
      </c>
    </row>
    <row r="4058" spans="1:2" ht="12.5">
      <c r="A4058">
        <v>0</v>
      </c>
      <c r="B4058">
        <v>0</v>
      </c>
    </row>
    <row r="4059" spans="1:2" ht="12.5">
      <c r="A4059">
        <v>0</v>
      </c>
      <c r="B4059">
        <v>0</v>
      </c>
    </row>
    <row r="4060" spans="1:2" ht="12.5">
      <c r="A4060">
        <v>0</v>
      </c>
      <c r="B4060">
        <v>0</v>
      </c>
    </row>
    <row r="4061" spans="1:2" ht="12.5">
      <c r="A4061">
        <v>0</v>
      </c>
      <c r="B4061">
        <v>0</v>
      </c>
    </row>
    <row r="4062" spans="1:2" ht="12.5">
      <c r="A4062">
        <v>0</v>
      </c>
      <c r="B4062">
        <v>0</v>
      </c>
    </row>
    <row r="4063" spans="1:2" ht="12.5">
      <c r="A4063">
        <v>0</v>
      </c>
      <c r="B4063">
        <v>0</v>
      </c>
    </row>
    <row r="4064" spans="1:2" ht="12.5">
      <c r="A4064">
        <v>0</v>
      </c>
      <c r="B4064">
        <v>0</v>
      </c>
    </row>
    <row r="4065" spans="1:2" ht="12.5">
      <c r="A4065">
        <v>0</v>
      </c>
      <c r="B4065">
        <v>0</v>
      </c>
    </row>
    <row r="4066" spans="1:2" ht="12.5">
      <c r="A4066">
        <v>0</v>
      </c>
      <c r="B4066">
        <v>0</v>
      </c>
    </row>
    <row r="4067" spans="1:2" ht="12.5">
      <c r="A4067">
        <v>0</v>
      </c>
      <c r="B4067">
        <v>0</v>
      </c>
    </row>
    <row r="4068" spans="1:2" ht="12.5">
      <c r="A4068">
        <v>0</v>
      </c>
      <c r="B4068">
        <v>0</v>
      </c>
    </row>
    <row r="4069" spans="1:2" ht="12.5">
      <c r="A4069">
        <v>0</v>
      </c>
      <c r="B4069">
        <v>0</v>
      </c>
    </row>
    <row r="4070" spans="1:2" ht="12.5">
      <c r="A4070">
        <v>0</v>
      </c>
      <c r="B4070">
        <v>0</v>
      </c>
    </row>
    <row r="4071" spans="1:2" ht="12.5">
      <c r="A4071">
        <v>0</v>
      </c>
      <c r="B4071">
        <v>0</v>
      </c>
    </row>
    <row r="4072" spans="1:2" ht="12.5">
      <c r="A4072">
        <v>0</v>
      </c>
      <c r="B4072">
        <v>0</v>
      </c>
    </row>
    <row r="4073" spans="1:2" ht="12.5">
      <c r="A4073">
        <v>0</v>
      </c>
      <c r="B4073">
        <v>0</v>
      </c>
    </row>
    <row r="4074" spans="1:2" ht="12.5">
      <c r="A4074">
        <v>0</v>
      </c>
      <c r="B4074">
        <v>0</v>
      </c>
    </row>
    <row r="4075" spans="1:2" ht="12.5">
      <c r="A4075">
        <v>0</v>
      </c>
      <c r="B4075">
        <v>0</v>
      </c>
    </row>
    <row r="4076" spans="1:2" ht="12.5">
      <c r="A4076">
        <v>0</v>
      </c>
      <c r="B4076">
        <v>0</v>
      </c>
    </row>
    <row r="4077" spans="1:2" ht="12.5">
      <c r="A4077">
        <v>0</v>
      </c>
      <c r="B4077">
        <v>0</v>
      </c>
    </row>
    <row r="4078" spans="1:2" ht="12.5">
      <c r="A4078">
        <v>0</v>
      </c>
      <c r="B4078">
        <v>0</v>
      </c>
    </row>
    <row r="4079" spans="1:2" ht="12.5">
      <c r="A4079">
        <v>0</v>
      </c>
      <c r="B4079">
        <v>0</v>
      </c>
    </row>
    <row r="4080" spans="1:2" ht="12.5">
      <c r="A4080">
        <v>0</v>
      </c>
      <c r="B4080">
        <v>0</v>
      </c>
    </row>
    <row r="4081" spans="1:2" ht="12.5">
      <c r="A4081">
        <v>0</v>
      </c>
      <c r="B4081">
        <v>0</v>
      </c>
    </row>
    <row r="4082" spans="1:2" ht="12.5">
      <c r="A4082">
        <v>0</v>
      </c>
      <c r="B4082">
        <v>0</v>
      </c>
    </row>
    <row r="4083" spans="1:2" ht="12.5">
      <c r="A4083">
        <v>0</v>
      </c>
      <c r="B4083">
        <v>0</v>
      </c>
    </row>
    <row r="4084" spans="1:2" ht="12.5">
      <c r="A4084">
        <v>0</v>
      </c>
      <c r="B4084">
        <v>0</v>
      </c>
    </row>
    <row r="4085" spans="1:2" ht="12.5">
      <c r="A4085">
        <v>0</v>
      </c>
      <c r="B4085">
        <v>0</v>
      </c>
    </row>
    <row r="4086" spans="1:2" ht="12.5">
      <c r="A4086">
        <v>0</v>
      </c>
      <c r="B4086">
        <v>0</v>
      </c>
    </row>
    <row r="4087" spans="1:2" ht="12.5">
      <c r="A4087">
        <v>0</v>
      </c>
      <c r="B4087">
        <v>0</v>
      </c>
    </row>
    <row r="4088" spans="1:2" ht="12.5">
      <c r="A4088">
        <v>0</v>
      </c>
      <c r="B4088">
        <v>0</v>
      </c>
    </row>
    <row r="4089" spans="1:2" ht="12.5">
      <c r="A4089">
        <v>0</v>
      </c>
      <c r="B4089">
        <v>0</v>
      </c>
    </row>
    <row r="4090" spans="1:2" ht="12.5">
      <c r="A4090">
        <v>0</v>
      </c>
      <c r="B4090">
        <v>0</v>
      </c>
    </row>
    <row r="4091" spans="1:2" ht="12.5">
      <c r="A4091">
        <v>0</v>
      </c>
      <c r="B4091">
        <v>0</v>
      </c>
    </row>
    <row r="4092" spans="1:2" ht="12.5">
      <c r="A4092">
        <v>0</v>
      </c>
      <c r="B4092">
        <v>0</v>
      </c>
    </row>
    <row r="4093" spans="1:2" ht="12.5">
      <c r="A4093">
        <v>0</v>
      </c>
      <c r="B4093">
        <v>0</v>
      </c>
    </row>
    <row r="4094" spans="1:2" ht="12.5">
      <c r="A4094">
        <v>0</v>
      </c>
      <c r="B4094">
        <v>0</v>
      </c>
    </row>
    <row r="4095" spans="1:2" ht="12.5">
      <c r="A4095">
        <v>0</v>
      </c>
      <c r="B4095">
        <v>0</v>
      </c>
    </row>
    <row r="4096" spans="1:2" ht="12.5">
      <c r="A4096">
        <v>0</v>
      </c>
      <c r="B4096">
        <v>0</v>
      </c>
    </row>
    <row r="4097" spans="1:2" ht="12.5">
      <c r="A4097">
        <v>0</v>
      </c>
      <c r="B4097">
        <v>0</v>
      </c>
    </row>
    <row r="4098" spans="1:2" ht="12.5">
      <c r="A4098">
        <v>0</v>
      </c>
      <c r="B4098">
        <v>0</v>
      </c>
    </row>
    <row r="4099" spans="1:2" ht="12.5">
      <c r="A4099">
        <v>0</v>
      </c>
      <c r="B4099">
        <v>0</v>
      </c>
    </row>
    <row r="4100" spans="1:2" ht="12.5">
      <c r="A4100">
        <v>0</v>
      </c>
      <c r="B4100">
        <v>0</v>
      </c>
    </row>
    <row r="4101" spans="1:2" ht="12.5">
      <c r="A4101">
        <v>0</v>
      </c>
      <c r="B4101">
        <v>0</v>
      </c>
    </row>
    <row r="4102" spans="1:2" ht="12.5">
      <c r="A4102">
        <v>0</v>
      </c>
      <c r="B4102">
        <v>0</v>
      </c>
    </row>
    <row r="4103" spans="1:2" ht="12.5">
      <c r="A4103">
        <v>0</v>
      </c>
      <c r="B4103">
        <v>0</v>
      </c>
    </row>
    <row r="4104" spans="1:2" ht="12.5">
      <c r="A4104">
        <v>0</v>
      </c>
      <c r="B4104">
        <v>0</v>
      </c>
    </row>
    <row r="4105" spans="1:2" ht="12.5">
      <c r="A4105">
        <v>0</v>
      </c>
      <c r="B4105">
        <v>0</v>
      </c>
    </row>
    <row r="4106" spans="1:2" ht="12.5">
      <c r="A4106">
        <v>0</v>
      </c>
      <c r="B4106">
        <v>0</v>
      </c>
    </row>
    <row r="4107" spans="1:2" ht="12.5">
      <c r="A4107">
        <v>0</v>
      </c>
      <c r="B4107">
        <v>0</v>
      </c>
    </row>
    <row r="4108" spans="1:2" ht="12.5">
      <c r="A4108">
        <v>0</v>
      </c>
      <c r="B4108">
        <v>0</v>
      </c>
    </row>
    <row r="4109" spans="1:2" ht="12.5">
      <c r="A4109">
        <v>0</v>
      </c>
      <c r="B4109">
        <v>0</v>
      </c>
    </row>
    <row r="4110" spans="1:2" ht="12.5">
      <c r="A4110">
        <v>0</v>
      </c>
      <c r="B4110">
        <v>0</v>
      </c>
    </row>
    <row r="4111" spans="1:2" ht="12.5">
      <c r="A4111">
        <v>0</v>
      </c>
      <c r="B4111">
        <v>0</v>
      </c>
    </row>
    <row r="4112" spans="1:2" ht="12.5">
      <c r="A4112">
        <v>0</v>
      </c>
      <c r="B4112">
        <v>0</v>
      </c>
    </row>
    <row r="4113" spans="1:2" ht="12.5">
      <c r="A4113">
        <v>0</v>
      </c>
      <c r="B4113">
        <v>0</v>
      </c>
    </row>
    <row r="4114" spans="1:2" ht="12.5">
      <c r="A4114">
        <v>0</v>
      </c>
      <c r="B4114">
        <v>0</v>
      </c>
    </row>
    <row r="4115" spans="1:2" ht="12.5">
      <c r="A4115">
        <v>0</v>
      </c>
      <c r="B4115">
        <v>0</v>
      </c>
    </row>
    <row r="4116" spans="1:2" ht="12.5">
      <c r="A4116">
        <v>0</v>
      </c>
      <c r="B4116">
        <v>0</v>
      </c>
    </row>
    <row r="4117" spans="1:2" ht="12.5">
      <c r="A4117">
        <v>0</v>
      </c>
      <c r="B4117">
        <v>0</v>
      </c>
    </row>
    <row r="4118" spans="1:2" ht="12.5">
      <c r="A4118">
        <v>0</v>
      </c>
      <c r="B4118">
        <v>0</v>
      </c>
    </row>
    <row r="4119" spans="1:2" ht="12.5">
      <c r="A4119">
        <v>0</v>
      </c>
      <c r="B4119">
        <v>0</v>
      </c>
    </row>
    <row r="4120" spans="1:2" ht="12.5">
      <c r="A4120">
        <v>0</v>
      </c>
      <c r="B4120">
        <v>0</v>
      </c>
    </row>
    <row r="4121" spans="1:2" ht="12.5">
      <c r="A4121">
        <v>0</v>
      </c>
      <c r="B4121">
        <v>0</v>
      </c>
    </row>
    <row r="4122" spans="1:2" ht="12.5">
      <c r="A4122">
        <v>0</v>
      </c>
      <c r="B4122">
        <v>0</v>
      </c>
    </row>
    <row r="4123" spans="1:2" ht="12.5">
      <c r="A4123">
        <v>0</v>
      </c>
      <c r="B4123">
        <v>0</v>
      </c>
    </row>
    <row r="4124" spans="1:2" ht="12.5">
      <c r="A4124">
        <v>0</v>
      </c>
      <c r="B4124">
        <v>0</v>
      </c>
    </row>
    <row r="4125" spans="1:2" ht="12.5">
      <c r="A4125">
        <v>0</v>
      </c>
      <c r="B4125">
        <v>0</v>
      </c>
    </row>
    <row r="4126" spans="1:2" ht="12.5">
      <c r="A4126">
        <v>0</v>
      </c>
      <c r="B4126">
        <v>0</v>
      </c>
    </row>
    <row r="4127" spans="1:2" ht="12.5">
      <c r="A4127">
        <v>0</v>
      </c>
      <c r="B4127">
        <v>0</v>
      </c>
    </row>
    <row r="4128" spans="1:2" ht="12.5">
      <c r="A4128">
        <v>0</v>
      </c>
      <c r="B4128">
        <v>0</v>
      </c>
    </row>
    <row r="4129" spans="1:2" ht="12.5">
      <c r="A4129">
        <v>0</v>
      </c>
      <c r="B4129">
        <v>0</v>
      </c>
    </row>
    <row r="4130" spans="1:2" ht="12.5">
      <c r="A4130">
        <v>0</v>
      </c>
      <c r="B4130">
        <v>0</v>
      </c>
    </row>
    <row r="4131" spans="1:2" ht="12.5">
      <c r="A4131">
        <v>0</v>
      </c>
      <c r="B4131">
        <v>0</v>
      </c>
    </row>
    <row r="4132" spans="1:2" ht="12.5">
      <c r="A4132">
        <v>0</v>
      </c>
      <c r="B4132">
        <v>0</v>
      </c>
    </row>
    <row r="4133" spans="1:2" ht="12.5">
      <c r="A4133">
        <v>0</v>
      </c>
      <c r="B4133">
        <v>0</v>
      </c>
    </row>
    <row r="4134" spans="1:2" ht="12.5">
      <c r="A4134">
        <v>0</v>
      </c>
      <c r="B4134">
        <v>0</v>
      </c>
    </row>
    <row r="4135" spans="1:2" ht="12.5">
      <c r="A4135">
        <v>0</v>
      </c>
      <c r="B4135">
        <v>0</v>
      </c>
    </row>
    <row r="4136" spans="1:2" ht="12.5">
      <c r="A4136">
        <v>0</v>
      </c>
      <c r="B4136">
        <v>0</v>
      </c>
    </row>
    <row r="4137" spans="1:2" ht="12.5">
      <c r="A4137">
        <v>0</v>
      </c>
      <c r="B4137">
        <v>0</v>
      </c>
    </row>
    <row r="4138" spans="1:2" ht="12.5">
      <c r="A4138">
        <v>0</v>
      </c>
      <c r="B4138">
        <v>0</v>
      </c>
    </row>
    <row r="4139" spans="1:2" ht="12.5">
      <c r="A4139">
        <v>0</v>
      </c>
      <c r="B4139">
        <v>0</v>
      </c>
    </row>
    <row r="4140" spans="1:2" ht="12.5">
      <c r="A4140">
        <v>0</v>
      </c>
      <c r="B4140">
        <v>0</v>
      </c>
    </row>
    <row r="4141" spans="1:2" ht="12.5">
      <c r="A4141">
        <v>0</v>
      </c>
      <c r="B4141">
        <v>0</v>
      </c>
    </row>
    <row r="4142" spans="1:2" ht="12.5">
      <c r="A4142">
        <v>0</v>
      </c>
      <c r="B4142">
        <v>0</v>
      </c>
    </row>
    <row r="4143" spans="1:2" ht="12.5">
      <c r="A4143">
        <v>0</v>
      </c>
      <c r="B4143">
        <v>0</v>
      </c>
    </row>
    <row r="4144" spans="1:2" ht="12.5">
      <c r="A4144">
        <v>0</v>
      </c>
      <c r="B4144">
        <v>0</v>
      </c>
    </row>
    <row r="4145" spans="1:2" ht="12.5">
      <c r="A4145">
        <v>0</v>
      </c>
      <c r="B4145">
        <v>0</v>
      </c>
    </row>
    <row r="4146" spans="1:2" ht="12.5">
      <c r="A4146">
        <v>0</v>
      </c>
      <c r="B4146">
        <v>0</v>
      </c>
    </row>
    <row r="4147" spans="1:2" ht="12.5">
      <c r="A4147">
        <v>0</v>
      </c>
      <c r="B4147">
        <v>0</v>
      </c>
    </row>
    <row r="4148" spans="1:2" ht="12.5">
      <c r="A4148">
        <v>0</v>
      </c>
      <c r="B4148">
        <v>0</v>
      </c>
    </row>
    <row r="4149" spans="1:2" ht="12.5">
      <c r="A4149">
        <v>0</v>
      </c>
      <c r="B4149">
        <v>0</v>
      </c>
    </row>
    <row r="4150" spans="1:2" ht="12.5">
      <c r="A4150">
        <v>0</v>
      </c>
      <c r="B4150">
        <v>0</v>
      </c>
    </row>
    <row r="4151" spans="1:2" ht="12.5">
      <c r="A4151">
        <v>0</v>
      </c>
      <c r="B4151">
        <v>0</v>
      </c>
    </row>
    <row r="4152" spans="1:2" ht="12.5">
      <c r="A4152">
        <v>0</v>
      </c>
      <c r="B4152">
        <v>0</v>
      </c>
    </row>
    <row r="4153" spans="1:2" ht="12.5">
      <c r="A4153">
        <v>0</v>
      </c>
      <c r="B4153">
        <v>0</v>
      </c>
    </row>
    <row r="4154" spans="1:2" ht="12.5">
      <c r="A4154">
        <v>0</v>
      </c>
      <c r="B4154">
        <v>0</v>
      </c>
    </row>
    <row r="4155" spans="1:2" ht="12.5">
      <c r="A4155">
        <v>0</v>
      </c>
      <c r="B4155">
        <v>0</v>
      </c>
    </row>
    <row r="4156" spans="1:2" ht="12.5">
      <c r="A4156">
        <v>0</v>
      </c>
      <c r="B4156">
        <v>0</v>
      </c>
    </row>
    <row r="4157" spans="1:2" ht="12.5">
      <c r="A4157">
        <v>0</v>
      </c>
      <c r="B4157">
        <v>0</v>
      </c>
    </row>
    <row r="4158" spans="1:2" ht="12.5">
      <c r="A4158">
        <v>0</v>
      </c>
      <c r="B4158">
        <v>0</v>
      </c>
    </row>
    <row r="4159" spans="1:2" ht="12.5">
      <c r="A4159">
        <v>0</v>
      </c>
      <c r="B4159">
        <v>0</v>
      </c>
    </row>
    <row r="4160" spans="1:2" ht="12.5">
      <c r="A4160">
        <v>0</v>
      </c>
      <c r="B4160">
        <v>0</v>
      </c>
    </row>
    <row r="4161" spans="1:2" ht="12.5">
      <c r="A4161">
        <v>0</v>
      </c>
      <c r="B4161">
        <v>0</v>
      </c>
    </row>
    <row r="4162" spans="1:2" ht="12.5">
      <c r="A4162">
        <v>0</v>
      </c>
      <c r="B4162">
        <v>0</v>
      </c>
    </row>
    <row r="4163" spans="1:2" ht="12.5">
      <c r="A4163">
        <v>0</v>
      </c>
      <c r="B4163">
        <v>0</v>
      </c>
    </row>
    <row r="4164" spans="1:2" ht="12.5">
      <c r="A4164">
        <v>0</v>
      </c>
      <c r="B4164">
        <v>0</v>
      </c>
    </row>
    <row r="4165" spans="1:2" ht="12.5">
      <c r="A4165">
        <v>0</v>
      </c>
      <c r="B4165">
        <v>0</v>
      </c>
    </row>
    <row r="4166" spans="1:2" ht="12.5">
      <c r="A4166">
        <v>0</v>
      </c>
      <c r="B4166">
        <v>0</v>
      </c>
    </row>
    <row r="4167" spans="1:2" ht="12.5">
      <c r="A4167">
        <v>0</v>
      </c>
      <c r="B4167">
        <v>0</v>
      </c>
    </row>
    <row r="4168" spans="1:2" ht="12.5">
      <c r="A4168">
        <v>0</v>
      </c>
      <c r="B4168">
        <v>0</v>
      </c>
    </row>
    <row r="4169" spans="1:2" ht="12.5">
      <c r="A4169">
        <v>0</v>
      </c>
      <c r="B4169">
        <v>0</v>
      </c>
    </row>
    <row r="4170" spans="1:2" ht="12.5">
      <c r="A4170">
        <v>0</v>
      </c>
      <c r="B4170">
        <v>0</v>
      </c>
    </row>
    <row r="4171" spans="1:2" ht="12.5">
      <c r="A4171">
        <v>0</v>
      </c>
      <c r="B4171">
        <v>0</v>
      </c>
    </row>
    <row r="4172" spans="1:2" ht="12.5">
      <c r="A4172">
        <v>0</v>
      </c>
      <c r="B4172">
        <v>0</v>
      </c>
    </row>
    <row r="4173" spans="1:2" ht="12.5">
      <c r="A4173">
        <v>0</v>
      </c>
      <c r="B4173">
        <v>0</v>
      </c>
    </row>
    <row r="4174" spans="1:2" ht="12.5">
      <c r="A4174">
        <v>0</v>
      </c>
      <c r="B4174">
        <v>0</v>
      </c>
    </row>
    <row r="4175" spans="1:2" ht="12.5">
      <c r="A4175">
        <v>0</v>
      </c>
      <c r="B4175">
        <v>0</v>
      </c>
    </row>
    <row r="4176" spans="1:2" ht="12.5">
      <c r="A4176">
        <v>0</v>
      </c>
      <c r="B4176">
        <v>0</v>
      </c>
    </row>
    <row r="4177" spans="1:2" ht="12.5">
      <c r="A4177">
        <v>0</v>
      </c>
      <c r="B4177">
        <v>0</v>
      </c>
    </row>
    <row r="4178" spans="1:2" ht="12.5">
      <c r="A4178">
        <v>0</v>
      </c>
      <c r="B4178">
        <v>0</v>
      </c>
    </row>
    <row r="4179" spans="1:2" ht="12.5">
      <c r="A4179">
        <v>0</v>
      </c>
      <c r="B4179">
        <v>0</v>
      </c>
    </row>
    <row r="4180" spans="1:2" ht="12.5">
      <c r="A4180">
        <v>0</v>
      </c>
      <c r="B4180">
        <v>0</v>
      </c>
    </row>
    <row r="4181" spans="1:2" ht="12.5">
      <c r="A4181">
        <v>0</v>
      </c>
      <c r="B4181">
        <v>0</v>
      </c>
    </row>
    <row r="4182" spans="1:2" ht="12.5">
      <c r="A4182">
        <v>0</v>
      </c>
      <c r="B4182">
        <v>0</v>
      </c>
    </row>
    <row r="4183" spans="1:2" ht="12.5">
      <c r="A4183">
        <v>0</v>
      </c>
      <c r="B4183">
        <v>0</v>
      </c>
    </row>
    <row r="4184" spans="1:2" ht="12.5">
      <c r="A4184">
        <v>0</v>
      </c>
      <c r="B4184">
        <v>0</v>
      </c>
    </row>
    <row r="4185" spans="1:2" ht="12.5">
      <c r="A4185">
        <v>0</v>
      </c>
      <c r="B4185">
        <v>0</v>
      </c>
    </row>
    <row r="4186" spans="1:2" ht="12.5">
      <c r="A4186">
        <v>0</v>
      </c>
      <c r="B4186">
        <v>0</v>
      </c>
    </row>
    <row r="4187" spans="1:2" ht="12.5">
      <c r="A4187">
        <v>0</v>
      </c>
      <c r="B4187">
        <v>0</v>
      </c>
    </row>
    <row r="4188" spans="1:2" ht="12.5">
      <c r="A4188">
        <v>0</v>
      </c>
      <c r="B4188">
        <v>0</v>
      </c>
    </row>
    <row r="4189" spans="1:2" ht="12.5">
      <c r="A4189">
        <v>0</v>
      </c>
      <c r="B4189">
        <v>0</v>
      </c>
    </row>
    <row r="4190" spans="1:2" ht="12.5">
      <c r="A4190">
        <v>0</v>
      </c>
      <c r="B4190">
        <v>0</v>
      </c>
    </row>
    <row r="4191" spans="1:2" ht="12.5">
      <c r="A4191">
        <v>0</v>
      </c>
      <c r="B4191">
        <v>0</v>
      </c>
    </row>
    <row r="4192" spans="1:2" ht="12.5">
      <c r="A4192">
        <v>0</v>
      </c>
      <c r="B4192">
        <v>0</v>
      </c>
    </row>
    <row r="4193" spans="1:2" ht="12.5">
      <c r="A4193">
        <v>0</v>
      </c>
      <c r="B4193">
        <v>0</v>
      </c>
    </row>
    <row r="4194" spans="1:2" ht="12.5">
      <c r="A4194">
        <v>0</v>
      </c>
      <c r="B4194">
        <v>0</v>
      </c>
    </row>
    <row r="4195" spans="1:2" ht="12.5">
      <c r="A4195">
        <v>0</v>
      </c>
      <c r="B4195">
        <v>0</v>
      </c>
    </row>
    <row r="4196" spans="1:2" ht="12.5">
      <c r="A4196">
        <v>0</v>
      </c>
      <c r="B4196">
        <v>0</v>
      </c>
    </row>
    <row r="4197" spans="1:2" ht="12.5">
      <c r="A4197">
        <v>0</v>
      </c>
      <c r="B4197">
        <v>0</v>
      </c>
    </row>
    <row r="4198" spans="1:2" ht="12.5">
      <c r="A4198">
        <v>0</v>
      </c>
      <c r="B4198">
        <v>0</v>
      </c>
    </row>
    <row r="4199" spans="1:2" ht="12.5">
      <c r="A4199">
        <v>0</v>
      </c>
      <c r="B4199">
        <v>0</v>
      </c>
    </row>
    <row r="4200" spans="1:2" ht="12.5">
      <c r="A4200">
        <v>0</v>
      </c>
      <c r="B4200">
        <v>0</v>
      </c>
    </row>
    <row r="4201" spans="1:2" ht="12.5">
      <c r="A4201">
        <v>0</v>
      </c>
      <c r="B4201">
        <v>0</v>
      </c>
    </row>
    <row r="4202" spans="1:2" ht="12.5">
      <c r="A4202">
        <v>0</v>
      </c>
      <c r="B4202">
        <v>0</v>
      </c>
    </row>
    <row r="4203" spans="1:2" ht="12.5">
      <c r="A4203">
        <v>0</v>
      </c>
      <c r="B4203">
        <v>0</v>
      </c>
    </row>
    <row r="4204" spans="1:2" ht="12.5">
      <c r="A4204">
        <v>0</v>
      </c>
      <c r="B4204">
        <v>0</v>
      </c>
    </row>
    <row r="4205" spans="1:2" ht="12.5">
      <c r="A4205">
        <v>0</v>
      </c>
      <c r="B4205">
        <v>0</v>
      </c>
    </row>
    <row r="4206" spans="1:2" ht="12.5">
      <c r="A4206">
        <v>0</v>
      </c>
      <c r="B4206">
        <v>0</v>
      </c>
    </row>
    <row r="4207" spans="1:2" ht="12.5">
      <c r="A4207">
        <v>0</v>
      </c>
      <c r="B4207">
        <v>0</v>
      </c>
    </row>
    <row r="4208" spans="1:2" ht="12.5">
      <c r="A4208">
        <v>0</v>
      </c>
      <c r="B4208">
        <v>0</v>
      </c>
    </row>
    <row r="4209" spans="1:2" ht="12.5">
      <c r="A4209">
        <v>0</v>
      </c>
      <c r="B4209">
        <v>0</v>
      </c>
    </row>
    <row r="4210" spans="1:2" ht="12.5">
      <c r="A4210">
        <v>0</v>
      </c>
      <c r="B4210">
        <v>0</v>
      </c>
    </row>
    <row r="4211" spans="1:2" ht="12.5">
      <c r="A4211">
        <v>0</v>
      </c>
      <c r="B4211">
        <v>0</v>
      </c>
    </row>
    <row r="4212" spans="1:2" ht="12.5">
      <c r="A4212">
        <v>0</v>
      </c>
      <c r="B4212">
        <v>0</v>
      </c>
    </row>
    <row r="4213" spans="1:2" ht="12.5">
      <c r="A4213">
        <v>0</v>
      </c>
      <c r="B4213">
        <v>0</v>
      </c>
    </row>
    <row r="4214" spans="1:2" ht="12.5">
      <c r="A4214">
        <v>0</v>
      </c>
      <c r="B4214">
        <v>0</v>
      </c>
    </row>
    <row r="4215" spans="1:2" ht="12.5">
      <c r="A4215">
        <v>0</v>
      </c>
      <c r="B4215">
        <v>0</v>
      </c>
    </row>
    <row r="4216" spans="1:2" ht="12.5">
      <c r="A4216">
        <v>0</v>
      </c>
      <c r="B4216">
        <v>0</v>
      </c>
    </row>
    <row r="4217" spans="1:2" ht="12.5">
      <c r="A4217">
        <v>0</v>
      </c>
      <c r="B4217">
        <v>0</v>
      </c>
    </row>
    <row r="4218" spans="1:2" ht="12.5">
      <c r="A4218">
        <v>0</v>
      </c>
      <c r="B4218">
        <v>0</v>
      </c>
    </row>
    <row r="4219" spans="1:2" ht="12.5">
      <c r="A4219">
        <v>0</v>
      </c>
      <c r="B4219">
        <v>0</v>
      </c>
    </row>
    <row r="4220" spans="1:2" ht="12.5">
      <c r="A4220">
        <v>0</v>
      </c>
      <c r="B4220">
        <v>0</v>
      </c>
    </row>
    <row r="4221" spans="1:2" ht="12.5">
      <c r="A4221">
        <v>0</v>
      </c>
      <c r="B4221">
        <v>0</v>
      </c>
    </row>
    <row r="4222" spans="1:2" ht="12.5">
      <c r="A4222">
        <v>0</v>
      </c>
      <c r="B4222">
        <v>0</v>
      </c>
    </row>
    <row r="4223" spans="1:2" ht="12.5">
      <c r="A4223">
        <v>0</v>
      </c>
      <c r="B4223">
        <v>0</v>
      </c>
    </row>
    <row r="4224" spans="1:2" ht="12.5">
      <c r="A4224">
        <v>0</v>
      </c>
      <c r="B4224">
        <v>0</v>
      </c>
    </row>
    <row r="4225" spans="1:2" ht="12.5">
      <c r="A4225">
        <v>0</v>
      </c>
      <c r="B4225">
        <v>0</v>
      </c>
    </row>
    <row r="4226" spans="1:2" ht="12.5">
      <c r="A4226">
        <v>0</v>
      </c>
      <c r="B4226">
        <v>0</v>
      </c>
    </row>
    <row r="4227" spans="1:2" ht="12.5">
      <c r="A4227">
        <v>0</v>
      </c>
      <c r="B4227">
        <v>0</v>
      </c>
    </row>
    <row r="4228" spans="1:2" ht="12.5">
      <c r="A4228">
        <v>0</v>
      </c>
      <c r="B4228">
        <v>0</v>
      </c>
    </row>
    <row r="4229" spans="1:2" ht="12.5">
      <c r="A4229">
        <v>0</v>
      </c>
      <c r="B4229">
        <v>0</v>
      </c>
    </row>
    <row r="4230" spans="1:2" ht="12.5">
      <c r="A4230">
        <v>0</v>
      </c>
      <c r="B4230">
        <v>0</v>
      </c>
    </row>
    <row r="4231" spans="1:2" ht="12.5">
      <c r="A4231">
        <v>0</v>
      </c>
      <c r="B4231">
        <v>0</v>
      </c>
    </row>
    <row r="4232" spans="1:2" ht="12.5">
      <c r="A4232">
        <v>0</v>
      </c>
      <c r="B4232">
        <v>0</v>
      </c>
    </row>
    <row r="4233" spans="1:2" ht="12.5">
      <c r="A4233">
        <v>0</v>
      </c>
      <c r="B4233">
        <v>0</v>
      </c>
    </row>
    <row r="4234" spans="1:2" ht="12.5">
      <c r="A4234">
        <v>0</v>
      </c>
      <c r="B4234">
        <v>0</v>
      </c>
    </row>
    <row r="4235" spans="1:2" ht="12.5">
      <c r="A4235">
        <v>0</v>
      </c>
      <c r="B4235">
        <v>0</v>
      </c>
    </row>
    <row r="4236" spans="1:2" ht="12.5">
      <c r="A4236">
        <v>0</v>
      </c>
      <c r="B4236">
        <v>0</v>
      </c>
    </row>
    <row r="4237" spans="1:2" ht="12.5">
      <c r="A4237">
        <v>0</v>
      </c>
      <c r="B4237">
        <v>0</v>
      </c>
    </row>
    <row r="4238" spans="1:2" ht="12.5">
      <c r="A4238">
        <v>0</v>
      </c>
      <c r="B4238">
        <v>0</v>
      </c>
    </row>
    <row r="4239" spans="1:2" ht="12.5">
      <c r="A4239">
        <v>0</v>
      </c>
      <c r="B4239">
        <v>0</v>
      </c>
    </row>
    <row r="4240" spans="1:2" ht="12.5">
      <c r="A4240">
        <v>0</v>
      </c>
      <c r="B4240">
        <v>0</v>
      </c>
    </row>
    <row r="4241" spans="1:2" ht="12.5">
      <c r="A4241">
        <v>0</v>
      </c>
      <c r="B4241">
        <v>0</v>
      </c>
    </row>
    <row r="4242" spans="1:2" ht="12.5">
      <c r="A4242">
        <v>0</v>
      </c>
      <c r="B4242">
        <v>0</v>
      </c>
    </row>
    <row r="4243" spans="1:2" ht="12.5">
      <c r="A4243">
        <v>0</v>
      </c>
      <c r="B4243">
        <v>0</v>
      </c>
    </row>
    <row r="4244" spans="1:2" ht="12.5">
      <c r="A4244">
        <v>0</v>
      </c>
      <c r="B4244">
        <v>0</v>
      </c>
    </row>
    <row r="4245" spans="1:2" ht="12.5">
      <c r="A4245">
        <v>0</v>
      </c>
      <c r="B4245">
        <v>0</v>
      </c>
    </row>
    <row r="4246" spans="1:2" ht="12.5">
      <c r="A4246">
        <v>0</v>
      </c>
      <c r="B4246">
        <v>0</v>
      </c>
    </row>
    <row r="4247" spans="1:2" ht="12.5">
      <c r="A4247">
        <v>0</v>
      </c>
      <c r="B4247">
        <v>0</v>
      </c>
    </row>
    <row r="4248" spans="1:2" ht="12.5">
      <c r="A4248">
        <v>0</v>
      </c>
      <c r="B4248">
        <v>0</v>
      </c>
    </row>
    <row r="4249" spans="1:2" ht="12.5">
      <c r="A4249">
        <v>0</v>
      </c>
      <c r="B4249">
        <v>0</v>
      </c>
    </row>
    <row r="4250" spans="1:2" ht="12.5">
      <c r="A4250">
        <v>0</v>
      </c>
      <c r="B4250">
        <v>0</v>
      </c>
    </row>
    <row r="4251" spans="1:2" ht="12.5">
      <c r="A4251">
        <v>0</v>
      </c>
      <c r="B4251">
        <v>0</v>
      </c>
    </row>
    <row r="4252" spans="1:2" ht="12.5">
      <c r="A4252">
        <v>0</v>
      </c>
      <c r="B4252">
        <v>0</v>
      </c>
    </row>
    <row r="4253" spans="1:2" ht="12.5">
      <c r="A4253">
        <v>0</v>
      </c>
      <c r="B4253">
        <v>0</v>
      </c>
    </row>
    <row r="4254" spans="1:2" ht="12.5">
      <c r="A4254">
        <v>0</v>
      </c>
      <c r="B4254">
        <v>0</v>
      </c>
    </row>
    <row r="4255" spans="1:2" ht="12.5">
      <c r="A4255">
        <v>0</v>
      </c>
      <c r="B4255">
        <v>0</v>
      </c>
    </row>
    <row r="4256" spans="1:2" ht="12.5">
      <c r="A4256">
        <v>0</v>
      </c>
      <c r="B4256">
        <v>0</v>
      </c>
    </row>
    <row r="4257" spans="1:2" ht="12.5">
      <c r="A4257">
        <v>0</v>
      </c>
      <c r="B4257">
        <v>0</v>
      </c>
    </row>
    <row r="4258" spans="1:2" ht="12.5">
      <c r="A4258">
        <v>0</v>
      </c>
      <c r="B4258">
        <v>0</v>
      </c>
    </row>
    <row r="4259" spans="1:2" ht="12.5">
      <c r="A4259">
        <v>0</v>
      </c>
      <c r="B4259">
        <v>0</v>
      </c>
    </row>
    <row r="4260" spans="1:2" ht="12.5">
      <c r="A4260">
        <v>0</v>
      </c>
      <c r="B4260">
        <v>0</v>
      </c>
    </row>
    <row r="4261" spans="1:2" ht="12.5">
      <c r="A4261">
        <v>0</v>
      </c>
      <c r="B4261">
        <v>0</v>
      </c>
    </row>
    <row r="4262" spans="1:2" ht="12.5">
      <c r="A4262">
        <v>0</v>
      </c>
      <c r="B4262">
        <v>0</v>
      </c>
    </row>
    <row r="4263" spans="1:2" ht="12.5">
      <c r="A4263">
        <v>0</v>
      </c>
      <c r="B4263">
        <v>0</v>
      </c>
    </row>
    <row r="4264" spans="1:2" ht="12.5">
      <c r="A4264">
        <v>0</v>
      </c>
      <c r="B4264">
        <v>0</v>
      </c>
    </row>
    <row r="4265" spans="1:2" ht="12.5">
      <c r="A4265">
        <v>0</v>
      </c>
      <c r="B4265">
        <v>0</v>
      </c>
    </row>
    <row r="4266" spans="1:2" ht="12.5">
      <c r="A4266">
        <v>0</v>
      </c>
      <c r="B4266">
        <v>0</v>
      </c>
    </row>
    <row r="4267" spans="1:2" ht="12.5">
      <c r="A4267">
        <v>0</v>
      </c>
      <c r="B4267">
        <v>0</v>
      </c>
    </row>
    <row r="4268" spans="1:2" ht="12.5">
      <c r="A4268">
        <v>0</v>
      </c>
      <c r="B4268">
        <v>0</v>
      </c>
    </row>
    <row r="4269" spans="1:2" ht="12.5">
      <c r="A4269">
        <v>0</v>
      </c>
      <c r="B4269">
        <v>0</v>
      </c>
    </row>
    <row r="4270" spans="1:2" ht="12.5">
      <c r="A4270">
        <v>0</v>
      </c>
      <c r="B4270">
        <v>0</v>
      </c>
    </row>
    <row r="4271" spans="1:2" ht="12.5">
      <c r="A4271">
        <v>0</v>
      </c>
      <c r="B4271">
        <v>0</v>
      </c>
    </row>
    <row r="4272" spans="1:2" ht="12.5">
      <c r="A4272">
        <v>0</v>
      </c>
      <c r="B4272">
        <v>0</v>
      </c>
    </row>
    <row r="4273" spans="1:2" ht="12.5">
      <c r="A4273">
        <v>0</v>
      </c>
      <c r="B4273">
        <v>0</v>
      </c>
    </row>
    <row r="4274" spans="1:2" ht="12.5">
      <c r="A4274">
        <v>0</v>
      </c>
      <c r="B4274">
        <v>0</v>
      </c>
    </row>
    <row r="4275" spans="1:2" ht="12.5">
      <c r="A4275">
        <v>0</v>
      </c>
      <c r="B4275">
        <v>0</v>
      </c>
    </row>
    <row r="4276" spans="1:2" ht="12.5">
      <c r="A4276">
        <v>0</v>
      </c>
      <c r="B4276">
        <v>0</v>
      </c>
    </row>
    <row r="4277" spans="1:2" ht="12.5">
      <c r="A4277">
        <v>0</v>
      </c>
      <c r="B4277">
        <v>0</v>
      </c>
    </row>
    <row r="4278" spans="1:2" ht="12.5">
      <c r="A4278">
        <v>0</v>
      </c>
      <c r="B4278">
        <v>0</v>
      </c>
    </row>
    <row r="4279" spans="1:2" ht="12.5">
      <c r="A4279">
        <v>0</v>
      </c>
      <c r="B4279">
        <v>0</v>
      </c>
    </row>
    <row r="4280" spans="1:2" ht="12.5">
      <c r="A4280">
        <v>0</v>
      </c>
      <c r="B4280">
        <v>0</v>
      </c>
    </row>
    <row r="4281" spans="1:2" ht="12.5">
      <c r="A4281">
        <v>0</v>
      </c>
      <c r="B4281">
        <v>0</v>
      </c>
    </row>
    <row r="4282" spans="1:2" ht="12.5">
      <c r="A4282">
        <v>0</v>
      </c>
      <c r="B4282">
        <v>0</v>
      </c>
    </row>
    <row r="4283" spans="1:2" ht="12.5">
      <c r="A4283">
        <v>0</v>
      </c>
      <c r="B4283">
        <v>0</v>
      </c>
    </row>
    <row r="4284" spans="1:2" ht="12.5">
      <c r="A4284">
        <v>0</v>
      </c>
      <c r="B4284">
        <v>0</v>
      </c>
    </row>
    <row r="4285" spans="1:2" ht="12.5">
      <c r="A4285">
        <v>0</v>
      </c>
      <c r="B4285">
        <v>0</v>
      </c>
    </row>
    <row r="4286" spans="1:2" ht="12.5">
      <c r="A4286">
        <v>0</v>
      </c>
      <c r="B4286">
        <v>0</v>
      </c>
    </row>
    <row r="4287" spans="1:2" ht="12.5">
      <c r="A4287">
        <v>0</v>
      </c>
      <c r="B4287">
        <v>0</v>
      </c>
    </row>
    <row r="4288" spans="1:2" ht="12.5">
      <c r="A4288">
        <v>0</v>
      </c>
      <c r="B4288">
        <v>0</v>
      </c>
    </row>
    <row r="4289" spans="1:2" ht="12.5">
      <c r="A4289">
        <v>0</v>
      </c>
      <c r="B4289">
        <v>0</v>
      </c>
    </row>
    <row r="4290" spans="1:2" ht="12.5">
      <c r="A4290">
        <v>0</v>
      </c>
      <c r="B4290">
        <v>0</v>
      </c>
    </row>
    <row r="4291" spans="1:2" ht="12.5">
      <c r="A4291">
        <v>0</v>
      </c>
      <c r="B4291">
        <v>0</v>
      </c>
    </row>
    <row r="4292" spans="1:2" ht="12.5">
      <c r="A4292">
        <v>0</v>
      </c>
      <c r="B4292">
        <v>0</v>
      </c>
    </row>
    <row r="4293" spans="1:2" ht="12.5">
      <c r="A4293">
        <v>0</v>
      </c>
      <c r="B4293">
        <v>0</v>
      </c>
    </row>
    <row r="4294" spans="1:2" ht="12.5">
      <c r="A4294">
        <v>0</v>
      </c>
      <c r="B4294">
        <v>0</v>
      </c>
    </row>
    <row r="4295" spans="1:2" ht="12.5">
      <c r="A4295">
        <v>0</v>
      </c>
      <c r="B4295">
        <v>0</v>
      </c>
    </row>
    <row r="4296" spans="1:2" ht="12.5">
      <c r="A4296">
        <v>0</v>
      </c>
      <c r="B4296">
        <v>0</v>
      </c>
    </row>
    <row r="4297" spans="1:2" ht="12.5">
      <c r="A4297">
        <v>0</v>
      </c>
      <c r="B4297">
        <v>0</v>
      </c>
    </row>
    <row r="4298" spans="1:2" ht="12.5">
      <c r="A4298">
        <v>0</v>
      </c>
      <c r="B4298">
        <v>0</v>
      </c>
    </row>
    <row r="4299" spans="1:2" ht="12.5">
      <c r="A4299">
        <v>0</v>
      </c>
      <c r="B4299">
        <v>0</v>
      </c>
    </row>
    <row r="4300" spans="1:2" ht="12.5">
      <c r="A4300">
        <v>0</v>
      </c>
      <c r="B4300">
        <v>0</v>
      </c>
    </row>
    <row r="4301" spans="1:2" ht="12.5">
      <c r="A4301">
        <v>0</v>
      </c>
      <c r="B4301">
        <v>0</v>
      </c>
    </row>
    <row r="4302" spans="1:2" ht="12.5">
      <c r="A4302">
        <v>0</v>
      </c>
      <c r="B4302">
        <v>0</v>
      </c>
    </row>
    <row r="4303" spans="1:2" ht="12.5">
      <c r="A4303">
        <v>0</v>
      </c>
      <c r="B4303">
        <v>0</v>
      </c>
    </row>
    <row r="4304" spans="1:2" ht="12.5">
      <c r="A4304">
        <v>0</v>
      </c>
      <c r="B4304">
        <v>0</v>
      </c>
    </row>
    <row r="4305" spans="1:2" ht="12.5">
      <c r="A4305">
        <v>0</v>
      </c>
      <c r="B4305">
        <v>0</v>
      </c>
    </row>
    <row r="4306" spans="1:2" ht="12.5">
      <c r="A4306">
        <v>0</v>
      </c>
      <c r="B4306">
        <v>0</v>
      </c>
    </row>
    <row r="4307" spans="1:2" ht="12.5">
      <c r="A4307">
        <v>0</v>
      </c>
      <c r="B4307">
        <v>0</v>
      </c>
    </row>
    <row r="4308" spans="1:2" ht="12.5">
      <c r="A4308">
        <v>0</v>
      </c>
      <c r="B4308">
        <v>0</v>
      </c>
    </row>
    <row r="4309" spans="1:2" ht="12.5">
      <c r="A4309">
        <v>0</v>
      </c>
      <c r="B4309">
        <v>0</v>
      </c>
    </row>
    <row r="4310" spans="1:2" ht="12.5">
      <c r="A4310">
        <v>0</v>
      </c>
      <c r="B4310">
        <v>0</v>
      </c>
    </row>
    <row r="4311" spans="1:2" ht="12.5">
      <c r="A4311">
        <v>0</v>
      </c>
      <c r="B4311">
        <v>0</v>
      </c>
    </row>
    <row r="4312" spans="1:2" ht="12.5">
      <c r="A4312">
        <v>0</v>
      </c>
      <c r="B4312">
        <v>0</v>
      </c>
    </row>
    <row r="4313" spans="1:2" ht="12.5">
      <c r="A4313">
        <v>0</v>
      </c>
      <c r="B4313">
        <v>0</v>
      </c>
    </row>
    <row r="4314" spans="1:2" ht="12.5">
      <c r="A4314">
        <v>0</v>
      </c>
      <c r="B4314">
        <v>0</v>
      </c>
    </row>
    <row r="4315" spans="1:2" ht="12.5">
      <c r="A4315">
        <v>0</v>
      </c>
      <c r="B4315">
        <v>0</v>
      </c>
    </row>
    <row r="4316" spans="1:2" ht="12.5">
      <c r="A4316">
        <v>0</v>
      </c>
      <c r="B4316">
        <v>0</v>
      </c>
    </row>
    <row r="4317" spans="1:2" ht="12.5">
      <c r="A4317">
        <v>0</v>
      </c>
      <c r="B4317">
        <v>0</v>
      </c>
    </row>
    <row r="4318" spans="1:2" ht="12.5">
      <c r="A4318">
        <v>0</v>
      </c>
      <c r="B4318">
        <v>0</v>
      </c>
    </row>
    <row r="4319" spans="1:2" ht="12.5">
      <c r="A4319">
        <v>0</v>
      </c>
      <c r="B4319">
        <v>0</v>
      </c>
    </row>
    <row r="4320" spans="1:2" ht="12.5">
      <c r="A4320">
        <v>0</v>
      </c>
      <c r="B4320">
        <v>0</v>
      </c>
    </row>
    <row r="4321" spans="1:2" ht="12.5">
      <c r="A4321">
        <v>0</v>
      </c>
      <c r="B4321">
        <v>0</v>
      </c>
    </row>
    <row r="4322" spans="1:2" ht="12.5">
      <c r="A4322">
        <v>0</v>
      </c>
      <c r="B4322">
        <v>0</v>
      </c>
    </row>
    <row r="4323" spans="1:2" ht="12.5">
      <c r="A4323">
        <v>0</v>
      </c>
      <c r="B4323">
        <v>0</v>
      </c>
    </row>
    <row r="4324" spans="1:2" ht="12.5">
      <c r="A4324">
        <v>0</v>
      </c>
      <c r="B4324">
        <v>0</v>
      </c>
    </row>
    <row r="4325" spans="1:2" ht="12.5">
      <c r="A4325">
        <v>0</v>
      </c>
      <c r="B4325">
        <v>0</v>
      </c>
    </row>
    <row r="4326" spans="1:2" ht="12.5">
      <c r="A4326">
        <v>0</v>
      </c>
      <c r="B4326">
        <v>0</v>
      </c>
    </row>
    <row r="4327" spans="1:2" ht="12.5">
      <c r="A4327">
        <v>0</v>
      </c>
      <c r="B4327">
        <v>0</v>
      </c>
    </row>
    <row r="4328" spans="1:2" ht="12.5">
      <c r="A4328">
        <v>0</v>
      </c>
      <c r="B4328">
        <v>0</v>
      </c>
    </row>
    <row r="4329" spans="1:2" ht="12.5">
      <c r="A4329">
        <v>0</v>
      </c>
      <c r="B4329">
        <v>0</v>
      </c>
    </row>
    <row r="4330" spans="1:2" ht="12.5">
      <c r="A4330">
        <v>0</v>
      </c>
      <c r="B4330">
        <v>0</v>
      </c>
    </row>
    <row r="4331" spans="1:2" ht="12.5">
      <c r="A4331">
        <v>0</v>
      </c>
      <c r="B4331">
        <v>0</v>
      </c>
    </row>
    <row r="4332" spans="1:2" ht="12.5">
      <c r="A4332">
        <v>0</v>
      </c>
      <c r="B4332">
        <v>0</v>
      </c>
    </row>
    <row r="4333" spans="1:2" ht="12.5">
      <c r="A4333">
        <v>0</v>
      </c>
      <c r="B4333">
        <v>0</v>
      </c>
    </row>
    <row r="4334" spans="1:2" ht="12.5">
      <c r="A4334">
        <v>0</v>
      </c>
      <c r="B4334">
        <v>0</v>
      </c>
    </row>
    <row r="4335" spans="1:2" ht="12.5">
      <c r="A4335">
        <v>0</v>
      </c>
      <c r="B4335">
        <v>0</v>
      </c>
    </row>
    <row r="4336" spans="1:2" ht="12.5">
      <c r="A4336">
        <v>0</v>
      </c>
      <c r="B4336">
        <v>0</v>
      </c>
    </row>
    <row r="4337" spans="1:2" ht="12.5">
      <c r="A4337">
        <v>0</v>
      </c>
      <c r="B4337">
        <v>0</v>
      </c>
    </row>
    <row r="4338" spans="1:2" ht="12.5">
      <c r="A4338">
        <v>0</v>
      </c>
      <c r="B4338">
        <v>0</v>
      </c>
    </row>
    <row r="4339" spans="1:2" ht="12.5">
      <c r="A4339">
        <v>0</v>
      </c>
      <c r="B4339">
        <v>0</v>
      </c>
    </row>
    <row r="4340" spans="1:2" ht="12.5">
      <c r="A4340">
        <v>0</v>
      </c>
      <c r="B4340">
        <v>0</v>
      </c>
    </row>
    <row r="4341" spans="1:2" ht="12.5">
      <c r="A4341">
        <v>0</v>
      </c>
      <c r="B4341">
        <v>0</v>
      </c>
    </row>
    <row r="4342" spans="1:2" ht="12.5">
      <c r="A4342">
        <v>0</v>
      </c>
      <c r="B4342">
        <v>0</v>
      </c>
    </row>
    <row r="4343" spans="1:2" ht="12.5">
      <c r="A4343">
        <v>0</v>
      </c>
      <c r="B4343">
        <v>0</v>
      </c>
    </row>
    <row r="4344" spans="1:2" ht="12.5">
      <c r="A4344">
        <v>0</v>
      </c>
      <c r="B4344">
        <v>0</v>
      </c>
    </row>
    <row r="4345" spans="1:2" ht="12.5">
      <c r="A4345">
        <v>0</v>
      </c>
      <c r="B4345">
        <v>0</v>
      </c>
    </row>
    <row r="4346" spans="1:2" ht="12.5">
      <c r="A4346">
        <v>0</v>
      </c>
      <c r="B4346">
        <v>0</v>
      </c>
    </row>
    <row r="4347" spans="1:2" ht="12.5">
      <c r="A4347">
        <v>0</v>
      </c>
      <c r="B4347">
        <v>0</v>
      </c>
    </row>
    <row r="4348" spans="1:2" ht="12.5">
      <c r="A4348">
        <v>0</v>
      </c>
      <c r="B4348">
        <v>0</v>
      </c>
    </row>
    <row r="4349" spans="1:2" ht="12.5">
      <c r="A4349">
        <v>0</v>
      </c>
      <c r="B4349">
        <v>0</v>
      </c>
    </row>
    <row r="4350" spans="1:2" ht="12.5">
      <c r="A4350">
        <v>0</v>
      </c>
      <c r="B4350">
        <v>0</v>
      </c>
    </row>
    <row r="4351" spans="1:2" ht="12.5">
      <c r="A4351">
        <v>0</v>
      </c>
      <c r="B4351">
        <v>0</v>
      </c>
    </row>
    <row r="4352" spans="1:2" ht="12.5">
      <c r="A4352">
        <v>0</v>
      </c>
      <c r="B4352">
        <v>0</v>
      </c>
    </row>
    <row r="4353" spans="1:2" ht="12.5">
      <c r="A4353">
        <v>0</v>
      </c>
      <c r="B4353">
        <v>0</v>
      </c>
    </row>
    <row r="4354" spans="1:2" ht="12.5">
      <c r="A4354">
        <v>0</v>
      </c>
      <c r="B4354">
        <v>0</v>
      </c>
    </row>
    <row r="4355" spans="1:2" ht="12.5">
      <c r="A4355">
        <v>0</v>
      </c>
      <c r="B4355">
        <v>0</v>
      </c>
    </row>
    <row r="4356" spans="1:2" ht="12.5">
      <c r="A4356">
        <v>0</v>
      </c>
      <c r="B4356">
        <v>0</v>
      </c>
    </row>
    <row r="4357" spans="1:2" ht="12.5">
      <c r="A4357">
        <v>0</v>
      </c>
      <c r="B4357">
        <v>0</v>
      </c>
    </row>
    <row r="4358" spans="1:2" ht="12.5">
      <c r="A4358">
        <v>0</v>
      </c>
      <c r="B4358">
        <v>0</v>
      </c>
    </row>
    <row r="4359" spans="1:2" ht="12.5">
      <c r="A4359">
        <v>0</v>
      </c>
      <c r="B4359">
        <v>0</v>
      </c>
    </row>
    <row r="4360" spans="1:2" ht="12.5">
      <c r="A4360">
        <v>0</v>
      </c>
      <c r="B4360">
        <v>0</v>
      </c>
    </row>
    <row r="4361" spans="1:2" ht="12.5">
      <c r="A4361">
        <v>0</v>
      </c>
      <c r="B4361">
        <v>0</v>
      </c>
    </row>
    <row r="4362" spans="1:2" ht="12.5">
      <c r="A4362">
        <v>0</v>
      </c>
      <c r="B4362">
        <v>0</v>
      </c>
    </row>
    <row r="4363" spans="1:2" ht="12.5">
      <c r="A4363">
        <v>0</v>
      </c>
      <c r="B4363">
        <v>0</v>
      </c>
    </row>
    <row r="4364" spans="1:2" ht="12.5">
      <c r="A4364">
        <v>0</v>
      </c>
      <c r="B4364">
        <v>0</v>
      </c>
    </row>
    <row r="4365" spans="1:2" ht="12.5">
      <c r="A4365">
        <v>0</v>
      </c>
      <c r="B4365">
        <v>0</v>
      </c>
    </row>
    <row r="4366" spans="1:2" ht="12.5">
      <c r="A4366">
        <v>0</v>
      </c>
      <c r="B4366">
        <v>0</v>
      </c>
    </row>
    <row r="4367" spans="1:2" ht="12.5">
      <c r="A4367">
        <v>0</v>
      </c>
      <c r="B4367">
        <v>0</v>
      </c>
    </row>
    <row r="4368" spans="1:2" ht="12.5">
      <c r="A4368">
        <v>0</v>
      </c>
      <c r="B4368">
        <v>0</v>
      </c>
    </row>
    <row r="4369" spans="1:2" ht="12.5">
      <c r="A4369">
        <v>0</v>
      </c>
      <c r="B4369">
        <v>0</v>
      </c>
    </row>
    <row r="4370" spans="1:2" ht="12.5">
      <c r="A4370">
        <v>0</v>
      </c>
      <c r="B4370">
        <v>0</v>
      </c>
    </row>
    <row r="4371" spans="1:2" ht="12.5">
      <c r="A4371">
        <v>0</v>
      </c>
      <c r="B4371">
        <v>0</v>
      </c>
    </row>
    <row r="4372" spans="1:2" ht="12.5">
      <c r="A4372">
        <v>0</v>
      </c>
      <c r="B4372">
        <v>0</v>
      </c>
    </row>
    <row r="4373" spans="1:2" ht="12.5">
      <c r="A4373">
        <v>0</v>
      </c>
      <c r="B4373">
        <v>0</v>
      </c>
    </row>
    <row r="4374" spans="1:2" ht="12.5">
      <c r="A4374">
        <v>0</v>
      </c>
      <c r="B4374">
        <v>0</v>
      </c>
    </row>
    <row r="4375" spans="1:2" ht="12.5">
      <c r="A4375">
        <v>0</v>
      </c>
      <c r="B4375">
        <v>0</v>
      </c>
    </row>
    <row r="4376" spans="1:2" ht="12.5">
      <c r="A4376">
        <v>0</v>
      </c>
      <c r="B4376">
        <v>0</v>
      </c>
    </row>
    <row r="4377" spans="1:2" ht="12.5">
      <c r="A4377">
        <v>0</v>
      </c>
      <c r="B4377">
        <v>0</v>
      </c>
    </row>
    <row r="4378" spans="1:2" ht="12.5">
      <c r="A4378">
        <v>0</v>
      </c>
      <c r="B4378">
        <v>0</v>
      </c>
    </row>
    <row r="4379" spans="1:2" ht="12.5">
      <c r="A4379">
        <v>0</v>
      </c>
      <c r="B4379">
        <v>0</v>
      </c>
    </row>
    <row r="4380" spans="1:2" ht="12.5">
      <c r="A4380">
        <v>0</v>
      </c>
      <c r="B4380">
        <v>0</v>
      </c>
    </row>
    <row r="4381" spans="1:2" ht="12.5">
      <c r="A4381">
        <v>0</v>
      </c>
      <c r="B4381">
        <v>0</v>
      </c>
    </row>
    <row r="4382" spans="1:2" ht="12.5">
      <c r="A4382">
        <v>0</v>
      </c>
      <c r="B4382">
        <v>0</v>
      </c>
    </row>
    <row r="4383" spans="1:2" ht="12.5">
      <c r="A4383">
        <v>0</v>
      </c>
      <c r="B4383">
        <v>0</v>
      </c>
    </row>
    <row r="4384" spans="1:2" ht="12.5">
      <c r="A4384">
        <v>0</v>
      </c>
      <c r="B4384">
        <v>0</v>
      </c>
    </row>
    <row r="4385" spans="1:2" ht="12.5">
      <c r="A4385">
        <v>0</v>
      </c>
      <c r="B4385">
        <v>0</v>
      </c>
    </row>
    <row r="4386" spans="1:2" ht="12.5">
      <c r="A4386">
        <v>0</v>
      </c>
      <c r="B4386">
        <v>0</v>
      </c>
    </row>
    <row r="4387" spans="1:2" ht="12.5">
      <c r="A4387">
        <v>0</v>
      </c>
      <c r="B4387">
        <v>0</v>
      </c>
    </row>
    <row r="4388" spans="1:2" ht="12.5">
      <c r="A4388">
        <v>0</v>
      </c>
      <c r="B4388">
        <v>0</v>
      </c>
    </row>
    <row r="4389" spans="1:2" ht="12.5">
      <c r="A4389">
        <v>0</v>
      </c>
      <c r="B4389">
        <v>0</v>
      </c>
    </row>
    <row r="4390" spans="1:2" ht="12.5">
      <c r="A4390">
        <v>0</v>
      </c>
      <c r="B4390">
        <v>0</v>
      </c>
    </row>
    <row r="4391" spans="1:2" ht="12.5">
      <c r="A4391">
        <v>0</v>
      </c>
      <c r="B4391">
        <v>0</v>
      </c>
    </row>
    <row r="4392" spans="1:2" ht="12.5">
      <c r="A4392">
        <v>0</v>
      </c>
      <c r="B4392">
        <v>0</v>
      </c>
    </row>
    <row r="4393" spans="1:2" ht="12.5">
      <c r="A4393">
        <v>0</v>
      </c>
      <c r="B4393">
        <v>0</v>
      </c>
    </row>
    <row r="4394" spans="1:2" ht="12.5">
      <c r="A4394">
        <v>0</v>
      </c>
      <c r="B4394">
        <v>0</v>
      </c>
    </row>
    <row r="4395" spans="1:2" ht="12.5">
      <c r="A4395">
        <v>0</v>
      </c>
      <c r="B4395">
        <v>0</v>
      </c>
    </row>
    <row r="4396" spans="1:2" ht="12.5">
      <c r="A4396">
        <v>0</v>
      </c>
      <c r="B4396">
        <v>0</v>
      </c>
    </row>
    <row r="4397" spans="1:2" ht="12.5">
      <c r="A4397">
        <v>0</v>
      </c>
      <c r="B4397">
        <v>0</v>
      </c>
    </row>
    <row r="4398" spans="1:2" ht="12.5">
      <c r="A4398">
        <v>0</v>
      </c>
      <c r="B4398">
        <v>0</v>
      </c>
    </row>
    <row r="4399" spans="1:2" ht="12.5">
      <c r="A4399">
        <v>0</v>
      </c>
      <c r="B4399">
        <v>0</v>
      </c>
    </row>
    <row r="4400" spans="1:2" ht="12.5">
      <c r="A4400">
        <v>0</v>
      </c>
      <c r="B4400">
        <v>0</v>
      </c>
    </row>
    <row r="4401" spans="1:2" ht="12.5">
      <c r="A4401">
        <v>0</v>
      </c>
      <c r="B4401">
        <v>0</v>
      </c>
    </row>
    <row r="4402" spans="1:2" ht="12.5">
      <c r="A4402">
        <v>0</v>
      </c>
      <c r="B4402">
        <v>0</v>
      </c>
    </row>
    <row r="4403" spans="1:2" ht="12.5">
      <c r="A4403">
        <v>0</v>
      </c>
      <c r="B4403">
        <v>0</v>
      </c>
    </row>
    <row r="4404" spans="1:2" ht="12.5">
      <c r="A4404">
        <v>0</v>
      </c>
      <c r="B4404">
        <v>0</v>
      </c>
    </row>
    <row r="4405" spans="1:2" ht="12.5">
      <c r="A4405">
        <v>0</v>
      </c>
      <c r="B4405">
        <v>0</v>
      </c>
    </row>
    <row r="4406" spans="1:2" ht="12.5">
      <c r="A4406">
        <v>0</v>
      </c>
      <c r="B4406">
        <v>0</v>
      </c>
    </row>
    <row r="4407" spans="1:2" ht="12.5">
      <c r="A4407">
        <v>0</v>
      </c>
      <c r="B4407">
        <v>0</v>
      </c>
    </row>
    <row r="4408" spans="1:2" ht="12.5">
      <c r="A4408">
        <v>0</v>
      </c>
      <c r="B4408">
        <v>0</v>
      </c>
    </row>
    <row r="4409" spans="1:2" ht="12.5">
      <c r="A4409">
        <v>0</v>
      </c>
      <c r="B4409">
        <v>0</v>
      </c>
    </row>
    <row r="4410" spans="1:2" ht="12.5">
      <c r="A4410">
        <v>0</v>
      </c>
      <c r="B4410">
        <v>0</v>
      </c>
    </row>
    <row r="4411" spans="1:2" ht="12.5">
      <c r="A4411">
        <v>0</v>
      </c>
      <c r="B4411">
        <v>0</v>
      </c>
    </row>
    <row r="4412" spans="1:2" ht="12.5">
      <c r="A4412">
        <v>0</v>
      </c>
      <c r="B4412">
        <v>0</v>
      </c>
    </row>
    <row r="4413" spans="1:2" ht="12.5">
      <c r="A4413">
        <v>0</v>
      </c>
      <c r="B4413">
        <v>0</v>
      </c>
    </row>
    <row r="4414" spans="1:2" ht="12.5">
      <c r="A4414">
        <v>0</v>
      </c>
      <c r="B4414">
        <v>0</v>
      </c>
    </row>
    <row r="4415" spans="1:2" ht="12.5">
      <c r="A4415">
        <v>0</v>
      </c>
      <c r="B4415">
        <v>0</v>
      </c>
    </row>
    <row r="4416" spans="1:2" ht="12.5">
      <c r="A4416">
        <v>0</v>
      </c>
      <c r="B4416">
        <v>0</v>
      </c>
    </row>
    <row r="4417" spans="1:2" ht="12.5">
      <c r="A4417">
        <v>0</v>
      </c>
      <c r="B4417">
        <v>0</v>
      </c>
    </row>
    <row r="4418" spans="1:2" ht="12.5">
      <c r="A4418">
        <v>0</v>
      </c>
      <c r="B4418">
        <v>0</v>
      </c>
    </row>
    <row r="4419" spans="1:2" ht="12.5">
      <c r="A4419">
        <v>0</v>
      </c>
      <c r="B4419">
        <v>0</v>
      </c>
    </row>
    <row r="4420" spans="1:2" ht="12.5">
      <c r="A4420">
        <v>0</v>
      </c>
      <c r="B4420">
        <v>0</v>
      </c>
    </row>
    <row r="4421" spans="1:2" ht="12.5">
      <c r="A4421">
        <v>0</v>
      </c>
      <c r="B4421">
        <v>0</v>
      </c>
    </row>
    <row r="4422" spans="1:2" ht="12.5">
      <c r="A4422">
        <v>0</v>
      </c>
      <c r="B4422">
        <v>0</v>
      </c>
    </row>
    <row r="4423" spans="1:2" ht="12.5">
      <c r="A4423">
        <v>0</v>
      </c>
      <c r="B4423">
        <v>0</v>
      </c>
    </row>
    <row r="4424" spans="1:2" ht="12.5">
      <c r="A4424">
        <v>0</v>
      </c>
      <c r="B4424">
        <v>0</v>
      </c>
    </row>
    <row r="4425" spans="1:2" ht="12.5">
      <c r="A4425">
        <v>0</v>
      </c>
      <c r="B4425">
        <v>0</v>
      </c>
    </row>
    <row r="4426" spans="1:2" ht="12.5">
      <c r="A4426">
        <v>0</v>
      </c>
      <c r="B4426">
        <v>0</v>
      </c>
    </row>
    <row r="4427" spans="1:2" ht="12.5">
      <c r="A4427">
        <v>0</v>
      </c>
      <c r="B4427">
        <v>0</v>
      </c>
    </row>
    <row r="4428" spans="1:2" ht="12.5">
      <c r="A4428">
        <v>0</v>
      </c>
      <c r="B4428">
        <v>0</v>
      </c>
    </row>
    <row r="4429" spans="1:2" ht="12.5">
      <c r="A4429">
        <v>0</v>
      </c>
      <c r="B4429">
        <v>0</v>
      </c>
    </row>
    <row r="4430" spans="1:2" ht="12.5">
      <c r="A4430">
        <v>0</v>
      </c>
      <c r="B4430">
        <v>0</v>
      </c>
    </row>
    <row r="4431" spans="1:2" ht="12.5">
      <c r="A4431">
        <v>0</v>
      </c>
      <c r="B4431">
        <v>0</v>
      </c>
    </row>
    <row r="4432" spans="1:2" ht="12.5">
      <c r="A4432">
        <v>0</v>
      </c>
      <c r="B4432">
        <v>0</v>
      </c>
    </row>
    <row r="4433" spans="1:2" ht="12.5">
      <c r="A4433">
        <v>0</v>
      </c>
      <c r="B4433">
        <v>0</v>
      </c>
    </row>
    <row r="4434" spans="1:2" ht="12.5">
      <c r="A4434">
        <v>0</v>
      </c>
      <c r="B4434">
        <v>0</v>
      </c>
    </row>
    <row r="4435" spans="1:2" ht="12.5">
      <c r="A4435">
        <v>0</v>
      </c>
      <c r="B4435">
        <v>0</v>
      </c>
    </row>
    <row r="4436" spans="1:2" ht="12.5">
      <c r="A4436">
        <v>0</v>
      </c>
      <c r="B4436">
        <v>0</v>
      </c>
    </row>
    <row r="4437" spans="1:2" ht="12.5">
      <c r="A4437">
        <v>0</v>
      </c>
      <c r="B4437">
        <v>0</v>
      </c>
    </row>
    <row r="4438" spans="1:2" ht="12.5">
      <c r="A4438">
        <v>0</v>
      </c>
      <c r="B4438">
        <v>0</v>
      </c>
    </row>
    <row r="4439" spans="1:2" ht="12.5">
      <c r="A4439">
        <v>0</v>
      </c>
      <c r="B4439">
        <v>0</v>
      </c>
    </row>
    <row r="4440" spans="1:2" ht="12.5">
      <c r="A4440">
        <v>0</v>
      </c>
      <c r="B4440">
        <v>0</v>
      </c>
    </row>
    <row r="4441" spans="1:2" ht="12.5">
      <c r="A4441">
        <v>0</v>
      </c>
      <c r="B4441">
        <v>0</v>
      </c>
    </row>
    <row r="4442" spans="1:2" ht="12.5">
      <c r="A4442">
        <v>0</v>
      </c>
      <c r="B4442">
        <v>0</v>
      </c>
    </row>
    <row r="4443" spans="1:2" ht="12.5">
      <c r="A4443">
        <v>0</v>
      </c>
      <c r="B4443">
        <v>0</v>
      </c>
    </row>
    <row r="4444" spans="1:2" ht="12.5">
      <c r="A4444">
        <v>0</v>
      </c>
      <c r="B4444">
        <v>0</v>
      </c>
    </row>
    <row r="4445" spans="1:2" ht="12.5">
      <c r="A4445">
        <v>0</v>
      </c>
      <c r="B4445">
        <v>0</v>
      </c>
    </row>
    <row r="4446" spans="1:2" ht="12.5">
      <c r="A4446">
        <v>0</v>
      </c>
      <c r="B4446">
        <v>0</v>
      </c>
    </row>
    <row r="4447" spans="1:2" ht="12.5">
      <c r="A4447">
        <v>0</v>
      </c>
      <c r="B4447">
        <v>0</v>
      </c>
    </row>
    <row r="4448" spans="1:2" ht="12.5">
      <c r="A4448">
        <v>0</v>
      </c>
      <c r="B4448">
        <v>0</v>
      </c>
    </row>
    <row r="4449" spans="1:2" ht="12.5">
      <c r="A4449">
        <v>0</v>
      </c>
      <c r="B4449">
        <v>0</v>
      </c>
    </row>
    <row r="4450" spans="1:2" ht="12.5">
      <c r="A4450">
        <v>0</v>
      </c>
      <c r="B4450">
        <v>0</v>
      </c>
    </row>
    <row r="4451" spans="1:2" ht="12.5">
      <c r="A4451">
        <v>0</v>
      </c>
      <c r="B4451">
        <v>0</v>
      </c>
    </row>
    <row r="4452" spans="1:2" ht="12.5">
      <c r="A4452">
        <v>0</v>
      </c>
      <c r="B4452">
        <v>0</v>
      </c>
    </row>
    <row r="4453" spans="1:2" ht="12.5">
      <c r="A4453">
        <v>0</v>
      </c>
      <c r="B4453">
        <v>0</v>
      </c>
    </row>
    <row r="4454" spans="1:2" ht="12.5">
      <c r="A4454">
        <v>0</v>
      </c>
      <c r="B4454">
        <v>0</v>
      </c>
    </row>
    <row r="4455" spans="1:2" ht="12.5">
      <c r="A4455">
        <v>0</v>
      </c>
      <c r="B4455">
        <v>0</v>
      </c>
    </row>
    <row r="4456" spans="1:2" ht="12.5">
      <c r="A4456">
        <v>0</v>
      </c>
      <c r="B4456">
        <v>0</v>
      </c>
    </row>
    <row r="4457" spans="1:2" ht="12.5">
      <c r="A4457">
        <v>0</v>
      </c>
      <c r="B4457">
        <v>0</v>
      </c>
    </row>
    <row r="4458" spans="1:2" ht="12.5">
      <c r="A4458">
        <v>0</v>
      </c>
      <c r="B4458">
        <v>0</v>
      </c>
    </row>
    <row r="4459" spans="1:2" ht="12.5">
      <c r="A4459">
        <v>0</v>
      </c>
      <c r="B4459">
        <v>0</v>
      </c>
    </row>
    <row r="4460" spans="1:2" ht="12.5">
      <c r="A4460">
        <v>0</v>
      </c>
      <c r="B4460">
        <v>0</v>
      </c>
    </row>
    <row r="4461" spans="1:2" ht="12.5">
      <c r="A4461">
        <v>0</v>
      </c>
      <c r="B4461">
        <v>0</v>
      </c>
    </row>
    <row r="4462" spans="1:2" ht="12.5">
      <c r="A4462">
        <v>0</v>
      </c>
      <c r="B4462">
        <v>0</v>
      </c>
    </row>
    <row r="4463" spans="1:2" ht="12.5">
      <c r="A4463">
        <v>0</v>
      </c>
      <c r="B4463">
        <v>0</v>
      </c>
    </row>
    <row r="4464" spans="1:2" ht="12.5">
      <c r="A4464">
        <v>0</v>
      </c>
      <c r="B4464">
        <v>0</v>
      </c>
    </row>
    <row r="4465" spans="1:2" ht="12.5">
      <c r="A4465">
        <v>0</v>
      </c>
      <c r="B4465">
        <v>0</v>
      </c>
    </row>
    <row r="4466" spans="1:2" ht="12.5">
      <c r="A4466">
        <v>0</v>
      </c>
      <c r="B4466">
        <v>0</v>
      </c>
    </row>
    <row r="4467" spans="1:2" ht="12.5">
      <c r="A4467">
        <v>0</v>
      </c>
      <c r="B4467">
        <v>0</v>
      </c>
    </row>
    <row r="4468" spans="1:2" ht="12.5">
      <c r="A4468">
        <v>0</v>
      </c>
      <c r="B4468">
        <v>0</v>
      </c>
    </row>
    <row r="4469" spans="1:2" ht="12.5">
      <c r="A4469">
        <v>0</v>
      </c>
      <c r="B4469">
        <v>0</v>
      </c>
    </row>
    <row r="4470" spans="1:2" ht="12.5">
      <c r="A4470">
        <v>0</v>
      </c>
      <c r="B4470">
        <v>0</v>
      </c>
    </row>
    <row r="4471" spans="1:2" ht="12.5">
      <c r="A4471">
        <v>0</v>
      </c>
      <c r="B4471">
        <v>0</v>
      </c>
    </row>
    <row r="4472" spans="1:2" ht="12.5">
      <c r="A4472">
        <v>0</v>
      </c>
      <c r="B4472">
        <v>0</v>
      </c>
    </row>
    <row r="4473" spans="1:2" ht="12.5">
      <c r="A4473">
        <v>0</v>
      </c>
      <c r="B4473">
        <v>0</v>
      </c>
    </row>
    <row r="4474" spans="1:2" ht="12.5">
      <c r="A4474">
        <v>0</v>
      </c>
      <c r="B4474">
        <v>0</v>
      </c>
    </row>
    <row r="4475" spans="1:2" ht="12.5">
      <c r="A4475">
        <v>0</v>
      </c>
      <c r="B4475">
        <v>0</v>
      </c>
    </row>
    <row r="4476" spans="1:2" ht="12.5">
      <c r="A4476">
        <v>0</v>
      </c>
      <c r="B4476">
        <v>0</v>
      </c>
    </row>
    <row r="4477" spans="1:2" ht="12.5">
      <c r="A4477">
        <v>0</v>
      </c>
      <c r="B4477">
        <v>0</v>
      </c>
    </row>
    <row r="4478" spans="1:2" ht="12.5">
      <c r="A4478">
        <v>0</v>
      </c>
      <c r="B4478">
        <v>0</v>
      </c>
    </row>
    <row r="4479" spans="1:2" ht="12.5">
      <c r="A4479">
        <v>0</v>
      </c>
      <c r="B4479">
        <v>0</v>
      </c>
    </row>
    <row r="4480" spans="1:2" ht="12.5">
      <c r="A4480">
        <v>0</v>
      </c>
      <c r="B4480">
        <v>0</v>
      </c>
    </row>
    <row r="4481" spans="1:2" ht="12.5">
      <c r="A4481">
        <v>0</v>
      </c>
      <c r="B4481">
        <v>0</v>
      </c>
    </row>
    <row r="4482" spans="1:2" ht="12.5">
      <c r="A4482">
        <v>0</v>
      </c>
      <c r="B4482">
        <v>0</v>
      </c>
    </row>
    <row r="4483" spans="1:2" ht="12.5">
      <c r="A4483">
        <v>0</v>
      </c>
      <c r="B4483">
        <v>0</v>
      </c>
    </row>
    <row r="4484" spans="1:2" ht="12.5">
      <c r="A4484">
        <v>0</v>
      </c>
      <c r="B4484">
        <v>0</v>
      </c>
    </row>
    <row r="4485" spans="1:2" ht="12.5">
      <c r="A4485">
        <v>0</v>
      </c>
      <c r="B4485">
        <v>0</v>
      </c>
    </row>
    <row r="4486" spans="1:2" ht="12.5">
      <c r="A4486">
        <v>0</v>
      </c>
      <c r="B4486">
        <v>0</v>
      </c>
    </row>
    <row r="4487" spans="1:2" ht="12.5">
      <c r="A4487">
        <v>0</v>
      </c>
      <c r="B4487">
        <v>0</v>
      </c>
    </row>
    <row r="4488" spans="1:2" ht="12.5">
      <c r="A4488">
        <v>0</v>
      </c>
      <c r="B4488">
        <v>0</v>
      </c>
    </row>
    <row r="4489" spans="1:2" ht="12.5">
      <c r="A4489">
        <v>0</v>
      </c>
      <c r="B4489">
        <v>0</v>
      </c>
    </row>
    <row r="4490" spans="1:2" ht="12.5">
      <c r="A4490">
        <v>0</v>
      </c>
      <c r="B4490">
        <v>0</v>
      </c>
    </row>
    <row r="4491" spans="1:2" ht="12.5">
      <c r="A4491">
        <v>0</v>
      </c>
      <c r="B4491">
        <v>0</v>
      </c>
    </row>
    <row r="4492" spans="1:2" ht="12.5">
      <c r="A4492">
        <v>0</v>
      </c>
      <c r="B4492">
        <v>0</v>
      </c>
    </row>
    <row r="4493" spans="1:2" ht="12.5">
      <c r="A4493">
        <v>0</v>
      </c>
      <c r="B4493">
        <v>0</v>
      </c>
    </row>
    <row r="4494" spans="1:2" ht="12.5">
      <c r="A4494">
        <v>0</v>
      </c>
      <c r="B4494">
        <v>0</v>
      </c>
    </row>
    <row r="4495" spans="1:2" ht="12.5">
      <c r="A4495">
        <v>0</v>
      </c>
      <c r="B4495">
        <v>0</v>
      </c>
    </row>
    <row r="4496" spans="1:2" ht="12.5">
      <c r="A4496">
        <v>0</v>
      </c>
      <c r="B4496">
        <v>0</v>
      </c>
    </row>
    <row r="4497" spans="1:2" ht="12.5">
      <c r="A4497">
        <v>0</v>
      </c>
      <c r="B4497">
        <v>0</v>
      </c>
    </row>
    <row r="4498" spans="1:2" ht="12.5">
      <c r="A4498">
        <v>0</v>
      </c>
      <c r="B4498">
        <v>0</v>
      </c>
    </row>
    <row r="4499" spans="1:2" ht="12.5">
      <c r="A4499">
        <v>0</v>
      </c>
      <c r="B4499">
        <v>0</v>
      </c>
    </row>
    <row r="4500" spans="1:2" ht="12.5">
      <c r="A4500">
        <v>0</v>
      </c>
      <c r="B4500">
        <v>0</v>
      </c>
    </row>
    <row r="4501" spans="1:2" ht="12.5">
      <c r="A4501">
        <v>0</v>
      </c>
      <c r="B4501">
        <v>0</v>
      </c>
    </row>
    <row r="4502" spans="1:2" ht="12.5">
      <c r="A4502">
        <v>0</v>
      </c>
      <c r="B4502">
        <v>0</v>
      </c>
    </row>
    <row r="4503" spans="1:2" ht="12.5">
      <c r="A4503">
        <v>0</v>
      </c>
      <c r="B4503">
        <v>0</v>
      </c>
    </row>
    <row r="4504" spans="1:2" ht="12.5">
      <c r="A4504">
        <v>0</v>
      </c>
      <c r="B4504">
        <v>0</v>
      </c>
    </row>
    <row r="4505" spans="1:2" ht="12.5">
      <c r="A4505">
        <v>0</v>
      </c>
      <c r="B4505">
        <v>0</v>
      </c>
    </row>
    <row r="4506" spans="1:2" ht="12.5">
      <c r="A4506">
        <v>0</v>
      </c>
      <c r="B4506">
        <v>0</v>
      </c>
    </row>
    <row r="4507" spans="1:2" ht="12.5">
      <c r="A4507">
        <v>0</v>
      </c>
      <c r="B4507">
        <v>0</v>
      </c>
    </row>
    <row r="4508" spans="1:2" ht="12.5">
      <c r="A4508">
        <v>0</v>
      </c>
      <c r="B4508">
        <v>0</v>
      </c>
    </row>
    <row r="4509" spans="1:2" ht="12.5">
      <c r="A4509">
        <v>0</v>
      </c>
      <c r="B4509">
        <v>0</v>
      </c>
    </row>
    <row r="4510" spans="1:2" ht="12.5">
      <c r="A4510">
        <v>0</v>
      </c>
      <c r="B4510">
        <v>0</v>
      </c>
    </row>
    <row r="4511" spans="1:2" ht="12.5">
      <c r="A4511">
        <v>0</v>
      </c>
      <c r="B4511">
        <v>0</v>
      </c>
    </row>
    <row r="4512" spans="1:2" ht="12.5">
      <c r="A4512">
        <v>0</v>
      </c>
      <c r="B4512">
        <v>0</v>
      </c>
    </row>
    <row r="4513" spans="1:2" ht="12.5">
      <c r="A4513">
        <v>0</v>
      </c>
      <c r="B4513">
        <v>0</v>
      </c>
    </row>
    <row r="4514" spans="1:2" ht="12.5">
      <c r="A4514">
        <v>0</v>
      </c>
      <c r="B4514">
        <v>0</v>
      </c>
    </row>
    <row r="4515" spans="1:2" ht="12.5">
      <c r="A4515">
        <v>0</v>
      </c>
      <c r="B4515">
        <v>0</v>
      </c>
    </row>
    <row r="4516" spans="1:2" ht="12.5">
      <c r="A4516">
        <v>0</v>
      </c>
      <c r="B4516">
        <v>0</v>
      </c>
    </row>
    <row r="4517" spans="1:2" ht="12.5">
      <c r="A4517">
        <v>0</v>
      </c>
      <c r="B4517">
        <v>0</v>
      </c>
    </row>
    <row r="4518" spans="1:2" ht="12.5">
      <c r="A4518">
        <v>0</v>
      </c>
      <c r="B4518">
        <v>0</v>
      </c>
    </row>
    <row r="4519" spans="1:2" ht="12.5">
      <c r="A4519">
        <v>0</v>
      </c>
      <c r="B4519">
        <v>0</v>
      </c>
    </row>
    <row r="4520" spans="1:2" ht="12.5">
      <c r="A4520">
        <v>0</v>
      </c>
      <c r="B4520">
        <v>0</v>
      </c>
    </row>
    <row r="4521" spans="1:2" ht="12.5">
      <c r="A4521">
        <v>0</v>
      </c>
      <c r="B4521">
        <v>0</v>
      </c>
    </row>
    <row r="4522" spans="1:2" ht="12.5">
      <c r="A4522">
        <v>0</v>
      </c>
      <c r="B4522">
        <v>0</v>
      </c>
    </row>
    <row r="4523" spans="1:2" ht="12.5">
      <c r="A4523">
        <v>0</v>
      </c>
      <c r="B4523">
        <v>0</v>
      </c>
    </row>
    <row r="4524" spans="1:2" ht="12.5">
      <c r="A4524">
        <v>0</v>
      </c>
      <c r="B4524">
        <v>0</v>
      </c>
    </row>
    <row r="4525" spans="1:2" ht="12.5">
      <c r="A4525">
        <v>0</v>
      </c>
      <c r="B4525">
        <v>0</v>
      </c>
    </row>
    <row r="4526" spans="1:2" ht="12.5">
      <c r="A4526">
        <v>0</v>
      </c>
      <c r="B4526">
        <v>0</v>
      </c>
    </row>
    <row r="4527" spans="1:2" ht="12.5">
      <c r="A4527">
        <v>0</v>
      </c>
      <c r="B4527">
        <v>0</v>
      </c>
    </row>
    <row r="4528" spans="1:2" ht="12.5">
      <c r="A4528">
        <v>0</v>
      </c>
      <c r="B4528">
        <v>0</v>
      </c>
    </row>
    <row r="4529" spans="1:2" ht="12.5">
      <c r="A4529">
        <v>0</v>
      </c>
      <c r="B4529">
        <v>0</v>
      </c>
    </row>
    <row r="4530" spans="1:2" ht="12.5">
      <c r="A4530">
        <v>0</v>
      </c>
      <c r="B4530">
        <v>0</v>
      </c>
    </row>
    <row r="4531" spans="1:2" ht="12.5">
      <c r="A4531">
        <v>0</v>
      </c>
      <c r="B4531">
        <v>0</v>
      </c>
    </row>
    <row r="4532" spans="1:2" ht="12.5">
      <c r="A4532">
        <v>0</v>
      </c>
      <c r="B4532">
        <v>0</v>
      </c>
    </row>
    <row r="4533" spans="1:2" ht="12.5">
      <c r="A4533">
        <v>0</v>
      </c>
      <c r="B4533">
        <v>0</v>
      </c>
    </row>
    <row r="4534" spans="1:2" ht="12.5">
      <c r="A4534">
        <v>0</v>
      </c>
      <c r="B4534">
        <v>0</v>
      </c>
    </row>
    <row r="4535" spans="1:2" ht="12.5">
      <c r="A4535">
        <v>0</v>
      </c>
      <c r="B4535">
        <v>0</v>
      </c>
    </row>
    <row r="4536" spans="1:2" ht="12.5">
      <c r="A4536">
        <v>0</v>
      </c>
      <c r="B4536">
        <v>0</v>
      </c>
    </row>
    <row r="4537" spans="1:2" ht="12.5">
      <c r="A4537">
        <v>0</v>
      </c>
      <c r="B4537">
        <v>0</v>
      </c>
    </row>
    <row r="4538" spans="1:2" ht="12.5">
      <c r="A4538">
        <v>0</v>
      </c>
      <c r="B4538">
        <v>0</v>
      </c>
    </row>
    <row r="4539" spans="1:2" ht="12.5">
      <c r="A4539">
        <v>0</v>
      </c>
      <c r="B4539">
        <v>0</v>
      </c>
    </row>
    <row r="4540" spans="1:2" ht="12.5">
      <c r="A4540">
        <v>0</v>
      </c>
      <c r="B4540">
        <v>0</v>
      </c>
    </row>
    <row r="4541" spans="1:2" ht="12.5">
      <c r="A4541">
        <v>0</v>
      </c>
      <c r="B4541">
        <v>0</v>
      </c>
    </row>
    <row r="4542" spans="1:2" ht="12.5">
      <c r="A4542">
        <v>0</v>
      </c>
      <c r="B4542">
        <v>0</v>
      </c>
    </row>
    <row r="4543" spans="1:2" ht="12.5">
      <c r="A4543">
        <v>0</v>
      </c>
      <c r="B4543">
        <v>0</v>
      </c>
    </row>
    <row r="4544" spans="1:2" ht="12.5">
      <c r="A4544">
        <v>0</v>
      </c>
      <c r="B4544">
        <v>0</v>
      </c>
    </row>
    <row r="4545" spans="1:2" ht="12.5">
      <c r="A4545">
        <v>0</v>
      </c>
      <c r="B4545">
        <v>0</v>
      </c>
    </row>
    <row r="4546" spans="1:2" ht="12.5">
      <c r="A4546">
        <v>0</v>
      </c>
      <c r="B4546">
        <v>0</v>
      </c>
    </row>
    <row r="4547" spans="1:2" ht="12.5">
      <c r="A4547">
        <v>0</v>
      </c>
      <c r="B4547">
        <v>0</v>
      </c>
    </row>
    <row r="4548" spans="1:2" ht="12.5">
      <c r="A4548">
        <v>0</v>
      </c>
      <c r="B4548">
        <v>0</v>
      </c>
    </row>
    <row r="4549" spans="1:2" ht="12.5">
      <c r="A4549">
        <v>0</v>
      </c>
      <c r="B4549">
        <v>0</v>
      </c>
    </row>
    <row r="4550" spans="1:2" ht="12.5">
      <c r="A4550">
        <v>0</v>
      </c>
      <c r="B4550">
        <v>0</v>
      </c>
    </row>
    <row r="4551" spans="1:2" ht="12.5">
      <c r="A4551">
        <v>0</v>
      </c>
      <c r="B4551">
        <v>0</v>
      </c>
    </row>
    <row r="4552" spans="1:2" ht="12.5">
      <c r="A4552">
        <v>0</v>
      </c>
      <c r="B4552">
        <v>0</v>
      </c>
    </row>
    <row r="4553" spans="1:2" ht="12.5">
      <c r="A4553">
        <v>0</v>
      </c>
      <c r="B4553">
        <v>0</v>
      </c>
    </row>
    <row r="4554" spans="1:2" ht="12.5">
      <c r="A4554">
        <v>0</v>
      </c>
      <c r="B4554">
        <v>0</v>
      </c>
    </row>
    <row r="4555" spans="1:2" ht="12.5">
      <c r="A4555">
        <v>0</v>
      </c>
      <c r="B4555">
        <v>0</v>
      </c>
    </row>
    <row r="4556" spans="1:2" ht="12.5">
      <c r="A4556">
        <v>0</v>
      </c>
      <c r="B4556">
        <v>0</v>
      </c>
    </row>
    <row r="4557" spans="1:2" ht="12.5">
      <c r="A4557">
        <v>0</v>
      </c>
      <c r="B4557">
        <v>0</v>
      </c>
    </row>
    <row r="4558" spans="1:2" ht="12.5">
      <c r="A4558">
        <v>0</v>
      </c>
      <c r="B4558">
        <v>0</v>
      </c>
    </row>
    <row r="4559" spans="1:2" ht="12.5">
      <c r="A4559">
        <v>0</v>
      </c>
      <c r="B4559">
        <v>0</v>
      </c>
    </row>
    <row r="4560" spans="1:2" ht="12.5">
      <c r="A4560">
        <v>0</v>
      </c>
      <c r="B4560">
        <v>0</v>
      </c>
    </row>
    <row r="4561" spans="1:2" ht="12.5">
      <c r="A4561">
        <v>0</v>
      </c>
      <c r="B4561">
        <v>0</v>
      </c>
    </row>
    <row r="4562" spans="1:2" ht="12.5">
      <c r="A4562">
        <v>0</v>
      </c>
      <c r="B4562">
        <v>0</v>
      </c>
    </row>
    <row r="4563" spans="1:2" ht="12.5">
      <c r="A4563">
        <v>0</v>
      </c>
      <c r="B4563">
        <v>0</v>
      </c>
    </row>
    <row r="4564" spans="1:2" ht="12.5">
      <c r="A4564">
        <v>0</v>
      </c>
      <c r="B4564">
        <v>0</v>
      </c>
    </row>
    <row r="4565" spans="1:2" ht="12.5">
      <c r="A4565">
        <v>0</v>
      </c>
      <c r="B4565">
        <v>0</v>
      </c>
    </row>
    <row r="4566" spans="1:2" ht="12.5">
      <c r="A4566">
        <v>0</v>
      </c>
      <c r="B4566">
        <v>0</v>
      </c>
    </row>
    <row r="4567" spans="1:2" ht="12.5">
      <c r="A4567">
        <v>0</v>
      </c>
      <c r="B4567">
        <v>0</v>
      </c>
    </row>
    <row r="4568" spans="1:2" ht="12.5">
      <c r="A4568">
        <v>0</v>
      </c>
      <c r="B4568">
        <v>0</v>
      </c>
    </row>
    <row r="4569" spans="1:2" ht="12.5">
      <c r="A4569">
        <v>0</v>
      </c>
      <c r="B4569">
        <v>0</v>
      </c>
    </row>
    <row r="4570" spans="1:2" ht="12.5">
      <c r="A4570">
        <v>0</v>
      </c>
      <c r="B4570">
        <v>0</v>
      </c>
    </row>
    <row r="4571" spans="1:2" ht="12.5">
      <c r="A4571">
        <v>0</v>
      </c>
      <c r="B4571">
        <v>0</v>
      </c>
    </row>
    <row r="4572" spans="1:2" ht="12.5">
      <c r="A4572">
        <v>0</v>
      </c>
      <c r="B4572">
        <v>0</v>
      </c>
    </row>
    <row r="4573" spans="1:2" ht="12.5">
      <c r="A4573">
        <v>0</v>
      </c>
      <c r="B4573">
        <v>0</v>
      </c>
    </row>
    <row r="4574" spans="1:2" ht="12.5">
      <c r="A4574">
        <v>0</v>
      </c>
      <c r="B4574">
        <v>0</v>
      </c>
    </row>
    <row r="4575" spans="1:2" ht="12.5">
      <c r="A4575">
        <v>0</v>
      </c>
      <c r="B4575">
        <v>0</v>
      </c>
    </row>
    <row r="4576" spans="1:2" ht="12.5">
      <c r="A4576">
        <v>0</v>
      </c>
      <c r="B4576">
        <v>0</v>
      </c>
    </row>
    <row r="4577" spans="1:2" ht="12.5">
      <c r="A4577">
        <v>0</v>
      </c>
      <c r="B4577">
        <v>0</v>
      </c>
    </row>
    <row r="4578" spans="1:2" ht="12.5">
      <c r="A4578">
        <v>0</v>
      </c>
      <c r="B4578">
        <v>0</v>
      </c>
    </row>
    <row r="4579" spans="1:2" ht="12.5">
      <c r="A4579">
        <v>0</v>
      </c>
      <c r="B4579">
        <v>0</v>
      </c>
    </row>
    <row r="4580" spans="1:2" ht="12.5">
      <c r="A4580">
        <v>0</v>
      </c>
      <c r="B4580">
        <v>0</v>
      </c>
    </row>
    <row r="4581" spans="1:2" ht="12.5">
      <c r="A4581">
        <v>0</v>
      </c>
      <c r="B4581">
        <v>0</v>
      </c>
    </row>
    <row r="4582" spans="1:2" ht="12.5">
      <c r="A4582">
        <v>0</v>
      </c>
      <c r="B4582">
        <v>0</v>
      </c>
    </row>
    <row r="4583" spans="1:2" ht="12.5">
      <c r="A4583">
        <v>0</v>
      </c>
      <c r="B4583">
        <v>0</v>
      </c>
    </row>
    <row r="4584" spans="1:2" ht="12.5">
      <c r="A4584">
        <v>0</v>
      </c>
      <c r="B4584">
        <v>0</v>
      </c>
    </row>
    <row r="4585" spans="1:2" ht="12.5">
      <c r="A4585">
        <v>0</v>
      </c>
      <c r="B4585">
        <v>0</v>
      </c>
    </row>
    <row r="4586" spans="1:2" ht="12.5">
      <c r="A4586">
        <v>0</v>
      </c>
      <c r="B4586">
        <v>0</v>
      </c>
    </row>
    <row r="4587" spans="1:2" ht="12.5">
      <c r="A4587">
        <v>0</v>
      </c>
      <c r="B4587">
        <v>0</v>
      </c>
    </row>
    <row r="4588" spans="1:2" ht="12.5">
      <c r="A4588">
        <v>0</v>
      </c>
      <c r="B4588">
        <v>0</v>
      </c>
    </row>
    <row r="4589" spans="1:2" ht="12.5">
      <c r="A4589">
        <v>0</v>
      </c>
      <c r="B4589">
        <v>0</v>
      </c>
    </row>
    <row r="4590" spans="1:2" ht="12.5">
      <c r="A4590">
        <v>0</v>
      </c>
      <c r="B4590">
        <v>0</v>
      </c>
    </row>
    <row r="4591" spans="1:2" ht="12.5">
      <c r="A4591">
        <v>0</v>
      </c>
      <c r="B4591">
        <v>0</v>
      </c>
    </row>
    <row r="4592" spans="1:2" ht="12.5">
      <c r="A4592">
        <v>0</v>
      </c>
      <c r="B4592">
        <v>0</v>
      </c>
    </row>
    <row r="4593" spans="1:2" ht="12.5">
      <c r="A4593">
        <v>0</v>
      </c>
      <c r="B4593">
        <v>0</v>
      </c>
    </row>
    <row r="4594" spans="1:2" ht="12.5">
      <c r="A4594">
        <v>0</v>
      </c>
      <c r="B4594">
        <v>0</v>
      </c>
    </row>
    <row r="4595" spans="1:2" ht="12.5">
      <c r="A4595">
        <v>0</v>
      </c>
      <c r="B4595">
        <v>0</v>
      </c>
    </row>
    <row r="4596" spans="1:2" ht="12.5">
      <c r="A4596">
        <v>0</v>
      </c>
      <c r="B4596">
        <v>0</v>
      </c>
    </row>
    <row r="4597" spans="1:2" ht="12.5">
      <c r="A4597">
        <v>0</v>
      </c>
      <c r="B4597">
        <v>0</v>
      </c>
    </row>
    <row r="4598" spans="1:2" ht="12.5">
      <c r="A4598">
        <v>0</v>
      </c>
      <c r="B4598">
        <v>0</v>
      </c>
    </row>
    <row r="4599" spans="1:2" ht="12.5">
      <c r="A4599">
        <v>0</v>
      </c>
      <c r="B4599">
        <v>0</v>
      </c>
    </row>
    <row r="4600" spans="1:2" ht="12.5">
      <c r="A4600">
        <v>0</v>
      </c>
      <c r="B4600">
        <v>0</v>
      </c>
    </row>
    <row r="4601" spans="1:2" ht="12.5">
      <c r="A4601">
        <v>0</v>
      </c>
      <c r="B4601">
        <v>0</v>
      </c>
    </row>
    <row r="4602" spans="1:2" ht="12.5">
      <c r="A4602">
        <v>0</v>
      </c>
      <c r="B4602">
        <v>0</v>
      </c>
    </row>
    <row r="4603" spans="1:2" ht="12.5">
      <c r="A4603">
        <v>0</v>
      </c>
      <c r="B4603">
        <v>0</v>
      </c>
    </row>
    <row r="4604" spans="1:2" ht="12.5">
      <c r="A4604">
        <v>0</v>
      </c>
      <c r="B4604">
        <v>0</v>
      </c>
    </row>
    <row r="4605" spans="1:2" ht="12.5">
      <c r="A4605">
        <v>0</v>
      </c>
      <c r="B4605">
        <v>0</v>
      </c>
    </row>
    <row r="4606" spans="1:2" ht="12.5">
      <c r="A4606">
        <v>0</v>
      </c>
      <c r="B4606">
        <v>0</v>
      </c>
    </row>
    <row r="4607" spans="1:2" ht="12.5">
      <c r="A4607">
        <v>0</v>
      </c>
      <c r="B4607">
        <v>0</v>
      </c>
    </row>
    <row r="4608" spans="1:2" ht="12.5">
      <c r="A4608">
        <v>0</v>
      </c>
      <c r="B4608">
        <v>0</v>
      </c>
    </row>
    <row r="4609" spans="1:2" ht="12.5">
      <c r="A4609">
        <v>0</v>
      </c>
      <c r="B4609">
        <v>0</v>
      </c>
    </row>
    <row r="4610" spans="1:2" ht="12.5">
      <c r="A4610">
        <v>0</v>
      </c>
      <c r="B4610">
        <v>0</v>
      </c>
    </row>
    <row r="4611" spans="1:2" ht="12.5">
      <c r="A4611">
        <v>0</v>
      </c>
      <c r="B4611">
        <v>0</v>
      </c>
    </row>
    <row r="4612" spans="1:2" ht="12.5">
      <c r="A4612">
        <v>0</v>
      </c>
      <c r="B4612">
        <v>0</v>
      </c>
    </row>
    <row r="4613" spans="1:2" ht="12.5">
      <c r="A4613">
        <v>0</v>
      </c>
      <c r="B4613">
        <v>0</v>
      </c>
    </row>
    <row r="4614" spans="1:2" ht="12.5">
      <c r="A4614">
        <v>0</v>
      </c>
      <c r="B4614">
        <v>0</v>
      </c>
    </row>
    <row r="4615" spans="1:2" ht="12.5">
      <c r="A4615">
        <v>0</v>
      </c>
      <c r="B4615">
        <v>0</v>
      </c>
    </row>
    <row r="4616" spans="1:2" ht="12.5">
      <c r="A4616">
        <v>0</v>
      </c>
      <c r="B4616">
        <v>0</v>
      </c>
    </row>
    <row r="4617" spans="1:2" ht="12.5">
      <c r="A4617">
        <v>0</v>
      </c>
      <c r="B4617">
        <v>0</v>
      </c>
    </row>
    <row r="4618" spans="1:2" ht="12.5">
      <c r="A4618">
        <v>0</v>
      </c>
      <c r="B4618">
        <v>0</v>
      </c>
    </row>
    <row r="4619" spans="1:2" ht="12.5">
      <c r="A4619">
        <v>0</v>
      </c>
      <c r="B4619">
        <v>0</v>
      </c>
    </row>
    <row r="4620" spans="1:2" ht="12.5">
      <c r="A4620">
        <v>0</v>
      </c>
      <c r="B4620">
        <v>0</v>
      </c>
    </row>
    <row r="4621" spans="1:2" ht="12.5">
      <c r="A4621">
        <v>0</v>
      </c>
      <c r="B4621">
        <v>0</v>
      </c>
    </row>
    <row r="4622" spans="1:2" ht="12.5">
      <c r="A4622">
        <v>0</v>
      </c>
      <c r="B4622">
        <v>0</v>
      </c>
    </row>
    <row r="4623" spans="1:2" ht="12.5">
      <c r="A4623">
        <v>0</v>
      </c>
      <c r="B4623">
        <v>0</v>
      </c>
    </row>
    <row r="4624" spans="1:2" ht="12.5">
      <c r="A4624">
        <v>0</v>
      </c>
      <c r="B4624">
        <v>0</v>
      </c>
    </row>
    <row r="4625" spans="1:2" ht="12.5">
      <c r="A4625">
        <v>0</v>
      </c>
      <c r="B4625">
        <v>0</v>
      </c>
    </row>
    <row r="4626" spans="1:2" ht="12.5">
      <c r="A4626">
        <v>0</v>
      </c>
      <c r="B4626">
        <v>0</v>
      </c>
    </row>
    <row r="4627" spans="1:2" ht="12.5">
      <c r="A4627">
        <v>0</v>
      </c>
      <c r="B4627">
        <v>0</v>
      </c>
    </row>
    <row r="4628" spans="1:2" ht="12.5">
      <c r="A4628">
        <v>0</v>
      </c>
      <c r="B4628">
        <v>0</v>
      </c>
    </row>
    <row r="4629" spans="1:2" ht="12.5">
      <c r="A4629">
        <v>0</v>
      </c>
      <c r="B4629">
        <v>0</v>
      </c>
    </row>
    <row r="4630" spans="1:2" ht="12.5">
      <c r="A4630">
        <v>0</v>
      </c>
      <c r="B4630">
        <v>0</v>
      </c>
    </row>
    <row r="4631" spans="1:2" ht="12.5">
      <c r="A4631">
        <v>0</v>
      </c>
      <c r="B4631">
        <v>0</v>
      </c>
    </row>
    <row r="4632" spans="1:2" ht="12.5">
      <c r="A4632">
        <v>0</v>
      </c>
      <c r="B4632">
        <v>0</v>
      </c>
    </row>
    <row r="4633" spans="1:2" ht="12.5">
      <c r="A4633">
        <v>0</v>
      </c>
      <c r="B4633">
        <v>0</v>
      </c>
    </row>
    <row r="4634" spans="1:2" ht="12.5">
      <c r="A4634">
        <v>0</v>
      </c>
      <c r="B4634">
        <v>0</v>
      </c>
    </row>
    <row r="4635" spans="1:2" ht="12.5">
      <c r="A4635">
        <v>0</v>
      </c>
      <c r="B4635">
        <v>0</v>
      </c>
    </row>
    <row r="4636" spans="1:2" ht="12.5">
      <c r="A4636">
        <v>0</v>
      </c>
      <c r="B4636">
        <v>0</v>
      </c>
    </row>
    <row r="4637" spans="1:2" ht="12.5">
      <c r="A4637">
        <v>0</v>
      </c>
      <c r="B4637">
        <v>0</v>
      </c>
    </row>
    <row r="4638" spans="1:2" ht="12.5">
      <c r="A4638">
        <v>0</v>
      </c>
      <c r="B4638">
        <v>0</v>
      </c>
    </row>
    <row r="4639" spans="1:2" ht="12.5">
      <c r="A4639">
        <v>0</v>
      </c>
      <c r="B4639">
        <v>0</v>
      </c>
    </row>
    <row r="4640" spans="1:2" ht="12.5">
      <c r="A4640">
        <v>0</v>
      </c>
      <c r="B4640">
        <v>0</v>
      </c>
    </row>
    <row r="4641" spans="1:2" ht="12.5">
      <c r="A4641">
        <v>0</v>
      </c>
      <c r="B4641">
        <v>0</v>
      </c>
    </row>
    <row r="4642" spans="1:2" ht="12.5">
      <c r="A4642">
        <v>0</v>
      </c>
      <c r="B4642">
        <v>0</v>
      </c>
    </row>
    <row r="4643" spans="1:2" ht="12.5">
      <c r="A4643">
        <v>0</v>
      </c>
      <c r="B4643">
        <v>0</v>
      </c>
    </row>
    <row r="4644" spans="1:2" ht="12.5">
      <c r="A4644">
        <v>0</v>
      </c>
      <c r="B4644">
        <v>0</v>
      </c>
    </row>
    <row r="4645" spans="1:2" ht="12.5">
      <c r="A4645">
        <v>0</v>
      </c>
      <c r="B4645">
        <v>0</v>
      </c>
    </row>
    <row r="4646" spans="1:2" ht="12.5">
      <c r="A4646">
        <v>0</v>
      </c>
      <c r="B4646">
        <v>0</v>
      </c>
    </row>
    <row r="4647" spans="1:2" ht="12.5">
      <c r="A4647">
        <v>0</v>
      </c>
      <c r="B4647">
        <v>0</v>
      </c>
    </row>
    <row r="4648" spans="1:2" ht="12.5">
      <c r="A4648">
        <v>0</v>
      </c>
      <c r="B4648">
        <v>0</v>
      </c>
    </row>
    <row r="4649" spans="1:2" ht="12.5">
      <c r="A4649">
        <v>0</v>
      </c>
      <c r="B4649">
        <v>0</v>
      </c>
    </row>
    <row r="4650" spans="1:2" ht="12.5">
      <c r="A4650">
        <v>0</v>
      </c>
      <c r="B4650">
        <v>0</v>
      </c>
    </row>
    <row r="4651" spans="1:2" ht="12.5">
      <c r="A4651">
        <v>0</v>
      </c>
      <c r="B4651">
        <v>0</v>
      </c>
    </row>
    <row r="4652" spans="1:2" ht="12.5">
      <c r="A4652">
        <v>0</v>
      </c>
      <c r="B4652">
        <v>0</v>
      </c>
    </row>
    <row r="4653" spans="1:2" ht="12.5">
      <c r="A4653">
        <v>0</v>
      </c>
      <c r="B4653">
        <v>0</v>
      </c>
    </row>
    <row r="4654" spans="1:2" ht="12.5">
      <c r="A4654">
        <v>0</v>
      </c>
      <c r="B4654">
        <v>0</v>
      </c>
    </row>
    <row r="4655" spans="1:2" ht="12.5">
      <c r="A4655">
        <v>0</v>
      </c>
      <c r="B4655">
        <v>0</v>
      </c>
    </row>
    <row r="4656" spans="1:2" ht="12.5">
      <c r="A4656">
        <v>0</v>
      </c>
      <c r="B4656">
        <v>0</v>
      </c>
    </row>
    <row r="4657" spans="1:2" ht="12.5">
      <c r="A4657">
        <v>0</v>
      </c>
      <c r="B4657">
        <v>0</v>
      </c>
    </row>
    <row r="4658" spans="1:2" ht="12.5">
      <c r="A4658">
        <v>0</v>
      </c>
      <c r="B4658">
        <v>0</v>
      </c>
    </row>
    <row r="4659" spans="1:2" ht="12.5">
      <c r="A4659">
        <v>0</v>
      </c>
      <c r="B4659">
        <v>0</v>
      </c>
    </row>
    <row r="4660" spans="1:2" ht="12.5">
      <c r="A4660">
        <v>0</v>
      </c>
      <c r="B4660">
        <v>0</v>
      </c>
    </row>
    <row r="4661" spans="1:2" ht="12.5">
      <c r="A4661">
        <v>0</v>
      </c>
      <c r="B4661">
        <v>0</v>
      </c>
    </row>
    <row r="4662" spans="1:2" ht="12.5">
      <c r="A4662">
        <v>0</v>
      </c>
      <c r="B4662">
        <v>0</v>
      </c>
    </row>
    <row r="4663" spans="1:2" ht="12.5">
      <c r="A4663">
        <v>0</v>
      </c>
      <c r="B4663">
        <v>0</v>
      </c>
    </row>
    <row r="4664" spans="1:2" ht="12.5">
      <c r="A4664">
        <v>0</v>
      </c>
      <c r="B4664">
        <v>0</v>
      </c>
    </row>
    <row r="4665" spans="1:2" ht="12.5">
      <c r="A4665">
        <v>0</v>
      </c>
      <c r="B4665">
        <v>0</v>
      </c>
    </row>
    <row r="4666" spans="1:2" ht="12.5">
      <c r="A4666">
        <v>0</v>
      </c>
      <c r="B4666">
        <v>0</v>
      </c>
    </row>
    <row r="4667" spans="1:2" ht="12.5">
      <c r="A4667">
        <v>0</v>
      </c>
      <c r="B4667">
        <v>0</v>
      </c>
    </row>
    <row r="4668" spans="1:2" ht="12.5">
      <c r="A4668">
        <v>0</v>
      </c>
      <c r="B4668">
        <v>0</v>
      </c>
    </row>
    <row r="4669" spans="1:2" ht="12.5">
      <c r="A4669">
        <v>0</v>
      </c>
      <c r="B4669">
        <v>0</v>
      </c>
    </row>
    <row r="4670" spans="1:2" ht="12.5">
      <c r="A4670">
        <v>0</v>
      </c>
      <c r="B4670">
        <v>0</v>
      </c>
    </row>
    <row r="4671" spans="1:2" ht="12.5">
      <c r="A4671">
        <v>0</v>
      </c>
      <c r="B4671">
        <v>0</v>
      </c>
    </row>
    <row r="4672" spans="1:2" ht="12.5">
      <c r="A4672">
        <v>0</v>
      </c>
      <c r="B4672">
        <v>0</v>
      </c>
    </row>
    <row r="4673" spans="1:2" ht="12.5">
      <c r="A4673">
        <v>0</v>
      </c>
      <c r="B4673">
        <v>0</v>
      </c>
    </row>
    <row r="4674" spans="1:2" ht="12.5">
      <c r="A4674">
        <v>0</v>
      </c>
      <c r="B4674">
        <v>0</v>
      </c>
    </row>
    <row r="4675" spans="1:2" ht="12.5">
      <c r="A4675">
        <v>0</v>
      </c>
      <c r="B4675">
        <v>0</v>
      </c>
    </row>
    <row r="4676" spans="1:2" ht="12.5">
      <c r="A4676">
        <v>0</v>
      </c>
      <c r="B4676">
        <v>0</v>
      </c>
    </row>
    <row r="4677" spans="1:2" ht="12.5">
      <c r="A4677">
        <v>0</v>
      </c>
      <c r="B4677">
        <v>0</v>
      </c>
    </row>
    <row r="4678" spans="1:2" ht="12.5">
      <c r="A4678">
        <v>0</v>
      </c>
      <c r="B4678">
        <v>0</v>
      </c>
    </row>
    <row r="4679" spans="1:2" ht="12.5">
      <c r="A4679">
        <v>0</v>
      </c>
      <c r="B4679">
        <v>0</v>
      </c>
    </row>
    <row r="4680" spans="1:2" ht="12.5">
      <c r="A4680">
        <v>0</v>
      </c>
      <c r="B4680">
        <v>0</v>
      </c>
    </row>
    <row r="4681" spans="1:2" ht="12.5">
      <c r="A4681">
        <v>0</v>
      </c>
      <c r="B4681">
        <v>0</v>
      </c>
    </row>
    <row r="4682" spans="1:2" ht="12.5">
      <c r="A4682">
        <v>0</v>
      </c>
      <c r="B4682">
        <v>0</v>
      </c>
    </row>
    <row r="4683" spans="1:2" ht="12.5">
      <c r="A4683">
        <v>0</v>
      </c>
      <c r="B4683">
        <v>0</v>
      </c>
    </row>
    <row r="4684" spans="1:2" ht="12.5">
      <c r="A4684">
        <v>0</v>
      </c>
      <c r="B4684">
        <v>0</v>
      </c>
    </row>
    <row r="4685" spans="1:2" ht="12.5">
      <c r="A4685">
        <v>0</v>
      </c>
      <c r="B4685">
        <v>0</v>
      </c>
    </row>
    <row r="4686" spans="1:2" ht="12.5">
      <c r="A4686">
        <v>0</v>
      </c>
      <c r="B4686">
        <v>0</v>
      </c>
    </row>
    <row r="4687" spans="1:2" ht="12.5">
      <c r="A4687">
        <v>0</v>
      </c>
      <c r="B4687">
        <v>0</v>
      </c>
    </row>
    <row r="4688" spans="1:2" ht="12.5">
      <c r="A4688">
        <v>0</v>
      </c>
      <c r="B4688">
        <v>0</v>
      </c>
    </row>
    <row r="4689" spans="1:2" ht="12.5">
      <c r="A4689">
        <v>0</v>
      </c>
      <c r="B4689">
        <v>0</v>
      </c>
    </row>
    <row r="4690" spans="1:2" ht="12.5">
      <c r="A4690">
        <v>0</v>
      </c>
      <c r="B4690">
        <v>0</v>
      </c>
    </row>
    <row r="4691" spans="1:2" ht="12.5">
      <c r="A4691">
        <v>0</v>
      </c>
      <c r="B4691">
        <v>0</v>
      </c>
    </row>
    <row r="4692" spans="1:2" ht="12.5">
      <c r="A4692">
        <v>0</v>
      </c>
      <c r="B4692">
        <v>0</v>
      </c>
    </row>
    <row r="4693" spans="1:2" ht="12.5">
      <c r="A4693">
        <v>0</v>
      </c>
      <c r="B4693">
        <v>0</v>
      </c>
    </row>
    <row r="4694" spans="1:2" ht="12.5">
      <c r="A4694">
        <v>0</v>
      </c>
      <c r="B4694">
        <v>0</v>
      </c>
    </row>
    <row r="4695" spans="1:2" ht="12.5">
      <c r="A4695">
        <v>0</v>
      </c>
      <c r="B4695">
        <v>0</v>
      </c>
    </row>
    <row r="4696" spans="1:2" ht="12.5">
      <c r="A4696">
        <v>0</v>
      </c>
      <c r="B4696">
        <v>0</v>
      </c>
    </row>
    <row r="4697" spans="1:2" ht="12.5">
      <c r="A4697">
        <v>0</v>
      </c>
      <c r="B4697">
        <v>0</v>
      </c>
    </row>
    <row r="4698" spans="1:2" ht="12.5">
      <c r="A4698">
        <v>0</v>
      </c>
      <c r="B4698">
        <v>0</v>
      </c>
    </row>
    <row r="4699" spans="1:2" ht="12.5">
      <c r="A4699">
        <v>0</v>
      </c>
      <c r="B4699">
        <v>0</v>
      </c>
    </row>
    <row r="4700" spans="1:2" ht="12.5">
      <c r="A4700">
        <v>0</v>
      </c>
      <c r="B4700">
        <v>0</v>
      </c>
    </row>
    <row r="4701" spans="1:2" ht="12.5">
      <c r="A4701">
        <v>0</v>
      </c>
      <c r="B4701">
        <v>0</v>
      </c>
    </row>
    <row r="4702" spans="1:2" ht="12.5">
      <c r="A4702">
        <v>0</v>
      </c>
      <c r="B4702">
        <v>0</v>
      </c>
    </row>
    <row r="4703" spans="1:2" ht="12.5">
      <c r="A4703">
        <v>0</v>
      </c>
      <c r="B4703">
        <v>0</v>
      </c>
    </row>
    <row r="4704" spans="1:2" ht="12.5">
      <c r="A4704">
        <v>0</v>
      </c>
      <c r="B4704">
        <v>0</v>
      </c>
    </row>
    <row r="4705" spans="1:2" ht="12.5">
      <c r="A4705">
        <v>0</v>
      </c>
      <c r="B4705">
        <v>0</v>
      </c>
    </row>
    <row r="4706" spans="1:2" ht="12.5">
      <c r="A4706">
        <v>0</v>
      </c>
      <c r="B4706">
        <v>0</v>
      </c>
    </row>
    <row r="4707" spans="1:2" ht="12.5">
      <c r="A4707">
        <v>0</v>
      </c>
      <c r="B4707">
        <v>0</v>
      </c>
    </row>
    <row r="4708" spans="1:2" ht="12.5">
      <c r="A4708">
        <v>0</v>
      </c>
      <c r="B4708">
        <v>0</v>
      </c>
    </row>
    <row r="4709" spans="1:2" ht="12.5">
      <c r="A4709">
        <v>0</v>
      </c>
      <c r="B4709">
        <v>0</v>
      </c>
    </row>
    <row r="4710" spans="1:2" ht="12.5">
      <c r="A4710">
        <v>0</v>
      </c>
      <c r="B4710">
        <v>0</v>
      </c>
    </row>
    <row r="4711" spans="1:2" ht="12.5">
      <c r="A4711">
        <v>0</v>
      </c>
      <c r="B4711">
        <v>0</v>
      </c>
    </row>
    <row r="4712" spans="1:2" ht="12.5">
      <c r="A4712">
        <v>0</v>
      </c>
      <c r="B4712">
        <v>0</v>
      </c>
    </row>
    <row r="4713" spans="1:2" ht="12.5">
      <c r="A4713">
        <v>0</v>
      </c>
      <c r="B4713">
        <v>0</v>
      </c>
    </row>
    <row r="4714" spans="1:2" ht="12.5">
      <c r="A4714">
        <v>0</v>
      </c>
      <c r="B4714">
        <v>0</v>
      </c>
    </row>
    <row r="4715" spans="1:2" ht="12.5">
      <c r="A4715">
        <v>0</v>
      </c>
      <c r="B4715">
        <v>0</v>
      </c>
    </row>
    <row r="4716" spans="1:2" ht="12.5">
      <c r="A4716">
        <v>0</v>
      </c>
      <c r="B4716">
        <v>0</v>
      </c>
    </row>
    <row r="4717" spans="1:2" ht="12.5">
      <c r="A4717">
        <v>0</v>
      </c>
      <c r="B4717">
        <v>0</v>
      </c>
    </row>
    <row r="4718" spans="1:2" ht="12.5">
      <c r="A4718">
        <v>0</v>
      </c>
      <c r="B4718">
        <v>0</v>
      </c>
    </row>
    <row r="4719" spans="1:2" ht="12.5">
      <c r="A4719">
        <v>0</v>
      </c>
      <c r="B4719">
        <v>0</v>
      </c>
    </row>
    <row r="4720" spans="1:2" ht="12.5">
      <c r="A4720">
        <v>0</v>
      </c>
      <c r="B4720">
        <v>0</v>
      </c>
    </row>
    <row r="4721" spans="1:2" ht="12.5">
      <c r="A4721">
        <v>0</v>
      </c>
      <c r="B4721">
        <v>0</v>
      </c>
    </row>
    <row r="4722" spans="1:2" ht="12.5">
      <c r="A4722">
        <v>0</v>
      </c>
      <c r="B4722">
        <v>0</v>
      </c>
    </row>
    <row r="4723" spans="1:2" ht="12.5">
      <c r="A4723">
        <v>0</v>
      </c>
      <c r="B4723">
        <v>0</v>
      </c>
    </row>
    <row r="4724" spans="1:2" ht="12.5">
      <c r="A4724">
        <v>0</v>
      </c>
      <c r="B4724">
        <v>0</v>
      </c>
    </row>
    <row r="4725" spans="1:2" ht="12.5">
      <c r="A4725">
        <v>0</v>
      </c>
      <c r="B4725">
        <v>0</v>
      </c>
    </row>
    <row r="4726" spans="1:2" ht="12.5">
      <c r="A4726">
        <v>0</v>
      </c>
      <c r="B4726">
        <v>0</v>
      </c>
    </row>
    <row r="4727" spans="1:2" ht="12.5">
      <c r="A4727">
        <v>0</v>
      </c>
      <c r="B4727">
        <v>0</v>
      </c>
    </row>
    <row r="4728" spans="1:2" ht="12.5">
      <c r="A4728">
        <v>0</v>
      </c>
      <c r="B4728">
        <v>0</v>
      </c>
    </row>
    <row r="4729" spans="1:2" ht="12.5">
      <c r="A4729">
        <v>0</v>
      </c>
      <c r="B4729">
        <v>0</v>
      </c>
    </row>
    <row r="4730" spans="1:2" ht="12.5">
      <c r="A4730">
        <v>0</v>
      </c>
      <c r="B4730">
        <v>0</v>
      </c>
    </row>
    <row r="4731" spans="1:2" ht="12.5">
      <c r="A4731">
        <v>0</v>
      </c>
      <c r="B4731">
        <v>0</v>
      </c>
    </row>
    <row r="4732" spans="1:2" ht="12.5">
      <c r="A4732">
        <v>0</v>
      </c>
      <c r="B4732">
        <v>0</v>
      </c>
    </row>
    <row r="4733" spans="1:2" ht="12.5">
      <c r="A4733">
        <v>0</v>
      </c>
      <c r="B4733">
        <v>0</v>
      </c>
    </row>
    <row r="4734" spans="1:2" ht="12.5">
      <c r="A4734">
        <v>0</v>
      </c>
      <c r="B4734">
        <v>0</v>
      </c>
    </row>
    <row r="4735" spans="1:2" ht="12.5">
      <c r="A4735">
        <v>0</v>
      </c>
      <c r="B4735">
        <v>0</v>
      </c>
    </row>
    <row r="4736" spans="1:2" ht="12.5">
      <c r="A4736">
        <v>0</v>
      </c>
      <c r="B4736">
        <v>0</v>
      </c>
    </row>
    <row r="4737" spans="1:2" ht="12.5">
      <c r="A4737">
        <v>0</v>
      </c>
      <c r="B4737">
        <v>0</v>
      </c>
    </row>
    <row r="4738" spans="1:2" ht="12.5">
      <c r="A4738">
        <v>0</v>
      </c>
      <c r="B4738">
        <v>0</v>
      </c>
    </row>
    <row r="4739" spans="1:2" ht="12.5">
      <c r="A4739">
        <v>0</v>
      </c>
      <c r="B4739">
        <v>0</v>
      </c>
    </row>
    <row r="4740" spans="1:2" ht="12.5">
      <c r="A4740">
        <v>0</v>
      </c>
      <c r="B4740">
        <v>0</v>
      </c>
    </row>
    <row r="4741" spans="1:2" ht="12.5">
      <c r="A4741">
        <v>0</v>
      </c>
      <c r="B4741">
        <v>0</v>
      </c>
    </row>
    <row r="4742" spans="1:2" ht="12.5">
      <c r="A4742">
        <v>0</v>
      </c>
      <c r="B4742">
        <v>0</v>
      </c>
    </row>
    <row r="4743" spans="1:2" ht="12.5">
      <c r="A4743">
        <v>0</v>
      </c>
      <c r="B4743">
        <v>0</v>
      </c>
    </row>
    <row r="4744" spans="1:2" ht="12.5">
      <c r="A4744">
        <v>0</v>
      </c>
      <c r="B4744">
        <v>0</v>
      </c>
    </row>
    <row r="4745" spans="1:2" ht="12.5">
      <c r="A4745">
        <v>0</v>
      </c>
      <c r="B4745">
        <v>0</v>
      </c>
    </row>
    <row r="4746" spans="1:2" ht="12.5">
      <c r="A4746">
        <v>0</v>
      </c>
      <c r="B4746">
        <v>0</v>
      </c>
    </row>
    <row r="4747" spans="1:2" ht="12.5">
      <c r="A4747">
        <v>0</v>
      </c>
      <c r="B4747">
        <v>0</v>
      </c>
    </row>
    <row r="4748" spans="1:2" ht="12.5">
      <c r="A4748">
        <v>0</v>
      </c>
      <c r="B4748">
        <v>0</v>
      </c>
    </row>
    <row r="4749" spans="1:2" ht="12.5">
      <c r="A4749">
        <v>0</v>
      </c>
      <c r="B4749">
        <v>0</v>
      </c>
    </row>
    <row r="4750" spans="1:2" ht="12.5">
      <c r="A4750">
        <v>0</v>
      </c>
      <c r="B4750">
        <v>0</v>
      </c>
    </row>
    <row r="4751" spans="1:2" ht="12.5">
      <c r="A4751">
        <v>0</v>
      </c>
      <c r="B4751">
        <v>0</v>
      </c>
    </row>
    <row r="4752" spans="1:2" ht="12.5">
      <c r="A4752">
        <v>0</v>
      </c>
      <c r="B4752">
        <v>0</v>
      </c>
    </row>
    <row r="4753" spans="1:2" ht="12.5">
      <c r="A4753">
        <v>0</v>
      </c>
      <c r="B4753">
        <v>0</v>
      </c>
    </row>
    <row r="4754" spans="1:2" ht="12.5">
      <c r="A4754">
        <v>0</v>
      </c>
      <c r="B4754">
        <v>0</v>
      </c>
    </row>
    <row r="4755" spans="1:2" ht="12.5">
      <c r="A4755">
        <v>0</v>
      </c>
      <c r="B4755">
        <v>0</v>
      </c>
    </row>
    <row r="4756" spans="1:2" ht="12.5">
      <c r="A4756">
        <v>0</v>
      </c>
      <c r="B4756">
        <v>0</v>
      </c>
    </row>
    <row r="4757" spans="1:2" ht="12.5">
      <c r="A4757">
        <v>0</v>
      </c>
      <c r="B4757">
        <v>0</v>
      </c>
    </row>
    <row r="4758" spans="1:2" ht="12.5">
      <c r="A4758">
        <v>0</v>
      </c>
      <c r="B4758">
        <v>0</v>
      </c>
    </row>
    <row r="4759" spans="1:2" ht="12.5">
      <c r="A4759">
        <v>0</v>
      </c>
      <c r="B4759">
        <v>0</v>
      </c>
    </row>
    <row r="4760" spans="1:2" ht="12.5">
      <c r="A4760">
        <v>0</v>
      </c>
      <c r="B4760">
        <v>0</v>
      </c>
    </row>
    <row r="4761" spans="1:2" ht="12.5">
      <c r="A4761">
        <v>0</v>
      </c>
      <c r="B4761">
        <v>0</v>
      </c>
    </row>
    <row r="4762" spans="1:2" ht="12.5">
      <c r="A4762">
        <v>0</v>
      </c>
      <c r="B4762">
        <v>0</v>
      </c>
    </row>
    <row r="4763" spans="1:2" ht="12.5">
      <c r="A4763">
        <v>0</v>
      </c>
      <c r="B4763">
        <v>0</v>
      </c>
    </row>
    <row r="4764" spans="1:2" ht="12.5">
      <c r="A4764">
        <v>0</v>
      </c>
      <c r="B4764">
        <v>0</v>
      </c>
    </row>
    <row r="4765" spans="1:2" ht="12.5">
      <c r="A4765">
        <v>0</v>
      </c>
      <c r="B4765">
        <v>0</v>
      </c>
    </row>
    <row r="4766" spans="1:2" ht="12.5">
      <c r="A4766">
        <v>0</v>
      </c>
      <c r="B4766">
        <v>0</v>
      </c>
    </row>
    <row r="4767" spans="1:2" ht="12.5">
      <c r="A4767">
        <v>0</v>
      </c>
      <c r="B4767">
        <v>0</v>
      </c>
    </row>
    <row r="4768" spans="1:2" ht="12.5">
      <c r="A4768">
        <v>0</v>
      </c>
      <c r="B4768">
        <v>0</v>
      </c>
    </row>
    <row r="4769" spans="1:2" ht="12.5">
      <c r="A4769">
        <v>0</v>
      </c>
      <c r="B4769">
        <v>0</v>
      </c>
    </row>
    <row r="4770" spans="1:2" ht="12.5">
      <c r="A4770">
        <v>0</v>
      </c>
      <c r="B4770">
        <v>0</v>
      </c>
    </row>
    <row r="4771" spans="1:2" ht="12.5">
      <c r="A4771">
        <v>0</v>
      </c>
      <c r="B4771">
        <v>0</v>
      </c>
    </row>
    <row r="4772" spans="1:2" ht="12.5">
      <c r="A4772">
        <v>0</v>
      </c>
      <c r="B4772">
        <v>0</v>
      </c>
    </row>
    <row r="4773" spans="1:2" ht="12.5">
      <c r="A4773">
        <v>0</v>
      </c>
      <c r="B4773">
        <v>0</v>
      </c>
    </row>
    <row r="4774" spans="1:2" ht="12.5">
      <c r="A4774">
        <v>0</v>
      </c>
      <c r="B4774">
        <v>0</v>
      </c>
    </row>
    <row r="4775" spans="1:2" ht="12.5">
      <c r="A4775">
        <v>0</v>
      </c>
      <c r="B4775">
        <v>0</v>
      </c>
    </row>
    <row r="4776" spans="1:2" ht="12.5">
      <c r="A4776">
        <v>0</v>
      </c>
      <c r="B4776">
        <v>0</v>
      </c>
    </row>
    <row r="4777" spans="1:2" ht="12.5">
      <c r="A4777">
        <v>0</v>
      </c>
      <c r="B4777">
        <v>0</v>
      </c>
    </row>
    <row r="4778" spans="1:2" ht="12.5">
      <c r="A4778">
        <v>0</v>
      </c>
      <c r="B4778">
        <v>0</v>
      </c>
    </row>
    <row r="4779" spans="1:2" ht="12.5">
      <c r="A4779">
        <v>0</v>
      </c>
      <c r="B4779">
        <v>0</v>
      </c>
    </row>
    <row r="4780" spans="1:2" ht="12.5">
      <c r="A4780">
        <v>0</v>
      </c>
      <c r="B4780">
        <v>0</v>
      </c>
    </row>
    <row r="4781" spans="1:2" ht="12.5">
      <c r="A4781">
        <v>0</v>
      </c>
      <c r="B4781">
        <v>0</v>
      </c>
    </row>
    <row r="4782" spans="1:2" ht="12.5">
      <c r="A4782">
        <v>0</v>
      </c>
      <c r="B4782">
        <v>0</v>
      </c>
    </row>
    <row r="4783" spans="1:2" ht="12.5">
      <c r="A4783">
        <v>0</v>
      </c>
      <c r="B4783">
        <v>0</v>
      </c>
    </row>
    <row r="4784" spans="1:2" ht="12.5">
      <c r="A4784">
        <v>0</v>
      </c>
      <c r="B4784">
        <v>0</v>
      </c>
    </row>
    <row r="4785" spans="1:2" ht="12.5">
      <c r="A4785">
        <v>0</v>
      </c>
      <c r="B4785">
        <v>0</v>
      </c>
    </row>
    <row r="4786" spans="1:2" ht="12.5">
      <c r="A4786">
        <v>0</v>
      </c>
      <c r="B4786">
        <v>0</v>
      </c>
    </row>
    <row r="4787" spans="1:2" ht="12.5">
      <c r="A4787">
        <v>0</v>
      </c>
      <c r="B4787">
        <v>0</v>
      </c>
    </row>
    <row r="4788" spans="1:2" ht="12.5">
      <c r="A4788">
        <v>0</v>
      </c>
      <c r="B4788">
        <v>0</v>
      </c>
    </row>
    <row r="4789" spans="1:2" ht="12.5">
      <c r="A4789">
        <v>0</v>
      </c>
      <c r="B4789">
        <v>0</v>
      </c>
    </row>
    <row r="4790" spans="1:2" ht="12.5">
      <c r="A4790">
        <v>0</v>
      </c>
      <c r="B4790">
        <v>0</v>
      </c>
    </row>
    <row r="4791" spans="1:2" ht="12.5">
      <c r="A4791">
        <v>0</v>
      </c>
      <c r="B4791">
        <v>0</v>
      </c>
    </row>
    <row r="4792" spans="1:2" ht="12.5">
      <c r="A4792">
        <v>0</v>
      </c>
      <c r="B4792">
        <v>0</v>
      </c>
    </row>
    <row r="4793" spans="1:2" ht="12.5">
      <c r="A4793">
        <v>0</v>
      </c>
      <c r="B4793">
        <v>0</v>
      </c>
    </row>
    <row r="4794" spans="1:2" ht="12.5">
      <c r="A4794">
        <v>0</v>
      </c>
      <c r="B4794">
        <v>0</v>
      </c>
    </row>
    <row r="4795" spans="1:2" ht="12.5">
      <c r="A4795">
        <v>0</v>
      </c>
      <c r="B4795">
        <v>0</v>
      </c>
    </row>
    <row r="4796" spans="1:2" ht="12.5">
      <c r="A4796">
        <v>0</v>
      </c>
      <c r="B4796">
        <v>0</v>
      </c>
    </row>
    <row r="4797" spans="1:2" ht="12.5">
      <c r="A4797">
        <v>0</v>
      </c>
      <c r="B4797">
        <v>0</v>
      </c>
    </row>
    <row r="4798" spans="1:2" ht="12.5">
      <c r="A4798">
        <v>0</v>
      </c>
      <c r="B4798">
        <v>0</v>
      </c>
    </row>
    <row r="4799" spans="1:2" ht="12.5">
      <c r="A4799">
        <v>0</v>
      </c>
      <c r="B4799">
        <v>0</v>
      </c>
    </row>
    <row r="4800" spans="1:2" ht="12.5">
      <c r="A4800">
        <v>0</v>
      </c>
      <c r="B4800">
        <v>0</v>
      </c>
    </row>
    <row r="4801" spans="1:2" ht="12.5">
      <c r="A4801">
        <v>0</v>
      </c>
      <c r="B4801">
        <v>0</v>
      </c>
    </row>
    <row r="4802" spans="1:2" ht="12.5">
      <c r="A4802">
        <v>0</v>
      </c>
      <c r="B4802">
        <v>0</v>
      </c>
    </row>
    <row r="4803" spans="1:2" ht="12.5">
      <c r="A4803">
        <v>0</v>
      </c>
      <c r="B4803">
        <v>0</v>
      </c>
    </row>
    <row r="4804" spans="1:2" ht="12.5">
      <c r="A4804">
        <v>0</v>
      </c>
      <c r="B4804">
        <v>0</v>
      </c>
    </row>
    <row r="4805" spans="1:2" ht="12.5">
      <c r="A4805">
        <v>0</v>
      </c>
      <c r="B4805">
        <v>0</v>
      </c>
    </row>
    <row r="4806" spans="1:2" ht="12.5">
      <c r="A4806">
        <v>0</v>
      </c>
      <c r="B4806">
        <v>0</v>
      </c>
    </row>
    <row r="4807" spans="1:2" ht="12.5">
      <c r="A4807">
        <v>0</v>
      </c>
      <c r="B4807">
        <v>0</v>
      </c>
    </row>
    <row r="4808" spans="1:2" ht="12.5">
      <c r="A4808">
        <v>0</v>
      </c>
      <c r="B4808">
        <v>0</v>
      </c>
    </row>
    <row r="4809" spans="1:2" ht="12.5">
      <c r="A4809">
        <v>0</v>
      </c>
      <c r="B4809">
        <v>0</v>
      </c>
    </row>
    <row r="4810" spans="1:2" ht="12.5">
      <c r="A4810">
        <v>0</v>
      </c>
      <c r="B4810">
        <v>0</v>
      </c>
    </row>
    <row r="4811" spans="1:2" ht="12.5">
      <c r="A4811">
        <v>0</v>
      </c>
      <c r="B4811">
        <v>0</v>
      </c>
    </row>
    <row r="4812" spans="1:2" ht="12.5">
      <c r="A4812">
        <v>0</v>
      </c>
      <c r="B4812">
        <v>0</v>
      </c>
    </row>
    <row r="4813" spans="1:2" ht="12.5">
      <c r="A4813">
        <v>0</v>
      </c>
      <c r="B4813">
        <v>0</v>
      </c>
    </row>
    <row r="4814" spans="1:2" ht="12.5">
      <c r="A4814">
        <v>0</v>
      </c>
      <c r="B4814">
        <v>0</v>
      </c>
    </row>
    <row r="4815" spans="1:2" ht="12.5">
      <c r="A4815">
        <v>0</v>
      </c>
      <c r="B4815">
        <v>0</v>
      </c>
    </row>
    <row r="4816" spans="1:2" ht="12.5">
      <c r="A4816">
        <v>0</v>
      </c>
      <c r="B4816">
        <v>0</v>
      </c>
    </row>
    <row r="4817" spans="1:2" ht="12.5">
      <c r="A4817">
        <v>0</v>
      </c>
      <c r="B4817">
        <v>0</v>
      </c>
    </row>
    <row r="4818" spans="1:2" ht="12.5">
      <c r="A4818">
        <v>0</v>
      </c>
      <c r="B4818">
        <v>0</v>
      </c>
    </row>
    <row r="4819" spans="1:2" ht="12.5">
      <c r="A4819">
        <v>0</v>
      </c>
      <c r="B4819">
        <v>0</v>
      </c>
    </row>
    <row r="4820" spans="1:2" ht="12.5">
      <c r="A4820">
        <v>0</v>
      </c>
      <c r="B4820">
        <v>0</v>
      </c>
    </row>
    <row r="4821" spans="1:2" ht="12.5">
      <c r="A4821">
        <v>0</v>
      </c>
      <c r="B4821">
        <v>0</v>
      </c>
    </row>
    <row r="4822" spans="1:2" ht="12.5">
      <c r="A4822">
        <v>0</v>
      </c>
      <c r="B4822">
        <v>0</v>
      </c>
    </row>
    <row r="4823" spans="1:2" ht="12.5">
      <c r="A4823">
        <v>0</v>
      </c>
      <c r="B4823">
        <v>0</v>
      </c>
    </row>
    <row r="4824" spans="1:2" ht="12.5">
      <c r="A4824">
        <v>0</v>
      </c>
      <c r="B4824">
        <v>0</v>
      </c>
    </row>
    <row r="4825" spans="1:2" ht="12.5">
      <c r="A4825">
        <v>0</v>
      </c>
      <c r="B4825">
        <v>0</v>
      </c>
    </row>
    <row r="4826" spans="1:2" ht="12.5">
      <c r="A4826">
        <v>0</v>
      </c>
      <c r="B4826">
        <v>0</v>
      </c>
    </row>
    <row r="4827" spans="1:2" ht="12.5">
      <c r="A4827">
        <v>0</v>
      </c>
      <c r="B4827">
        <v>0</v>
      </c>
    </row>
    <row r="4828" spans="1:2" ht="12.5">
      <c r="A4828">
        <v>0</v>
      </c>
      <c r="B4828">
        <v>0</v>
      </c>
    </row>
    <row r="4829" spans="1:2" ht="12.5">
      <c r="A4829">
        <v>0</v>
      </c>
      <c r="B4829">
        <v>0</v>
      </c>
    </row>
    <row r="4830" spans="1:2" ht="12.5">
      <c r="A4830">
        <v>0</v>
      </c>
      <c r="B4830">
        <v>0</v>
      </c>
    </row>
    <row r="4831" spans="1:2" ht="12.5">
      <c r="A4831">
        <v>0</v>
      </c>
      <c r="B4831">
        <v>0</v>
      </c>
    </row>
    <row r="4832" spans="1:2" ht="12.5">
      <c r="A4832">
        <v>0</v>
      </c>
      <c r="B4832">
        <v>0</v>
      </c>
    </row>
    <row r="4833" spans="1:2" ht="12.5">
      <c r="A4833">
        <v>0</v>
      </c>
      <c r="B4833">
        <v>0</v>
      </c>
    </row>
    <row r="4834" spans="1:2" ht="12.5">
      <c r="A4834">
        <v>0</v>
      </c>
      <c r="B4834">
        <v>0</v>
      </c>
    </row>
    <row r="4835" spans="1:2" ht="12.5">
      <c r="A4835">
        <v>0</v>
      </c>
      <c r="B4835">
        <v>0</v>
      </c>
    </row>
    <row r="4836" spans="1:2" ht="12.5">
      <c r="A4836">
        <v>0</v>
      </c>
      <c r="B4836">
        <v>0</v>
      </c>
    </row>
    <row r="4837" spans="1:2" ht="12.5">
      <c r="A4837">
        <v>0</v>
      </c>
      <c r="B4837">
        <v>0</v>
      </c>
    </row>
    <row r="4838" spans="1:2" ht="12.5">
      <c r="A4838">
        <v>0</v>
      </c>
      <c r="B4838">
        <v>0</v>
      </c>
    </row>
    <row r="4839" spans="1:2" ht="12.5">
      <c r="A4839">
        <v>0</v>
      </c>
      <c r="B4839">
        <v>0</v>
      </c>
    </row>
    <row r="4840" spans="1:2" ht="12.5">
      <c r="A4840">
        <v>0</v>
      </c>
      <c r="B4840">
        <v>0</v>
      </c>
    </row>
    <row r="4841" spans="1:2" ht="12.5">
      <c r="A4841">
        <v>0</v>
      </c>
      <c r="B4841">
        <v>0</v>
      </c>
    </row>
    <row r="4842" spans="1:2" ht="12.5">
      <c r="A4842">
        <v>0</v>
      </c>
      <c r="B4842">
        <v>0</v>
      </c>
    </row>
    <row r="4843" spans="1:2" ht="12.5">
      <c r="A4843">
        <v>0</v>
      </c>
      <c r="B4843">
        <v>0</v>
      </c>
    </row>
    <row r="4844" spans="1:2" ht="12.5">
      <c r="A4844">
        <v>0</v>
      </c>
      <c r="B4844">
        <v>0</v>
      </c>
    </row>
    <row r="4845" spans="1:2" ht="12.5">
      <c r="A4845">
        <v>0</v>
      </c>
      <c r="B4845">
        <v>0</v>
      </c>
    </row>
    <row r="4846" spans="1:2" ht="12.5">
      <c r="A4846">
        <v>0</v>
      </c>
      <c r="B4846">
        <v>0</v>
      </c>
    </row>
    <row r="4847" spans="1:2" ht="12.5">
      <c r="A4847">
        <v>0</v>
      </c>
      <c r="B4847">
        <v>0</v>
      </c>
    </row>
    <row r="4848" spans="1:2" ht="12.5">
      <c r="A4848">
        <v>0</v>
      </c>
      <c r="B4848">
        <v>0</v>
      </c>
    </row>
    <row r="4849" spans="1:2" ht="12.5">
      <c r="A4849">
        <v>0</v>
      </c>
      <c r="B4849">
        <v>0</v>
      </c>
    </row>
    <row r="4850" spans="1:2" ht="12.5">
      <c r="A4850">
        <v>0</v>
      </c>
      <c r="B4850">
        <v>0</v>
      </c>
    </row>
    <row r="4851" spans="1:2" ht="12.5">
      <c r="A4851">
        <v>0</v>
      </c>
      <c r="B4851">
        <v>0</v>
      </c>
    </row>
    <row r="4852" spans="1:2" ht="12.5">
      <c r="A4852">
        <v>0</v>
      </c>
      <c r="B4852">
        <v>0</v>
      </c>
    </row>
    <row r="4853" spans="1:2" ht="12.5">
      <c r="A4853">
        <v>0</v>
      </c>
      <c r="B4853">
        <v>0</v>
      </c>
    </row>
    <row r="4854" spans="1:2" ht="12.5">
      <c r="A4854">
        <v>0</v>
      </c>
      <c r="B4854">
        <v>0</v>
      </c>
    </row>
    <row r="4855" spans="1:2" ht="12.5">
      <c r="A4855">
        <v>0</v>
      </c>
      <c r="B4855">
        <v>0</v>
      </c>
    </row>
    <row r="4856" spans="1:2" ht="12.5">
      <c r="A4856">
        <v>0</v>
      </c>
      <c r="B4856">
        <v>0</v>
      </c>
    </row>
    <row r="4857" spans="1:2" ht="12.5">
      <c r="A4857">
        <v>0</v>
      </c>
      <c r="B4857">
        <v>0</v>
      </c>
    </row>
    <row r="4858" spans="1:2" ht="12.5">
      <c r="A4858">
        <v>0</v>
      </c>
      <c r="B4858">
        <v>0</v>
      </c>
    </row>
    <row r="4859" spans="1:2" ht="12.5">
      <c r="A4859">
        <v>0</v>
      </c>
      <c r="B4859">
        <v>0</v>
      </c>
    </row>
    <row r="4860" spans="1:2" ht="12.5">
      <c r="A4860">
        <v>0</v>
      </c>
      <c r="B4860">
        <v>0</v>
      </c>
    </row>
    <row r="4861" spans="1:2" ht="12.5">
      <c r="A4861">
        <v>0</v>
      </c>
      <c r="B4861">
        <v>0</v>
      </c>
    </row>
    <row r="4862" spans="1:2" ht="12.5">
      <c r="A4862">
        <v>0</v>
      </c>
      <c r="B4862">
        <v>0</v>
      </c>
    </row>
    <row r="4863" spans="1:2" ht="12.5">
      <c r="A4863">
        <v>0</v>
      </c>
      <c r="B4863">
        <v>0</v>
      </c>
    </row>
    <row r="4864" spans="1:2" ht="12.5">
      <c r="A4864">
        <v>0</v>
      </c>
      <c r="B4864">
        <v>0</v>
      </c>
    </row>
    <row r="4865" spans="1:2" ht="12.5">
      <c r="A4865">
        <v>0</v>
      </c>
      <c r="B4865">
        <v>0</v>
      </c>
    </row>
    <row r="4866" spans="1:2" ht="12.5">
      <c r="A4866">
        <v>0</v>
      </c>
      <c r="B4866">
        <v>0</v>
      </c>
    </row>
    <row r="4867" spans="1:2" ht="12.5">
      <c r="A4867">
        <v>0</v>
      </c>
      <c r="B4867">
        <v>0</v>
      </c>
    </row>
    <row r="4868" spans="1:2" ht="12.5">
      <c r="A4868">
        <v>0</v>
      </c>
      <c r="B4868">
        <v>0</v>
      </c>
    </row>
    <row r="4869" spans="1:2" ht="12.5">
      <c r="A4869">
        <v>0</v>
      </c>
      <c r="B4869">
        <v>0</v>
      </c>
    </row>
    <row r="4870" spans="1:2" ht="12.5">
      <c r="A4870">
        <v>0</v>
      </c>
      <c r="B4870">
        <v>0</v>
      </c>
    </row>
    <row r="4871" spans="1:2" ht="12.5">
      <c r="A4871">
        <v>0</v>
      </c>
      <c r="B4871">
        <v>0</v>
      </c>
    </row>
    <row r="4872" spans="1:2" ht="12.5">
      <c r="A4872">
        <v>0</v>
      </c>
      <c r="B4872">
        <v>0</v>
      </c>
    </row>
    <row r="4873" spans="1:2" ht="12.5">
      <c r="A4873">
        <v>0</v>
      </c>
      <c r="B4873">
        <v>0</v>
      </c>
    </row>
    <row r="4874" spans="1:2" ht="12.5">
      <c r="A4874">
        <v>0</v>
      </c>
      <c r="B4874">
        <v>0</v>
      </c>
    </row>
    <row r="4875" spans="1:2" ht="12.5">
      <c r="A4875">
        <v>0</v>
      </c>
      <c r="B4875">
        <v>0</v>
      </c>
    </row>
    <row r="4876" spans="1:2" ht="12.5">
      <c r="A4876">
        <v>0</v>
      </c>
      <c r="B4876">
        <v>0</v>
      </c>
    </row>
    <row r="4877" spans="1:2" ht="12.5">
      <c r="A4877">
        <v>0</v>
      </c>
      <c r="B4877">
        <v>0</v>
      </c>
    </row>
    <row r="4878" spans="1:2" ht="12.5">
      <c r="A4878">
        <v>0</v>
      </c>
      <c r="B4878">
        <v>0</v>
      </c>
    </row>
    <row r="4879" spans="1:2" ht="12.5">
      <c r="A4879">
        <v>0</v>
      </c>
      <c r="B4879">
        <v>0</v>
      </c>
    </row>
    <row r="4880" spans="1:2" ht="12.5">
      <c r="A4880">
        <v>0</v>
      </c>
      <c r="B4880">
        <v>0</v>
      </c>
    </row>
    <row r="4881" spans="1:2" ht="12.5">
      <c r="A4881">
        <v>0</v>
      </c>
      <c r="B4881">
        <v>0</v>
      </c>
    </row>
    <row r="4882" spans="1:2" ht="12.5">
      <c r="A4882">
        <v>0</v>
      </c>
      <c r="B4882">
        <v>0</v>
      </c>
    </row>
    <row r="4883" spans="1:2" ht="12.5">
      <c r="A4883">
        <v>0</v>
      </c>
      <c r="B4883">
        <v>0</v>
      </c>
    </row>
    <row r="4884" spans="1:2" ht="12.5">
      <c r="A4884">
        <v>0</v>
      </c>
      <c r="B4884">
        <v>0</v>
      </c>
    </row>
    <row r="4885" spans="1:2" ht="12.5">
      <c r="A4885">
        <v>0</v>
      </c>
      <c r="B4885">
        <v>0</v>
      </c>
    </row>
    <row r="4886" spans="1:2" ht="12.5">
      <c r="A4886">
        <v>0</v>
      </c>
      <c r="B4886">
        <v>0</v>
      </c>
    </row>
    <row r="4887" spans="1:2" ht="12.5">
      <c r="A4887">
        <v>0</v>
      </c>
      <c r="B4887">
        <v>0</v>
      </c>
    </row>
    <row r="4888" spans="1:2" ht="12.5">
      <c r="A4888">
        <v>0</v>
      </c>
      <c r="B4888">
        <v>0</v>
      </c>
    </row>
    <row r="4889" spans="1:2" ht="12.5">
      <c r="A4889">
        <v>0</v>
      </c>
      <c r="B4889">
        <v>0</v>
      </c>
    </row>
    <row r="4890" spans="1:2" ht="12.5">
      <c r="A4890">
        <v>0</v>
      </c>
      <c r="B4890">
        <v>0</v>
      </c>
    </row>
    <row r="4891" spans="1:2" ht="12.5">
      <c r="A4891">
        <v>0</v>
      </c>
      <c r="B4891">
        <v>0</v>
      </c>
    </row>
    <row r="4892" spans="1:2" ht="12.5">
      <c r="A4892">
        <v>0</v>
      </c>
      <c r="B4892">
        <v>0</v>
      </c>
    </row>
    <row r="4893" spans="1:2" ht="12.5">
      <c r="A4893">
        <v>0</v>
      </c>
      <c r="B4893">
        <v>0</v>
      </c>
    </row>
    <row r="4894" spans="1:2" ht="12.5">
      <c r="A4894">
        <v>0</v>
      </c>
      <c r="B4894">
        <v>0</v>
      </c>
    </row>
    <row r="4895" spans="1:2" ht="12.5">
      <c r="A4895">
        <v>0</v>
      </c>
      <c r="B4895">
        <v>0</v>
      </c>
    </row>
    <row r="4896" spans="1:2" ht="12.5">
      <c r="A4896">
        <v>0</v>
      </c>
      <c r="B4896">
        <v>0</v>
      </c>
    </row>
    <row r="4897" spans="1:2" ht="12.5">
      <c r="A4897">
        <v>0</v>
      </c>
      <c r="B4897">
        <v>0</v>
      </c>
    </row>
    <row r="4898" spans="1:2" ht="12.5">
      <c r="A4898">
        <v>0</v>
      </c>
      <c r="B4898">
        <v>0</v>
      </c>
    </row>
    <row r="4899" spans="1:2" ht="12.5">
      <c r="A4899">
        <v>0</v>
      </c>
      <c r="B4899">
        <v>0</v>
      </c>
    </row>
    <row r="4900" spans="1:2" ht="12.5">
      <c r="A4900">
        <v>0</v>
      </c>
      <c r="B4900">
        <v>0</v>
      </c>
    </row>
    <row r="4901" spans="1:2" ht="12.5">
      <c r="A4901">
        <v>0</v>
      </c>
      <c r="B4901">
        <v>0</v>
      </c>
    </row>
    <row r="4902" spans="1:2" ht="12.5">
      <c r="A4902">
        <v>0</v>
      </c>
      <c r="B4902">
        <v>0</v>
      </c>
    </row>
    <row r="4903" spans="1:2" ht="12.5">
      <c r="A4903">
        <v>0</v>
      </c>
      <c r="B4903">
        <v>0</v>
      </c>
    </row>
    <row r="4904" spans="1:2" ht="12.5">
      <c r="A4904">
        <v>0</v>
      </c>
      <c r="B4904">
        <v>0</v>
      </c>
    </row>
    <row r="4905" spans="1:2" ht="12.5">
      <c r="A4905">
        <v>0</v>
      </c>
      <c r="B4905">
        <v>0</v>
      </c>
    </row>
    <row r="4906" spans="1:2" ht="12.5">
      <c r="A4906">
        <v>0</v>
      </c>
      <c r="B4906">
        <v>0</v>
      </c>
    </row>
    <row r="4907" spans="1:2" ht="12.5">
      <c r="A4907">
        <v>0</v>
      </c>
      <c r="B4907">
        <v>0</v>
      </c>
    </row>
    <row r="4908" spans="1:2" ht="12.5">
      <c r="A4908">
        <v>0</v>
      </c>
      <c r="B4908">
        <v>0</v>
      </c>
    </row>
    <row r="4909" spans="1:2" ht="12.5">
      <c r="A4909">
        <v>0</v>
      </c>
      <c r="B4909">
        <v>0</v>
      </c>
    </row>
    <row r="4910" spans="1:2" ht="12.5">
      <c r="A4910">
        <v>0</v>
      </c>
      <c r="B4910">
        <v>0</v>
      </c>
    </row>
    <row r="4911" spans="1:2" ht="12.5">
      <c r="A4911">
        <v>0</v>
      </c>
      <c r="B4911">
        <v>0</v>
      </c>
    </row>
    <row r="4912" spans="1:2" ht="12.5">
      <c r="A4912">
        <v>0</v>
      </c>
      <c r="B4912">
        <v>0</v>
      </c>
    </row>
    <row r="4913" spans="1:2" ht="12.5">
      <c r="A4913">
        <v>0</v>
      </c>
      <c r="B4913">
        <v>0</v>
      </c>
    </row>
    <row r="4914" spans="1:2" ht="12.5">
      <c r="A4914">
        <v>0</v>
      </c>
      <c r="B4914">
        <v>0</v>
      </c>
    </row>
    <row r="4915" spans="1:2" ht="12.5">
      <c r="A4915">
        <v>0</v>
      </c>
      <c r="B4915">
        <v>0</v>
      </c>
    </row>
    <row r="4916" spans="1:2" ht="12.5">
      <c r="A4916">
        <v>0</v>
      </c>
      <c r="B4916">
        <v>0</v>
      </c>
    </row>
    <row r="4917" spans="1:2" ht="12.5">
      <c r="A4917">
        <v>0</v>
      </c>
      <c r="B4917">
        <v>0</v>
      </c>
    </row>
    <row r="4918" spans="1:2" ht="12.5">
      <c r="A4918">
        <v>0</v>
      </c>
      <c r="B4918">
        <v>0</v>
      </c>
    </row>
    <row r="4919" spans="1:2" ht="12.5">
      <c r="A4919">
        <v>0</v>
      </c>
      <c r="B4919">
        <v>0</v>
      </c>
    </row>
    <row r="4920" spans="1:2" ht="12.5">
      <c r="A4920">
        <v>0</v>
      </c>
      <c r="B4920">
        <v>0</v>
      </c>
    </row>
    <row r="4921" spans="1:2" ht="12.5">
      <c r="A4921">
        <v>0</v>
      </c>
      <c r="B4921">
        <v>0</v>
      </c>
    </row>
    <row r="4922" spans="1:2" ht="12.5">
      <c r="A4922">
        <v>0</v>
      </c>
      <c r="B4922">
        <v>0</v>
      </c>
    </row>
    <row r="4923" spans="1:2" ht="12.5">
      <c r="A4923">
        <v>0</v>
      </c>
      <c r="B4923">
        <v>0</v>
      </c>
    </row>
    <row r="4924" spans="1:2" ht="12.5">
      <c r="A4924">
        <v>0</v>
      </c>
      <c r="B4924">
        <v>0</v>
      </c>
    </row>
    <row r="4925" spans="1:2" ht="12.5">
      <c r="A4925">
        <v>0</v>
      </c>
      <c r="B4925">
        <v>0</v>
      </c>
    </row>
    <row r="4926" spans="1:2" ht="12.5">
      <c r="A4926">
        <v>0</v>
      </c>
      <c r="B4926">
        <v>0</v>
      </c>
    </row>
    <row r="4927" spans="1:2" ht="12.5">
      <c r="A4927">
        <v>0</v>
      </c>
      <c r="B4927">
        <v>0</v>
      </c>
    </row>
    <row r="4928" spans="1:2" ht="12.5">
      <c r="A4928">
        <v>0</v>
      </c>
      <c r="B4928">
        <v>0</v>
      </c>
    </row>
    <row r="4929" spans="1:2" ht="12.5">
      <c r="A4929">
        <v>0</v>
      </c>
      <c r="B4929">
        <v>0</v>
      </c>
    </row>
    <row r="4930" spans="1:2" ht="12.5">
      <c r="A4930">
        <v>0</v>
      </c>
      <c r="B4930">
        <v>0</v>
      </c>
    </row>
    <row r="4931" spans="1:2" ht="12.5">
      <c r="A4931">
        <v>0</v>
      </c>
      <c r="B4931">
        <v>0</v>
      </c>
    </row>
    <row r="4932" spans="1:2" ht="12.5">
      <c r="A4932">
        <v>0</v>
      </c>
      <c r="B4932">
        <v>0</v>
      </c>
    </row>
    <row r="4933" spans="1:2" ht="12.5">
      <c r="A4933">
        <v>0</v>
      </c>
      <c r="B4933">
        <v>0</v>
      </c>
    </row>
    <row r="4934" spans="1:2" ht="12.5">
      <c r="A4934">
        <v>0</v>
      </c>
      <c r="B4934">
        <v>0</v>
      </c>
    </row>
    <row r="4935" spans="1:2" ht="12.5">
      <c r="A4935">
        <v>0</v>
      </c>
      <c r="B4935">
        <v>0</v>
      </c>
    </row>
    <row r="4936" spans="1:2" ht="12.5">
      <c r="A4936">
        <v>0</v>
      </c>
      <c r="B4936">
        <v>0</v>
      </c>
    </row>
    <row r="4937" spans="1:2" ht="12.5">
      <c r="A4937">
        <v>0</v>
      </c>
      <c r="B4937">
        <v>0</v>
      </c>
    </row>
    <row r="4938" spans="1:2" ht="12.5">
      <c r="A4938">
        <v>0</v>
      </c>
      <c r="B4938">
        <v>0</v>
      </c>
    </row>
    <row r="4939" spans="1:2" ht="12.5">
      <c r="A4939">
        <v>0</v>
      </c>
      <c r="B4939">
        <v>0</v>
      </c>
    </row>
    <row r="4940" spans="1:2" ht="12.5">
      <c r="A4940">
        <v>0</v>
      </c>
      <c r="B4940">
        <v>0</v>
      </c>
    </row>
    <row r="4941" spans="1:2" ht="12.5">
      <c r="A4941">
        <v>0</v>
      </c>
      <c r="B4941">
        <v>0</v>
      </c>
    </row>
    <row r="4942" spans="1:2" ht="12.5">
      <c r="A4942">
        <v>0</v>
      </c>
      <c r="B4942">
        <v>0</v>
      </c>
    </row>
    <row r="4943" spans="1:2" ht="12.5">
      <c r="A4943">
        <v>0</v>
      </c>
      <c r="B4943">
        <v>0</v>
      </c>
    </row>
    <row r="4944" spans="1:2" ht="12.5">
      <c r="A4944">
        <v>0</v>
      </c>
      <c r="B4944">
        <v>0</v>
      </c>
    </row>
    <row r="4945" spans="1:2" ht="12.5">
      <c r="A4945">
        <v>0</v>
      </c>
      <c r="B4945">
        <v>0</v>
      </c>
    </row>
    <row r="4946" spans="1:2" ht="12.5">
      <c r="A4946">
        <v>0</v>
      </c>
      <c r="B4946">
        <v>0</v>
      </c>
    </row>
    <row r="4947" spans="1:2" ht="12.5">
      <c r="A4947">
        <v>0</v>
      </c>
      <c r="B4947">
        <v>0</v>
      </c>
    </row>
    <row r="4948" spans="1:2" ht="12.5">
      <c r="A4948">
        <v>0</v>
      </c>
      <c r="B4948">
        <v>0</v>
      </c>
    </row>
    <row r="4949" spans="1:2" ht="12.5">
      <c r="A4949">
        <v>0</v>
      </c>
      <c r="B4949">
        <v>0</v>
      </c>
    </row>
    <row r="4950" spans="1:2" ht="12.5">
      <c r="A4950">
        <v>0</v>
      </c>
      <c r="B4950">
        <v>0</v>
      </c>
    </row>
    <row r="4951" spans="1:2" ht="12.5">
      <c r="A4951">
        <v>0</v>
      </c>
      <c r="B4951">
        <v>0</v>
      </c>
    </row>
    <row r="4952" spans="1:2" ht="12.5">
      <c r="A4952">
        <v>0</v>
      </c>
      <c r="B4952">
        <v>0</v>
      </c>
    </row>
    <row r="4953" spans="1:2" ht="12.5">
      <c r="A4953">
        <v>0</v>
      </c>
      <c r="B4953">
        <v>0</v>
      </c>
    </row>
    <row r="4954" spans="1:2" ht="12.5">
      <c r="A4954">
        <v>0</v>
      </c>
      <c r="B4954">
        <v>0</v>
      </c>
    </row>
    <row r="4955" spans="1:2" ht="12.5">
      <c r="A4955">
        <v>0</v>
      </c>
      <c r="B4955">
        <v>0</v>
      </c>
    </row>
    <row r="4956" spans="1:2" ht="12.5">
      <c r="A4956">
        <v>0</v>
      </c>
      <c r="B4956">
        <v>0</v>
      </c>
    </row>
    <row r="4957" spans="1:2" ht="12.5">
      <c r="A4957">
        <v>0</v>
      </c>
      <c r="B4957">
        <v>0</v>
      </c>
    </row>
    <row r="4958" spans="1:2" ht="12.5">
      <c r="A4958">
        <v>0</v>
      </c>
      <c r="B4958">
        <v>0</v>
      </c>
    </row>
    <row r="4959" spans="1:2" ht="12.5">
      <c r="A4959">
        <v>0</v>
      </c>
      <c r="B4959">
        <v>0</v>
      </c>
    </row>
    <row r="4960" spans="1:2" ht="12.5">
      <c r="A4960">
        <v>0</v>
      </c>
      <c r="B4960">
        <v>0</v>
      </c>
    </row>
    <row r="4961" spans="1:2" ht="12.5">
      <c r="A4961">
        <v>0</v>
      </c>
      <c r="B4961">
        <v>0</v>
      </c>
    </row>
    <row r="4962" spans="1:2" ht="12.5">
      <c r="A4962">
        <v>0</v>
      </c>
      <c r="B4962">
        <v>0</v>
      </c>
    </row>
    <row r="4963" spans="1:2" ht="12.5">
      <c r="A4963">
        <v>0</v>
      </c>
      <c r="B4963">
        <v>0</v>
      </c>
    </row>
    <row r="4964" spans="1:2" ht="12.5">
      <c r="A4964">
        <v>0</v>
      </c>
      <c r="B4964">
        <v>0</v>
      </c>
    </row>
    <row r="4965" spans="1:2" ht="12.5">
      <c r="A4965">
        <v>0</v>
      </c>
      <c r="B4965">
        <v>0</v>
      </c>
    </row>
    <row r="4966" spans="1:2" ht="12.5">
      <c r="A4966">
        <v>0</v>
      </c>
      <c r="B4966">
        <v>0</v>
      </c>
    </row>
    <row r="4967" spans="1:2" ht="12.5">
      <c r="A4967">
        <v>0</v>
      </c>
      <c r="B4967">
        <v>0</v>
      </c>
    </row>
    <row r="4968" spans="1:2" ht="12.5">
      <c r="A4968">
        <v>0</v>
      </c>
      <c r="B4968">
        <v>0</v>
      </c>
    </row>
    <row r="4969" spans="1:2" ht="12.5">
      <c r="A4969">
        <v>0</v>
      </c>
      <c r="B4969">
        <v>0</v>
      </c>
    </row>
    <row r="4970" spans="1:2" ht="12.5">
      <c r="A4970">
        <v>0</v>
      </c>
      <c r="B4970">
        <v>0</v>
      </c>
    </row>
    <row r="4971" spans="1:2" ht="12.5">
      <c r="A4971">
        <v>0</v>
      </c>
      <c r="B4971">
        <v>0</v>
      </c>
    </row>
    <row r="4972" spans="1:2" ht="12.5">
      <c r="A4972">
        <v>0</v>
      </c>
      <c r="B4972">
        <v>0</v>
      </c>
    </row>
    <row r="4973" spans="1:2" ht="12.5">
      <c r="A4973">
        <v>0</v>
      </c>
      <c r="B4973">
        <v>0</v>
      </c>
    </row>
    <row r="4974" spans="1:2" ht="12.5">
      <c r="A4974">
        <v>0</v>
      </c>
      <c r="B4974">
        <v>0</v>
      </c>
    </row>
    <row r="4975" spans="1:2" ht="12.5">
      <c r="A4975">
        <v>0</v>
      </c>
      <c r="B4975">
        <v>0</v>
      </c>
    </row>
    <row r="4976" spans="1:2" ht="12.5">
      <c r="A4976">
        <v>0</v>
      </c>
      <c r="B4976">
        <v>0</v>
      </c>
    </row>
    <row r="4977" spans="1:2" ht="12.5">
      <c r="A4977">
        <v>0</v>
      </c>
      <c r="B4977">
        <v>0</v>
      </c>
    </row>
    <row r="4978" spans="1:2" ht="12.5">
      <c r="A4978">
        <v>0</v>
      </c>
      <c r="B4978">
        <v>0</v>
      </c>
    </row>
    <row r="4979" spans="1:2" ht="12.5">
      <c r="A4979">
        <v>0</v>
      </c>
      <c r="B4979">
        <v>0</v>
      </c>
    </row>
    <row r="4980" spans="1:2" ht="12.5">
      <c r="A4980">
        <v>0</v>
      </c>
      <c r="B4980">
        <v>0</v>
      </c>
    </row>
    <row r="4981" spans="1:2" ht="12.5">
      <c r="A4981">
        <v>0</v>
      </c>
      <c r="B4981">
        <v>0</v>
      </c>
    </row>
    <row r="4982" spans="1:2" ht="12.5">
      <c r="A4982">
        <v>0</v>
      </c>
      <c r="B4982">
        <v>0</v>
      </c>
    </row>
    <row r="4983" spans="1:2" ht="12.5">
      <c r="A4983">
        <v>0</v>
      </c>
      <c r="B4983">
        <v>0</v>
      </c>
    </row>
    <row r="4984" spans="1:2" ht="12.5">
      <c r="A4984">
        <v>0</v>
      </c>
      <c r="B4984">
        <v>0</v>
      </c>
    </row>
    <row r="4985" spans="1:2" ht="12.5">
      <c r="A4985">
        <v>0</v>
      </c>
      <c r="B4985">
        <v>0</v>
      </c>
    </row>
    <row r="4986" spans="1:2" ht="12.5">
      <c r="A4986">
        <v>0</v>
      </c>
      <c r="B4986">
        <v>0</v>
      </c>
    </row>
    <row r="4987" spans="1:2" ht="12.5">
      <c r="A4987">
        <v>0</v>
      </c>
      <c r="B4987">
        <v>0</v>
      </c>
    </row>
    <row r="4988" spans="1:2" ht="12.5">
      <c r="A4988">
        <v>0</v>
      </c>
      <c r="B4988">
        <v>0</v>
      </c>
    </row>
    <row r="4989" spans="1:2" ht="12.5">
      <c r="A4989">
        <v>0</v>
      </c>
      <c r="B4989">
        <v>0</v>
      </c>
    </row>
    <row r="4990" spans="1:2" ht="12.5">
      <c r="A4990">
        <v>0</v>
      </c>
      <c r="B4990">
        <v>0</v>
      </c>
    </row>
    <row r="4991" spans="1:2" ht="12.5">
      <c r="A4991">
        <v>0</v>
      </c>
      <c r="B4991">
        <v>0</v>
      </c>
    </row>
    <row r="4992" spans="1:2" ht="12.5">
      <c r="A4992">
        <v>0</v>
      </c>
      <c r="B4992">
        <v>0</v>
      </c>
    </row>
    <row r="4993" spans="1:2" ht="12.5">
      <c r="A4993">
        <v>0</v>
      </c>
      <c r="B4993">
        <v>0</v>
      </c>
    </row>
    <row r="4994" spans="1:2" ht="12.5">
      <c r="A4994">
        <v>0</v>
      </c>
      <c r="B4994">
        <v>0</v>
      </c>
    </row>
    <row r="4995" spans="1:2" ht="12.5">
      <c r="A4995">
        <v>0</v>
      </c>
      <c r="B4995">
        <v>0</v>
      </c>
    </row>
    <row r="4996" spans="1:2" ht="12.5">
      <c r="A4996">
        <v>0</v>
      </c>
      <c r="B4996">
        <v>0</v>
      </c>
    </row>
    <row r="4997" spans="1:2" ht="12.5">
      <c r="A4997">
        <v>0</v>
      </c>
      <c r="B4997">
        <v>0</v>
      </c>
    </row>
    <row r="4998" spans="1:2" ht="12.5">
      <c r="A4998">
        <v>0</v>
      </c>
      <c r="B4998">
        <v>0</v>
      </c>
    </row>
    <row r="4999" spans="1:2" ht="12.5">
      <c r="A4999">
        <v>0</v>
      </c>
      <c r="B4999">
        <v>0</v>
      </c>
    </row>
  </sheetData>
  <mergeCells count="1">
    <mergeCell ref="A1:B1"/>
  </mergeCells>
  <pageMargins left="0.70000000000000007" right="0.70000000000000007" top="0.75" bottom="0.75" header="0.30000000000000004" footer="0.30000000000000004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D3E3A-3F66-4FBE-A66F-6F3BCE5B20A9}">
  <dimension ref="A1:AK95"/>
  <sheetViews>
    <sheetView workbookViewId="0"/>
  </sheetViews>
  <sheetFormatPr defaultRowHeight="12.65"/>
  <cols>
    <col min="1" max="1" width="34.08984375" bestFit="1" customWidth="1"/>
    <col min="2" max="2" width="27.26953125" customWidth="1"/>
    <col min="3" max="3" width="12.81640625" bestFit="1" customWidth="1"/>
    <col min="4" max="4" width="18.54296875" bestFit="1" customWidth="1"/>
    <col min="5" max="5" width="19.08984375" bestFit="1" customWidth="1"/>
    <col min="6" max="6" width="14.81640625" bestFit="1" customWidth="1"/>
    <col min="7" max="7" width="19.08984375" bestFit="1" customWidth="1"/>
    <col min="8" max="8" width="14.1796875" bestFit="1" customWidth="1"/>
    <col min="9" max="9" width="6.36328125" bestFit="1" customWidth="1"/>
    <col min="10" max="10" width="19.453125" bestFit="1" customWidth="1"/>
    <col min="11" max="11" width="12.81640625" bestFit="1" customWidth="1"/>
    <col min="12" max="12" width="19.90625" bestFit="1" customWidth="1"/>
    <col min="13" max="13" width="20.453125" bestFit="1" customWidth="1"/>
    <col min="14" max="14" width="15.81640625" bestFit="1" customWidth="1"/>
    <col min="15" max="15" width="19.08984375" bestFit="1" customWidth="1"/>
    <col min="16" max="16" width="10.08984375" bestFit="1" customWidth="1"/>
    <col min="17" max="17" width="19.90625" bestFit="1" customWidth="1"/>
    <col min="18" max="18" width="23.7265625" bestFit="1" customWidth="1"/>
    <col min="19" max="19" width="8.7265625" customWidth="1"/>
    <col min="20" max="20" width="22.7265625" customWidth="1"/>
    <col min="21" max="21" width="26.81640625" customWidth="1"/>
    <col min="22" max="22" width="19.08984375" customWidth="1"/>
    <col min="23" max="23" width="15.36328125" customWidth="1"/>
    <col min="24" max="24" width="20.81640625" customWidth="1"/>
    <col min="25" max="25" width="14.54296875" customWidth="1"/>
    <col min="26" max="26" width="12.81640625" customWidth="1"/>
    <col min="27" max="27" width="13.6328125" customWidth="1"/>
    <col min="28" max="28" width="8.7265625" customWidth="1"/>
    <col min="29" max="29" width="10.90625" bestFit="1" customWidth="1"/>
    <col min="30" max="30" width="8.7265625" customWidth="1"/>
  </cols>
  <sheetData>
    <row r="1" spans="1:37" ht="13">
      <c r="A1" s="294" t="str">
        <f t="array" aca="1" ref="A1:G7" ca="1">_xlfn.LET(_xlpm.d,TODAY(),_xlpm.c,_xlfn.XMATCH(_xlpm.d,--(Summary!$2:$2),0),_xlpm.v,_xlfn.CHOOSECOLS(Summary!$2:$77,_xlpm.c),_xlpm.a,_xlfn.HSTACK(Summary!$B$2:$B$77,Summary!$E$2:$E$77,Summary!$O$2:$O$77,_xlpm.v,Summary!$BB$2:$BB$77,Summary!$BD$2:$BD$77,Summary!$BF$2:$BF$77),_xlfn._xlws.FILTER(IF(_xlpm.a=0,"",_xlpm.a),_xlpm.v&gt;0,"No Data"))</f>
        <v>Section</v>
      </c>
      <c r="B1" s="294" t="str">
        <f ca="1"/>
        <v>Product Names</v>
      </c>
      <c r="C1" s="294" t="str">
        <f ca="1"/>
        <v>Production Plan</v>
      </c>
      <c r="D1" s="295">
        <f ca="1"/>
        <v>46293</v>
      </c>
      <c r="E1" s="294" t="str">
        <f ca="1"/>
        <v>Production Done (PKT)</v>
      </c>
      <c r="F1" s="294" t="str">
        <f ca="1"/>
        <v xml:space="preserve"> Pending (PKT)</v>
      </c>
      <c r="G1" s="294" t="str">
        <f ca="1"/>
        <v>Total Fulfillment Rate %</v>
      </c>
      <c r="I1" t="str">
        <f t="shared" ref="I1:I15" ca="1" si="0">A1</f>
        <v>Section</v>
      </c>
      <c r="J1" t="str">
        <f t="shared" ref="J1:J15" ca="1" si="1">B1</f>
        <v>Product Names</v>
      </c>
      <c r="K1" t="str">
        <f t="shared" ref="K1:K15" ca="1" si="2">C1</f>
        <v>Production Plan</v>
      </c>
      <c r="L1">
        <f t="shared" ref="L1:L15" ca="1" si="3">D1</f>
        <v>46293</v>
      </c>
      <c r="M1" t="str">
        <f t="shared" ref="M1:M15" ca="1" si="4">E1</f>
        <v>Production Done (PKT)</v>
      </c>
      <c r="N1" t="str">
        <f t="shared" ref="N1:N15" ca="1" si="5">F1</f>
        <v xml:space="preserve"> Pending (PKT)</v>
      </c>
      <c r="O1" t="str">
        <f t="shared" ref="O1:O15" ca="1" si="6">G1</f>
        <v>Total Fulfillment Rate %</v>
      </c>
      <c r="T1" s="296" t="s">
        <v>184</v>
      </c>
      <c r="U1" s="296" t="s">
        <v>185</v>
      </c>
      <c r="V1" s="296" t="s">
        <v>52</v>
      </c>
      <c r="W1" s="296" t="s">
        <v>1870</v>
      </c>
      <c r="X1" s="296" t="s">
        <v>1871</v>
      </c>
      <c r="Y1" s="296" t="s">
        <v>1872</v>
      </c>
      <c r="Z1" s="296" t="s">
        <v>61</v>
      </c>
      <c r="AA1" s="296" t="s">
        <v>6</v>
      </c>
      <c r="AD1" t="s">
        <v>184</v>
      </c>
      <c r="AE1" t="s">
        <v>1873</v>
      </c>
      <c r="AF1" t="s">
        <v>52</v>
      </c>
      <c r="AG1" t="s">
        <v>1874</v>
      </c>
      <c r="AH1" t="s">
        <v>1875</v>
      </c>
      <c r="AI1" t="s">
        <v>1872</v>
      </c>
      <c r="AJ1" t="s">
        <v>61</v>
      </c>
      <c r="AK1" t="s">
        <v>6</v>
      </c>
    </row>
    <row r="2" spans="1:37" ht="12.5">
      <c r="A2" t="str">
        <f ca="1"/>
        <v>Ghee</v>
      </c>
      <c r="B2" t="str">
        <f ca="1"/>
        <v>Brahmi Ghee - 250 gm</v>
      </c>
      <c r="C2" s="297">
        <f ca="1"/>
        <v>253</v>
      </c>
      <c r="D2">
        <f ca="1"/>
        <v>20</v>
      </c>
      <c r="E2">
        <f ca="1"/>
        <v>67</v>
      </c>
      <c r="F2" s="297">
        <f ca="1"/>
        <v>186</v>
      </c>
      <c r="G2" s="290">
        <f ca="1"/>
        <v>0.2648221343873518</v>
      </c>
      <c r="I2" t="str">
        <f t="shared" ca="1" si="0"/>
        <v>Ghee</v>
      </c>
      <c r="J2" t="str">
        <f t="shared" ca="1" si="1"/>
        <v>Brahmi Ghee - 250 gm</v>
      </c>
      <c r="K2" s="297">
        <f t="shared" ca="1" si="2"/>
        <v>253</v>
      </c>
      <c r="L2">
        <f t="shared" ca="1" si="3"/>
        <v>20</v>
      </c>
      <c r="M2">
        <f t="shared" ca="1" si="4"/>
        <v>67</v>
      </c>
      <c r="N2" s="297">
        <f t="shared" ca="1" si="5"/>
        <v>186</v>
      </c>
      <c r="O2" s="290">
        <f t="shared" ca="1" si="6"/>
        <v>0.2648221343873518</v>
      </c>
      <c r="T2" s="298" t="str">
        <f t="array" ref="T2:AA16">_xlfn.LET(_xlpm.d,_xlfn.CHOOSECOLS(Summary!A3:BK19,4,5,63,58,56,60,61,2),_xlpm.f,_xlfn._xlws.FILTER(_xlpm.d,(_xlfn.CHOOSECOLS(_xlpm.d,3)="P1 – Critical")+(_xlfn.CHOOSECOLS(_xlpm.d,3)="P2 – High"),"No critical/high items"),_xlfn.SORTBY(_xlpm.f,_xlfn.CHOOSECOLS(_xlpm.f,3),1,_xlfn.CHOOSECOLS(_xlpm.f,7),1))</f>
        <v>FG00566</v>
      </c>
      <c r="U2" s="298" t="str">
        <v xml:space="preserve">A2 Cultured Ghee - 5 Ltr </v>
      </c>
      <c r="V2" s="298" t="str">
        <v>P1 – Critical</v>
      </c>
      <c r="W2" s="299">
        <v>0.57377445061579324</v>
      </c>
      <c r="X2" s="300">
        <v>441.25</v>
      </c>
      <c r="Y2" s="300">
        <v>8</v>
      </c>
      <c r="Z2" s="301">
        <v>0.23182806085486599</v>
      </c>
      <c r="AA2" s="298" t="str">
        <v>Ghee</v>
      </c>
      <c r="AD2" t="str">
        <f t="shared" ref="AD2:AD25" si="7">T2</f>
        <v>FG00566</v>
      </c>
      <c r="AE2" t="str">
        <f t="shared" ref="AE2:AE25" si="8">U2</f>
        <v xml:space="preserve">A2 Cultured Ghee - 5 Ltr </v>
      </c>
      <c r="AF2" t="str">
        <f t="shared" ref="AF2:AF25" si="9">V2</f>
        <v>P1 – Critical</v>
      </c>
      <c r="AG2">
        <f t="shared" ref="AG2:AG25" si="10">W2</f>
        <v>0.57377445061579324</v>
      </c>
      <c r="AH2">
        <f t="shared" ref="AH2:AH25" si="11">X2</f>
        <v>441.25</v>
      </c>
      <c r="AI2">
        <f t="shared" ref="AI2:AI25" si="12">Y2</f>
        <v>8</v>
      </c>
      <c r="AJ2">
        <f t="shared" ref="AJ2:AJ25" si="13">Z2</f>
        <v>0.23182806085486599</v>
      </c>
      <c r="AK2" t="str">
        <f t="shared" ref="AK2:AK25" si="14">AA2</f>
        <v>Ghee</v>
      </c>
    </row>
    <row r="3" spans="1:37" ht="12.5">
      <c r="A3" t="str">
        <f ca="1"/>
        <v>Ghee</v>
      </c>
      <c r="B3" t="str">
        <f ca="1"/>
        <v>A2 Desi Cow Ghee - 500ml</v>
      </c>
      <c r="C3" s="297">
        <f ca="1"/>
        <v>10468.700000000001</v>
      </c>
      <c r="D3">
        <f ca="1"/>
        <v>329</v>
      </c>
      <c r="E3">
        <f ca="1"/>
        <v>3381</v>
      </c>
      <c r="F3" s="297">
        <f ca="1"/>
        <v>7087.7000000000007</v>
      </c>
      <c r="G3" s="290">
        <f ca="1"/>
        <v>0.32296273653844315</v>
      </c>
      <c r="I3" t="str">
        <f t="shared" ca="1" si="0"/>
        <v>Ghee</v>
      </c>
      <c r="J3" t="str">
        <f t="shared" ca="1" si="1"/>
        <v>A2 Desi Cow Ghee - 500ml</v>
      </c>
      <c r="K3" s="297">
        <f t="shared" ca="1" si="2"/>
        <v>10468.700000000001</v>
      </c>
      <c r="L3">
        <f t="shared" ca="1" si="3"/>
        <v>329</v>
      </c>
      <c r="M3">
        <f t="shared" ca="1" si="4"/>
        <v>3381</v>
      </c>
      <c r="N3" s="297">
        <f t="shared" ca="1" si="5"/>
        <v>7087.7000000000007</v>
      </c>
      <c r="O3" s="290">
        <f t="shared" ca="1" si="6"/>
        <v>0.32296273653844315</v>
      </c>
      <c r="T3" s="302" t="str">
        <v>FG00005</v>
      </c>
      <c r="U3" s="302" t="str">
        <v>Butter/Makhan - 200 gm</v>
      </c>
      <c r="V3" s="302" t="str">
        <v>P1 – Critical</v>
      </c>
      <c r="W3" s="303">
        <v>0</v>
      </c>
      <c r="X3" s="304">
        <v>186</v>
      </c>
      <c r="Y3" s="304">
        <v>2</v>
      </c>
      <c r="Z3" s="305">
        <v>0.32258064516129031</v>
      </c>
      <c r="AA3" s="302" t="str">
        <v>Ghee</v>
      </c>
      <c r="AD3" t="str">
        <f t="shared" si="7"/>
        <v>FG00005</v>
      </c>
      <c r="AE3" t="str">
        <f t="shared" si="8"/>
        <v>Butter/Makhan - 200 gm</v>
      </c>
      <c r="AF3" t="str">
        <f t="shared" si="9"/>
        <v>P1 – Critical</v>
      </c>
      <c r="AG3">
        <f t="shared" si="10"/>
        <v>0</v>
      </c>
      <c r="AH3">
        <f t="shared" si="11"/>
        <v>186</v>
      </c>
      <c r="AI3">
        <f t="shared" si="12"/>
        <v>2</v>
      </c>
      <c r="AJ3">
        <f t="shared" si="13"/>
        <v>0.32258064516129031</v>
      </c>
      <c r="AK3" t="str">
        <f t="shared" si="14"/>
        <v>Ghee</v>
      </c>
    </row>
    <row r="4" spans="1:37" ht="12.5">
      <c r="A4" t="str">
        <f ca="1"/>
        <v>Ghee</v>
      </c>
      <c r="B4" t="str">
        <f ca="1"/>
        <v xml:space="preserve">A2 Cultured Ghee - 5 Ltr </v>
      </c>
      <c r="C4" s="297">
        <f ca="1"/>
        <v>1035.25</v>
      </c>
      <c r="D4">
        <f ca="1"/>
        <v>29</v>
      </c>
      <c r="E4">
        <f ca="1"/>
        <v>594</v>
      </c>
      <c r="F4" s="297">
        <f ca="1"/>
        <v>441.25</v>
      </c>
      <c r="G4" s="290">
        <f ca="1"/>
        <v>0.57377445061579324</v>
      </c>
      <c r="I4" t="str">
        <f t="shared" ca="1" si="0"/>
        <v>Ghee</v>
      </c>
      <c r="J4" t="str">
        <f t="shared" ca="1" si="1"/>
        <v xml:space="preserve">A2 Cultured Ghee - 5 Ltr </v>
      </c>
      <c r="K4" s="297">
        <f t="shared" ca="1" si="2"/>
        <v>1035.25</v>
      </c>
      <c r="L4">
        <f t="shared" ca="1" si="3"/>
        <v>29</v>
      </c>
      <c r="M4">
        <f t="shared" ca="1" si="4"/>
        <v>594</v>
      </c>
      <c r="N4" s="297">
        <f t="shared" ca="1" si="5"/>
        <v>441.25</v>
      </c>
      <c r="O4" s="290">
        <f t="shared" ca="1" si="6"/>
        <v>0.57377445061579324</v>
      </c>
      <c r="T4" s="302" t="str">
        <v>FG00002</v>
      </c>
      <c r="U4" s="302" t="str">
        <v>A2 Cultured Ghee - 500 ml</v>
      </c>
      <c r="V4" s="302" t="str">
        <v>P1 – Critical</v>
      </c>
      <c r="W4" s="303">
        <v>0.61174451884471792</v>
      </c>
      <c r="X4" s="304">
        <v>14481.25</v>
      </c>
      <c r="Y4" s="304">
        <v>1283</v>
      </c>
      <c r="Z4" s="305">
        <v>1.0319519012286098</v>
      </c>
      <c r="AA4" s="302" t="str">
        <v>Ghee</v>
      </c>
      <c r="AD4" t="str">
        <f t="shared" si="7"/>
        <v>FG00002</v>
      </c>
      <c r="AE4" t="str">
        <f t="shared" si="8"/>
        <v>A2 Cultured Ghee - 500 ml</v>
      </c>
      <c r="AF4" t="str">
        <f t="shared" si="9"/>
        <v>P1 – Critical</v>
      </c>
      <c r="AG4">
        <f t="shared" si="10"/>
        <v>0.61174451884471792</v>
      </c>
      <c r="AH4">
        <f t="shared" si="11"/>
        <v>14481.25</v>
      </c>
      <c r="AI4">
        <f t="shared" si="12"/>
        <v>1283</v>
      </c>
      <c r="AJ4">
        <f t="shared" si="13"/>
        <v>1.0319519012286098</v>
      </c>
      <c r="AK4" t="str">
        <f t="shared" si="14"/>
        <v>Ghee</v>
      </c>
    </row>
    <row r="5" spans="1:37" ht="12.5">
      <c r="A5" t="str">
        <f ca="1"/>
        <v>Ghee</v>
      </c>
      <c r="B5" t="str">
        <f ca="1"/>
        <v>Steel Can Ghee 1 Ltr</v>
      </c>
      <c r="C5" s="297">
        <f ca="1"/>
        <v>413.05</v>
      </c>
      <c r="D5">
        <f ca="1"/>
        <v>30</v>
      </c>
      <c r="E5">
        <f ca="1"/>
        <v>370</v>
      </c>
      <c r="F5" s="297">
        <f ca="1"/>
        <v>43.050000000000011</v>
      </c>
      <c r="G5">
        <f ca="1"/>
        <v>0.89577532986321262</v>
      </c>
      <c r="I5" t="str">
        <f t="shared" ca="1" si="0"/>
        <v>Ghee</v>
      </c>
      <c r="J5" t="str">
        <f t="shared" ca="1" si="1"/>
        <v>Steel Can Ghee 1 Ltr</v>
      </c>
      <c r="K5" s="297">
        <f t="shared" ca="1" si="2"/>
        <v>413.05</v>
      </c>
      <c r="L5">
        <f t="shared" ca="1" si="3"/>
        <v>30</v>
      </c>
      <c r="M5">
        <f t="shared" ca="1" si="4"/>
        <v>370</v>
      </c>
      <c r="N5" s="297">
        <f t="shared" ca="1" si="5"/>
        <v>43.050000000000011</v>
      </c>
      <c r="O5" s="290">
        <f t="shared" ca="1" si="6"/>
        <v>0.89577532986321262</v>
      </c>
      <c r="T5" s="302" t="str">
        <v>GHEE1000_STEEL_CAN</v>
      </c>
      <c r="U5" s="302" t="str">
        <v>Steel Can Ghee 1 Ltr</v>
      </c>
      <c r="V5" s="302" t="str">
        <v>P1 – Critical</v>
      </c>
      <c r="W5" s="303">
        <v>0.89577532986321262</v>
      </c>
      <c r="X5" s="304">
        <v>43.050000000000011</v>
      </c>
      <c r="Y5" s="304">
        <v>16</v>
      </c>
      <c r="Z5" s="305">
        <v>1.1620869144171406</v>
      </c>
      <c r="AA5" s="302" t="str">
        <v>Ghee</v>
      </c>
      <c r="AD5" t="str">
        <f t="shared" si="7"/>
        <v>GHEE1000_STEEL_CAN</v>
      </c>
      <c r="AE5" t="str">
        <f t="shared" si="8"/>
        <v>Steel Can Ghee 1 Ltr</v>
      </c>
      <c r="AF5" t="str">
        <f t="shared" si="9"/>
        <v>P1 – Critical</v>
      </c>
      <c r="AG5">
        <f t="shared" si="10"/>
        <v>0.89577532986321262</v>
      </c>
      <c r="AH5">
        <f t="shared" si="11"/>
        <v>43.050000000000011</v>
      </c>
      <c r="AI5">
        <f t="shared" si="12"/>
        <v>16</v>
      </c>
      <c r="AJ5">
        <f t="shared" si="13"/>
        <v>1.1620869144171406</v>
      </c>
      <c r="AK5" t="str">
        <f t="shared" si="14"/>
        <v>Ghee</v>
      </c>
    </row>
    <row r="6" spans="1:37" ht="12.5">
      <c r="A6" t="str">
        <f ca="1"/>
        <v>Ghee</v>
      </c>
      <c r="B6" t="str">
        <f ca="1"/>
        <v>A2 Cultured Ghee - 100 ml</v>
      </c>
      <c r="C6" s="297">
        <f ca="1"/>
        <v>14077.7</v>
      </c>
      <c r="D6">
        <f ca="1"/>
        <v>829</v>
      </c>
      <c r="E6">
        <f ca="1"/>
        <v>14914</v>
      </c>
      <c r="F6" s="297">
        <f ca="1"/>
        <v>-836.29999999999927</v>
      </c>
      <c r="G6">
        <f ca="1"/>
        <v>1.05940601092508</v>
      </c>
      <c r="I6" t="str">
        <f t="shared" ca="1" si="0"/>
        <v>Ghee</v>
      </c>
      <c r="J6" t="str">
        <f t="shared" ca="1" si="1"/>
        <v>A2 Cultured Ghee - 100 ml</v>
      </c>
      <c r="K6" s="297">
        <f t="shared" ca="1" si="2"/>
        <v>14077.7</v>
      </c>
      <c r="L6">
        <f t="shared" ca="1" si="3"/>
        <v>829</v>
      </c>
      <c r="M6">
        <f t="shared" ca="1" si="4"/>
        <v>14914</v>
      </c>
      <c r="N6" s="297">
        <f t="shared" ca="1" si="5"/>
        <v>-836.29999999999927</v>
      </c>
      <c r="O6" s="290">
        <f t="shared" ca="1" si="6"/>
        <v>1.05940601092508</v>
      </c>
      <c r="T6" s="302" t="str">
        <v>FG00043</v>
      </c>
      <c r="U6" s="302" t="str">
        <v>Buffalo Ghee - A2 Cultured 500ml</v>
      </c>
      <c r="V6" s="302" t="str">
        <v>P1 – Critical</v>
      </c>
      <c r="W6" s="303">
        <v>0.18771032734583279</v>
      </c>
      <c r="X6" s="304">
        <v>18586</v>
      </c>
      <c r="Y6" s="304">
        <v>974</v>
      </c>
      <c r="Z6" s="305">
        <v>1.2770420873213582</v>
      </c>
      <c r="AA6" s="302" t="str">
        <v>Ghee</v>
      </c>
      <c r="AD6" t="str">
        <f t="shared" si="7"/>
        <v>FG00043</v>
      </c>
      <c r="AE6" t="str">
        <f t="shared" si="8"/>
        <v>Buffalo Ghee - A2 Cultured 500ml</v>
      </c>
      <c r="AF6" t="str">
        <f t="shared" si="9"/>
        <v>P1 – Critical</v>
      </c>
      <c r="AG6">
        <f t="shared" si="10"/>
        <v>0.18771032734583279</v>
      </c>
      <c r="AH6">
        <f t="shared" si="11"/>
        <v>18586</v>
      </c>
      <c r="AI6">
        <f t="shared" si="12"/>
        <v>974</v>
      </c>
      <c r="AJ6">
        <f t="shared" si="13"/>
        <v>1.2770420873213582</v>
      </c>
      <c r="AK6" t="str">
        <f t="shared" si="14"/>
        <v>Ghee</v>
      </c>
    </row>
    <row r="7" spans="1:37" ht="12.5">
      <c r="A7" t="str">
        <f ca="1"/>
        <v/>
      </c>
      <c r="B7" t="str">
        <f ca="1"/>
        <v/>
      </c>
      <c r="C7" s="297">
        <f ca="1"/>
        <v>129806.55</v>
      </c>
      <c r="D7">
        <f ca="1"/>
        <v>1237</v>
      </c>
      <c r="E7">
        <f ca="1"/>
        <v>73114</v>
      </c>
      <c r="F7" s="297">
        <f ca="1"/>
        <v>56692.549999999996</v>
      </c>
      <c r="G7">
        <f ca="1"/>
        <v>0.56325354922382576</v>
      </c>
      <c r="I7" t="str">
        <f t="shared" ca="1" si="0"/>
        <v/>
      </c>
      <c r="J7" t="str">
        <f t="shared" ca="1" si="1"/>
        <v/>
      </c>
      <c r="K7" s="297">
        <f t="shared" ca="1" si="2"/>
        <v>129806.55</v>
      </c>
      <c r="L7">
        <f t="shared" ca="1" si="3"/>
        <v>1237</v>
      </c>
      <c r="M7">
        <f t="shared" ca="1" si="4"/>
        <v>73114</v>
      </c>
      <c r="N7" s="297">
        <f t="shared" ca="1" si="5"/>
        <v>56692.549999999996</v>
      </c>
      <c r="O7" s="290">
        <f t="shared" ca="1" si="6"/>
        <v>0.56325354922382576</v>
      </c>
      <c r="T7" s="302" t="str">
        <v>FG00039</v>
      </c>
      <c r="U7" s="302" t="str">
        <v>Brahmi Ghee - 250 gm</v>
      </c>
      <c r="V7" s="302" t="str">
        <v>P1 – Critical</v>
      </c>
      <c r="W7" s="303">
        <v>0.2648221343873518</v>
      </c>
      <c r="X7" s="304">
        <v>186</v>
      </c>
      <c r="Y7" s="304">
        <v>11</v>
      </c>
      <c r="Z7" s="305">
        <v>1.3043478260869565</v>
      </c>
      <c r="AA7" s="302" t="str">
        <v>Ghee</v>
      </c>
      <c r="AD7" t="str">
        <f t="shared" si="7"/>
        <v>FG00039</v>
      </c>
      <c r="AE7" t="str">
        <f t="shared" si="8"/>
        <v>Brahmi Ghee - 250 gm</v>
      </c>
      <c r="AF7" t="str">
        <f t="shared" si="9"/>
        <v>P1 – Critical</v>
      </c>
      <c r="AG7">
        <f t="shared" si="10"/>
        <v>0.2648221343873518</v>
      </c>
      <c r="AH7">
        <f t="shared" si="11"/>
        <v>186</v>
      </c>
      <c r="AI7">
        <f t="shared" si="12"/>
        <v>11</v>
      </c>
      <c r="AJ7">
        <f t="shared" si="13"/>
        <v>1.3043478260869565</v>
      </c>
      <c r="AK7" t="str">
        <f t="shared" si="14"/>
        <v>Ghee</v>
      </c>
    </row>
    <row r="8" spans="1:37" ht="12.5">
      <c r="C8" s="297"/>
      <c r="F8" s="297"/>
      <c r="I8">
        <f t="shared" si="0"/>
        <v>0</v>
      </c>
      <c r="J8">
        <f t="shared" si="1"/>
        <v>0</v>
      </c>
      <c r="K8" s="297">
        <f t="shared" si="2"/>
        <v>0</v>
      </c>
      <c r="L8">
        <f t="shared" si="3"/>
        <v>0</v>
      </c>
      <c r="M8">
        <f t="shared" si="4"/>
        <v>0</v>
      </c>
      <c r="N8" s="297">
        <f t="shared" si="5"/>
        <v>0</v>
      </c>
      <c r="O8" s="290">
        <f t="shared" si="6"/>
        <v>0</v>
      </c>
      <c r="T8" s="302" t="str">
        <v>FG00563</v>
      </c>
      <c r="U8" s="302" t="str">
        <v>A2 Cultured Ghee - 1000 ml</v>
      </c>
      <c r="V8" s="302" t="str">
        <v>P1 – Critical</v>
      </c>
      <c r="W8" s="303">
        <v>0.69805988804956254</v>
      </c>
      <c r="X8" s="304">
        <v>3333.6000000000004</v>
      </c>
      <c r="Y8" s="304">
        <v>576</v>
      </c>
      <c r="Z8" s="305">
        <v>1.5651323297646866</v>
      </c>
      <c r="AA8" s="302" t="str">
        <v>Ghee</v>
      </c>
      <c r="AD8" t="str">
        <f t="shared" si="7"/>
        <v>FG00563</v>
      </c>
      <c r="AE8" t="str">
        <f t="shared" si="8"/>
        <v>A2 Cultured Ghee - 1000 ml</v>
      </c>
      <c r="AF8" t="str">
        <f t="shared" si="9"/>
        <v>P1 – Critical</v>
      </c>
      <c r="AG8">
        <f t="shared" si="10"/>
        <v>0.69805988804956254</v>
      </c>
      <c r="AH8">
        <f t="shared" si="11"/>
        <v>3333.6000000000004</v>
      </c>
      <c r="AI8">
        <f t="shared" si="12"/>
        <v>576</v>
      </c>
      <c r="AJ8">
        <f t="shared" si="13"/>
        <v>1.5651323297646866</v>
      </c>
      <c r="AK8" t="str">
        <f t="shared" si="14"/>
        <v>Ghee</v>
      </c>
    </row>
    <row r="9" spans="1:37" ht="12.5">
      <c r="C9" s="297"/>
      <c r="F9" s="297"/>
      <c r="I9">
        <f t="shared" si="0"/>
        <v>0</v>
      </c>
      <c r="J9">
        <f t="shared" si="1"/>
        <v>0</v>
      </c>
      <c r="K9" s="297">
        <f t="shared" si="2"/>
        <v>0</v>
      </c>
      <c r="L9">
        <f t="shared" si="3"/>
        <v>0</v>
      </c>
      <c r="M9">
        <f t="shared" si="4"/>
        <v>0</v>
      </c>
      <c r="N9" s="297">
        <f t="shared" si="5"/>
        <v>0</v>
      </c>
      <c r="O9" s="290">
        <f t="shared" si="6"/>
        <v>0</v>
      </c>
      <c r="T9" s="302" t="str">
        <v>FG00024</v>
      </c>
      <c r="U9" s="302" t="str">
        <v>Ashwagandha Ghee - 250 gm</v>
      </c>
      <c r="V9" s="302" t="str">
        <v>P1 – Critical</v>
      </c>
      <c r="W9" s="303">
        <v>0.60841423948220064</v>
      </c>
      <c r="X9" s="304">
        <v>121</v>
      </c>
      <c r="Y9" s="304">
        <v>20</v>
      </c>
      <c r="Z9" s="305">
        <v>1.9417475728155338</v>
      </c>
      <c r="AA9" s="302" t="str">
        <v>Ghee</v>
      </c>
      <c r="AD9" t="str">
        <f t="shared" si="7"/>
        <v>FG00024</v>
      </c>
      <c r="AE9" t="str">
        <f t="shared" si="8"/>
        <v>Ashwagandha Ghee - 250 gm</v>
      </c>
      <c r="AF9" t="str">
        <f t="shared" si="9"/>
        <v>P1 – Critical</v>
      </c>
      <c r="AG9">
        <f t="shared" si="10"/>
        <v>0.60841423948220064</v>
      </c>
      <c r="AH9">
        <f t="shared" si="11"/>
        <v>121</v>
      </c>
      <c r="AI9">
        <f t="shared" si="12"/>
        <v>20</v>
      </c>
      <c r="AJ9">
        <f t="shared" si="13"/>
        <v>1.9417475728155338</v>
      </c>
      <c r="AK9" t="str">
        <f t="shared" si="14"/>
        <v>Ghee</v>
      </c>
    </row>
    <row r="10" spans="1:37" ht="12.5">
      <c r="C10" s="297"/>
      <c r="F10" s="297"/>
      <c r="I10">
        <f t="shared" si="0"/>
        <v>0</v>
      </c>
      <c r="J10">
        <f t="shared" si="1"/>
        <v>0</v>
      </c>
      <c r="K10" s="297">
        <f t="shared" si="2"/>
        <v>0</v>
      </c>
      <c r="L10">
        <f t="shared" si="3"/>
        <v>0</v>
      </c>
      <c r="M10">
        <f t="shared" si="4"/>
        <v>0</v>
      </c>
      <c r="N10" s="297">
        <f t="shared" si="5"/>
        <v>0</v>
      </c>
      <c r="O10" s="290">
        <f t="shared" si="6"/>
        <v>0</v>
      </c>
      <c r="T10" s="302" t="str">
        <v>FG00052</v>
      </c>
      <c r="U10" s="302" t="str">
        <v>Colostrum Powder, Desi Gir Cow - 100 gm</v>
      </c>
      <c r="V10" s="302" t="str">
        <v>P1 – Critical</v>
      </c>
      <c r="W10" s="303">
        <v>0.53329439252336452</v>
      </c>
      <c r="X10" s="304">
        <v>799</v>
      </c>
      <c r="Y10" s="304">
        <v>116</v>
      </c>
      <c r="Z10" s="305">
        <v>2.0327102803738315</v>
      </c>
      <c r="AA10" s="302" t="str">
        <v>Ghee</v>
      </c>
      <c r="AD10" t="str">
        <f t="shared" si="7"/>
        <v>FG00052</v>
      </c>
      <c r="AE10" t="str">
        <f t="shared" si="8"/>
        <v>Colostrum Powder, Desi Gir Cow - 100 gm</v>
      </c>
      <c r="AF10" t="str">
        <f t="shared" si="9"/>
        <v>P1 – Critical</v>
      </c>
      <c r="AG10">
        <f t="shared" si="10"/>
        <v>0.53329439252336452</v>
      </c>
      <c r="AH10">
        <f t="shared" si="11"/>
        <v>799</v>
      </c>
      <c r="AI10">
        <f t="shared" si="12"/>
        <v>116</v>
      </c>
      <c r="AJ10">
        <f t="shared" si="13"/>
        <v>2.0327102803738315</v>
      </c>
      <c r="AK10" t="str">
        <f t="shared" si="14"/>
        <v>Ghee</v>
      </c>
    </row>
    <row r="11" spans="1:37" ht="12.5">
      <c r="C11" s="297"/>
      <c r="F11" s="297"/>
      <c r="I11">
        <f t="shared" si="0"/>
        <v>0</v>
      </c>
      <c r="J11">
        <f t="shared" si="1"/>
        <v>0</v>
      </c>
      <c r="K11" s="297">
        <f t="shared" si="2"/>
        <v>0</v>
      </c>
      <c r="L11">
        <f t="shared" si="3"/>
        <v>0</v>
      </c>
      <c r="M11">
        <f t="shared" si="4"/>
        <v>0</v>
      </c>
      <c r="N11" s="297">
        <f t="shared" si="5"/>
        <v>0</v>
      </c>
      <c r="O11" s="290">
        <f t="shared" si="6"/>
        <v>0</v>
      </c>
      <c r="T11" s="302" t="str">
        <v>FG00904</v>
      </c>
      <c r="U11" s="302" t="str">
        <v>A2 Desi Cow Ghee - 500ml</v>
      </c>
      <c r="V11" s="302" t="str">
        <v>P1 – Critical</v>
      </c>
      <c r="W11" s="303">
        <v>0.32296273653844315</v>
      </c>
      <c r="X11" s="304">
        <v>7087.7000000000007</v>
      </c>
      <c r="Y11" s="304">
        <v>874</v>
      </c>
      <c r="Z11" s="305">
        <v>2.5046089772369058</v>
      </c>
      <c r="AA11" s="302" t="str">
        <v>Ghee</v>
      </c>
      <c r="AD11" t="str">
        <f t="shared" si="7"/>
        <v>FG00904</v>
      </c>
      <c r="AE11" t="str">
        <f t="shared" si="8"/>
        <v>A2 Desi Cow Ghee - 500ml</v>
      </c>
      <c r="AF11" t="str">
        <f t="shared" si="9"/>
        <v>P1 – Critical</v>
      </c>
      <c r="AG11">
        <f t="shared" si="10"/>
        <v>0.32296273653844315</v>
      </c>
      <c r="AH11">
        <f t="shared" si="11"/>
        <v>7087.7000000000007</v>
      </c>
      <c r="AI11">
        <f t="shared" si="12"/>
        <v>874</v>
      </c>
      <c r="AJ11">
        <f t="shared" si="13"/>
        <v>2.5046089772369058</v>
      </c>
      <c r="AK11" t="str">
        <f t="shared" si="14"/>
        <v>Ghee</v>
      </c>
    </row>
    <row r="12" spans="1:37" ht="12.5">
      <c r="C12" s="297"/>
      <c r="F12" s="297"/>
      <c r="I12">
        <f t="shared" si="0"/>
        <v>0</v>
      </c>
      <c r="J12">
        <f t="shared" si="1"/>
        <v>0</v>
      </c>
      <c r="K12" s="297">
        <f t="shared" si="2"/>
        <v>0</v>
      </c>
      <c r="L12">
        <f t="shared" si="3"/>
        <v>0</v>
      </c>
      <c r="M12">
        <f t="shared" si="4"/>
        <v>0</v>
      </c>
      <c r="N12" s="297">
        <f t="shared" si="5"/>
        <v>0</v>
      </c>
      <c r="O12" s="290">
        <f t="shared" si="6"/>
        <v>0</v>
      </c>
      <c r="T12" s="302" t="str">
        <v>FG00562</v>
      </c>
      <c r="U12" s="302" t="str">
        <v>A2 Cultured Ghee - 250 ml</v>
      </c>
      <c r="V12" s="302" t="str">
        <v>P1 – Critical</v>
      </c>
      <c r="W12" s="303">
        <v>0.67674077295211177</v>
      </c>
      <c r="X12" s="304">
        <v>6541.7000000000007</v>
      </c>
      <c r="Y12" s="304">
        <v>2754</v>
      </c>
      <c r="Z12" s="305">
        <v>4.0826814648633416</v>
      </c>
      <c r="AA12" s="302" t="str">
        <v>Ghee</v>
      </c>
      <c r="AD12" t="str">
        <f t="shared" si="7"/>
        <v>FG00562</v>
      </c>
      <c r="AE12" t="str">
        <f t="shared" si="8"/>
        <v>A2 Cultured Ghee - 250 ml</v>
      </c>
      <c r="AF12" t="str">
        <f t="shared" si="9"/>
        <v>P1 – Critical</v>
      </c>
      <c r="AG12">
        <f t="shared" si="10"/>
        <v>0.67674077295211177</v>
      </c>
      <c r="AH12">
        <f t="shared" si="11"/>
        <v>6541.7000000000007</v>
      </c>
      <c r="AI12">
        <f t="shared" si="12"/>
        <v>2754</v>
      </c>
      <c r="AJ12">
        <f t="shared" si="13"/>
        <v>4.0826814648633416</v>
      </c>
      <c r="AK12" t="str">
        <f t="shared" si="14"/>
        <v>Ghee</v>
      </c>
    </row>
    <row r="13" spans="1:37" ht="12.5">
      <c r="C13" s="297"/>
      <c r="F13" s="297"/>
      <c r="I13">
        <f t="shared" si="0"/>
        <v>0</v>
      </c>
      <c r="J13">
        <f t="shared" si="1"/>
        <v>0</v>
      </c>
      <c r="K13" s="297">
        <f t="shared" si="2"/>
        <v>0</v>
      </c>
      <c r="L13">
        <f t="shared" si="3"/>
        <v>0</v>
      </c>
      <c r="M13">
        <f t="shared" si="4"/>
        <v>0</v>
      </c>
      <c r="N13" s="297">
        <f t="shared" si="5"/>
        <v>0</v>
      </c>
      <c r="O13" s="290">
        <f t="shared" si="6"/>
        <v>0</v>
      </c>
      <c r="T13" s="302" t="str">
        <v>FG00227</v>
      </c>
      <c r="U13" s="302" t="str">
        <v>Shatavari Ghee - 250 gm</v>
      </c>
      <c r="V13" s="302" t="str">
        <v>P1 – Critical</v>
      </c>
      <c r="W13" s="303">
        <v>0.20062695924764889</v>
      </c>
      <c r="X13" s="304">
        <v>255</v>
      </c>
      <c r="Y13" s="304">
        <v>46</v>
      </c>
      <c r="Z13" s="305">
        <v>4.3260188087774294</v>
      </c>
      <c r="AA13" s="302" t="str">
        <v>Ghee</v>
      </c>
      <c r="AD13" t="str">
        <f t="shared" si="7"/>
        <v>FG00227</v>
      </c>
      <c r="AE13" t="str">
        <f t="shared" si="8"/>
        <v>Shatavari Ghee - 250 gm</v>
      </c>
      <c r="AF13" t="str">
        <f t="shared" si="9"/>
        <v>P1 – Critical</v>
      </c>
      <c r="AG13">
        <f t="shared" si="10"/>
        <v>0.20062695924764889</v>
      </c>
      <c r="AH13">
        <f t="shared" si="11"/>
        <v>255</v>
      </c>
      <c r="AI13">
        <f t="shared" si="12"/>
        <v>46</v>
      </c>
      <c r="AJ13">
        <f t="shared" si="13"/>
        <v>4.3260188087774294</v>
      </c>
      <c r="AK13" t="str">
        <f t="shared" si="14"/>
        <v>Ghee</v>
      </c>
    </row>
    <row r="14" spans="1:37" ht="12.5">
      <c r="I14">
        <f t="shared" si="0"/>
        <v>0</v>
      </c>
      <c r="J14">
        <f t="shared" si="1"/>
        <v>0</v>
      </c>
      <c r="K14" s="297">
        <f t="shared" si="2"/>
        <v>0</v>
      </c>
      <c r="L14">
        <f t="shared" si="3"/>
        <v>0</v>
      </c>
      <c r="M14">
        <f t="shared" si="4"/>
        <v>0</v>
      </c>
      <c r="N14" s="297">
        <f t="shared" si="5"/>
        <v>0</v>
      </c>
      <c r="O14" s="290">
        <f t="shared" si="6"/>
        <v>0</v>
      </c>
      <c r="T14" s="302" t="str">
        <v>FG01068</v>
      </c>
      <c r="U14" s="302" t="str">
        <v>Non cultured ghee 1l</v>
      </c>
      <c r="V14" s="302" t="str">
        <v>P1 – Critical</v>
      </c>
      <c r="W14" s="303">
        <v>0.38535295090097538</v>
      </c>
      <c r="X14" s="304">
        <v>3718</v>
      </c>
      <c r="Y14" s="304">
        <v>941</v>
      </c>
      <c r="Z14" s="305">
        <v>4.6668870887750042</v>
      </c>
      <c r="AA14" s="302" t="str">
        <v>Ghee</v>
      </c>
      <c r="AD14" t="str">
        <f t="shared" si="7"/>
        <v>FG01068</v>
      </c>
      <c r="AE14" t="str">
        <f t="shared" si="8"/>
        <v>Non cultured ghee 1l</v>
      </c>
      <c r="AF14" t="str">
        <f t="shared" si="9"/>
        <v>P1 – Critical</v>
      </c>
      <c r="AG14">
        <f t="shared" si="10"/>
        <v>0.38535295090097538</v>
      </c>
      <c r="AH14">
        <f t="shared" si="11"/>
        <v>3718</v>
      </c>
      <c r="AI14">
        <f t="shared" si="12"/>
        <v>941</v>
      </c>
      <c r="AJ14">
        <f t="shared" si="13"/>
        <v>4.6668870887750042</v>
      </c>
      <c r="AK14" t="str">
        <f t="shared" si="14"/>
        <v>Ghee</v>
      </c>
    </row>
    <row r="15" spans="1:37" ht="12.5">
      <c r="I15">
        <f t="shared" si="0"/>
        <v>0</v>
      </c>
      <c r="J15">
        <f t="shared" si="1"/>
        <v>0</v>
      </c>
      <c r="K15" s="297">
        <f t="shared" si="2"/>
        <v>0</v>
      </c>
      <c r="L15">
        <f t="shared" si="3"/>
        <v>0</v>
      </c>
      <c r="M15">
        <f t="shared" si="4"/>
        <v>0</v>
      </c>
      <c r="N15" s="297">
        <f t="shared" si="5"/>
        <v>0</v>
      </c>
      <c r="O15" s="290">
        <f t="shared" si="6"/>
        <v>0</v>
      </c>
      <c r="T15" s="302" t="str">
        <v>FG00097</v>
      </c>
      <c r="U15" s="302" t="str">
        <v>Full Moon Cultured Ghee - 500 ml</v>
      </c>
      <c r="V15" s="302" t="str">
        <v>P2 – High</v>
      </c>
      <c r="W15" s="303">
        <v>0.48496957587866674</v>
      </c>
      <c r="X15" s="304">
        <v>1701.3000000000002</v>
      </c>
      <c r="Y15" s="304">
        <v>889</v>
      </c>
      <c r="Z15" s="305">
        <v>8.0737444373808014</v>
      </c>
      <c r="AA15" s="302" t="str">
        <v>Ghee</v>
      </c>
      <c r="AD15" t="str">
        <f t="shared" si="7"/>
        <v>FG00097</v>
      </c>
      <c r="AE15" t="str">
        <f t="shared" si="8"/>
        <v>Full Moon Cultured Ghee - 500 ml</v>
      </c>
      <c r="AF15" t="str">
        <f t="shared" si="9"/>
        <v>P2 – High</v>
      </c>
      <c r="AG15">
        <f t="shared" si="10"/>
        <v>0.48496957587866674</v>
      </c>
      <c r="AH15">
        <f t="shared" si="11"/>
        <v>1701.3000000000002</v>
      </c>
      <c r="AI15">
        <f t="shared" si="12"/>
        <v>889</v>
      </c>
      <c r="AJ15">
        <f t="shared" si="13"/>
        <v>8.0737444373808014</v>
      </c>
      <c r="AK15" t="str">
        <f t="shared" si="14"/>
        <v>Ghee</v>
      </c>
    </row>
    <row r="16" spans="1:37" ht="12.5">
      <c r="T16" s="302" t="str">
        <v>FG00703</v>
      </c>
      <c r="U16" s="302" t="str">
        <v>A2 Cultured Ghee - 100 ml</v>
      </c>
      <c r="V16" s="302" t="str">
        <v>P2 – High</v>
      </c>
      <c r="W16" s="306">
        <v>1.05940601092508</v>
      </c>
      <c r="X16" s="306">
        <v>-836.29999999999927</v>
      </c>
      <c r="Y16" s="306">
        <v>4201</v>
      </c>
      <c r="Z16" s="306">
        <v>8.9524567223339027</v>
      </c>
      <c r="AA16" s="302" t="str">
        <v>Ghee</v>
      </c>
      <c r="AD16" t="str">
        <f t="shared" si="7"/>
        <v>FG00703</v>
      </c>
      <c r="AE16" t="str">
        <f t="shared" si="8"/>
        <v>A2 Cultured Ghee - 100 ml</v>
      </c>
      <c r="AF16" t="str">
        <f t="shared" si="9"/>
        <v>P2 – High</v>
      </c>
      <c r="AG16">
        <f t="shared" si="10"/>
        <v>1.05940601092508</v>
      </c>
      <c r="AH16">
        <f t="shared" si="11"/>
        <v>-836.29999999999927</v>
      </c>
      <c r="AI16">
        <f t="shared" si="12"/>
        <v>4201</v>
      </c>
      <c r="AJ16">
        <f t="shared" si="13"/>
        <v>8.9524567223339027</v>
      </c>
      <c r="AK16" t="str">
        <f t="shared" si="14"/>
        <v>Ghee</v>
      </c>
    </row>
    <row r="17" spans="1:37" ht="12.5">
      <c r="T17" s="302"/>
      <c r="U17" s="302"/>
      <c r="V17" s="302"/>
      <c r="W17" s="306"/>
      <c r="X17" s="306"/>
      <c r="Y17" s="306"/>
      <c r="Z17" s="306"/>
      <c r="AA17" s="302"/>
      <c r="AD17">
        <f t="shared" si="7"/>
        <v>0</v>
      </c>
      <c r="AE17">
        <f t="shared" si="8"/>
        <v>0</v>
      </c>
      <c r="AF17">
        <f t="shared" si="9"/>
        <v>0</v>
      </c>
      <c r="AG17">
        <f t="shared" si="10"/>
        <v>0</v>
      </c>
      <c r="AH17">
        <f t="shared" si="11"/>
        <v>0</v>
      </c>
      <c r="AI17">
        <f t="shared" si="12"/>
        <v>0</v>
      </c>
      <c r="AJ17">
        <f t="shared" si="13"/>
        <v>0</v>
      </c>
      <c r="AK17">
        <f t="shared" si="14"/>
        <v>0</v>
      </c>
    </row>
    <row r="18" spans="1:37" ht="12.5">
      <c r="T18" s="307"/>
      <c r="U18" s="307"/>
      <c r="V18" s="307"/>
      <c r="W18" s="308"/>
      <c r="X18" s="308"/>
      <c r="Y18" s="308"/>
      <c r="Z18" s="308"/>
      <c r="AA18" s="307"/>
      <c r="AD18">
        <f t="shared" si="7"/>
        <v>0</v>
      </c>
      <c r="AE18">
        <f t="shared" si="8"/>
        <v>0</v>
      </c>
      <c r="AF18">
        <f t="shared" si="9"/>
        <v>0</v>
      </c>
      <c r="AG18">
        <f t="shared" si="10"/>
        <v>0</v>
      </c>
      <c r="AH18">
        <f t="shared" si="11"/>
        <v>0</v>
      </c>
      <c r="AI18">
        <f t="shared" si="12"/>
        <v>0</v>
      </c>
      <c r="AJ18">
        <f t="shared" si="13"/>
        <v>0</v>
      </c>
      <c r="AK18">
        <f t="shared" si="14"/>
        <v>0</v>
      </c>
    </row>
    <row r="19" spans="1:37" ht="12.5">
      <c r="A19">
        <f t="array" ref="A19:D20">_xlfn._xlws.FILTER(CHOOSE({1,2,3,4},Summary!B:B,Summary!E:E,Summary!O:O,Summary!BC:BC),(Summary!BF:BF=0)*(Summary!O:O&lt;&gt;"")*(Summary!O:O&lt;&gt;0))</f>
        <v>0</v>
      </c>
      <c r="B19">
        <v>0</v>
      </c>
      <c r="C19">
        <v>129806.55</v>
      </c>
      <c r="D19">
        <v>0</v>
      </c>
      <c r="I19" t="str">
        <f t="shared" ref="I19:I37" si="15">A20</f>
        <v>Ghee</v>
      </c>
      <c r="J19" t="str">
        <f t="shared" ref="J19:J37" si="16">B20</f>
        <v>Butter/Makhan - 200 gm</v>
      </c>
      <c r="K19">
        <f t="shared" ref="K19:K37" si="17">C20</f>
        <v>186</v>
      </c>
      <c r="L19">
        <f t="shared" ref="L19:L37" si="18">D20</f>
        <v>0</v>
      </c>
      <c r="W19" s="297"/>
      <c r="X19" s="297"/>
      <c r="Y19" s="297"/>
      <c r="Z19" s="297"/>
      <c r="AD19">
        <f t="shared" si="7"/>
        <v>0</v>
      </c>
      <c r="AE19">
        <f t="shared" si="8"/>
        <v>0</v>
      </c>
      <c r="AF19">
        <f t="shared" si="9"/>
        <v>0</v>
      </c>
      <c r="AG19">
        <f t="shared" si="10"/>
        <v>0</v>
      </c>
      <c r="AH19">
        <f t="shared" si="11"/>
        <v>0</v>
      </c>
      <c r="AI19">
        <f t="shared" si="12"/>
        <v>0</v>
      </c>
      <c r="AJ19">
        <f t="shared" si="13"/>
        <v>0</v>
      </c>
      <c r="AK19">
        <f t="shared" si="14"/>
        <v>0</v>
      </c>
    </row>
    <row r="20" spans="1:37" ht="12.5">
      <c r="A20" t="str">
        <v>Ghee</v>
      </c>
      <c r="B20" t="str">
        <v>Butter/Makhan - 200 gm</v>
      </c>
      <c r="C20">
        <v>186</v>
      </c>
      <c r="D20">
        <v>0</v>
      </c>
      <c r="I20">
        <f t="shared" si="15"/>
        <v>0</v>
      </c>
      <c r="J20">
        <f t="shared" si="16"/>
        <v>0</v>
      </c>
      <c r="K20">
        <f t="shared" si="17"/>
        <v>0</v>
      </c>
      <c r="L20">
        <f t="shared" si="18"/>
        <v>0</v>
      </c>
      <c r="W20" s="297"/>
      <c r="X20" s="297"/>
      <c r="Y20" s="297"/>
      <c r="Z20" s="297"/>
      <c r="AD20">
        <f t="shared" si="7"/>
        <v>0</v>
      </c>
      <c r="AE20">
        <f t="shared" si="8"/>
        <v>0</v>
      </c>
      <c r="AF20">
        <f t="shared" si="9"/>
        <v>0</v>
      </c>
      <c r="AG20">
        <f t="shared" si="10"/>
        <v>0</v>
      </c>
      <c r="AH20">
        <f t="shared" si="11"/>
        <v>0</v>
      </c>
      <c r="AI20">
        <f t="shared" si="12"/>
        <v>0</v>
      </c>
      <c r="AJ20">
        <f t="shared" si="13"/>
        <v>0</v>
      </c>
      <c r="AK20">
        <f t="shared" si="14"/>
        <v>0</v>
      </c>
    </row>
    <row r="21" spans="1:37" ht="12.5">
      <c r="I21">
        <f t="shared" si="15"/>
        <v>0</v>
      </c>
      <c r="J21">
        <f t="shared" si="16"/>
        <v>0</v>
      </c>
      <c r="K21">
        <f t="shared" si="17"/>
        <v>0</v>
      </c>
      <c r="L21">
        <f t="shared" si="18"/>
        <v>0</v>
      </c>
      <c r="W21" s="297"/>
      <c r="X21" s="297"/>
      <c r="Y21" s="297"/>
      <c r="Z21" s="297"/>
      <c r="AD21">
        <f t="shared" si="7"/>
        <v>0</v>
      </c>
      <c r="AE21">
        <f t="shared" si="8"/>
        <v>0</v>
      </c>
      <c r="AF21">
        <f t="shared" si="9"/>
        <v>0</v>
      </c>
      <c r="AG21">
        <f t="shared" si="10"/>
        <v>0</v>
      </c>
      <c r="AH21">
        <f t="shared" si="11"/>
        <v>0</v>
      </c>
      <c r="AI21">
        <f t="shared" si="12"/>
        <v>0</v>
      </c>
      <c r="AJ21">
        <f t="shared" si="13"/>
        <v>0</v>
      </c>
      <c r="AK21">
        <f t="shared" si="14"/>
        <v>0</v>
      </c>
    </row>
    <row r="22" spans="1:37" ht="12.5">
      <c r="I22">
        <f t="shared" si="15"/>
        <v>0</v>
      </c>
      <c r="J22">
        <f t="shared" si="16"/>
        <v>0</v>
      </c>
      <c r="K22">
        <f t="shared" si="17"/>
        <v>0</v>
      </c>
      <c r="L22">
        <f t="shared" si="18"/>
        <v>0</v>
      </c>
      <c r="W22" s="297"/>
      <c r="X22" s="297"/>
      <c r="Y22" s="297"/>
      <c r="Z22" s="297"/>
      <c r="AD22">
        <f t="shared" si="7"/>
        <v>0</v>
      </c>
      <c r="AE22">
        <f t="shared" si="8"/>
        <v>0</v>
      </c>
      <c r="AF22">
        <f t="shared" si="9"/>
        <v>0</v>
      </c>
      <c r="AG22">
        <f t="shared" si="10"/>
        <v>0</v>
      </c>
      <c r="AH22">
        <f t="shared" si="11"/>
        <v>0</v>
      </c>
      <c r="AI22">
        <f t="shared" si="12"/>
        <v>0</v>
      </c>
      <c r="AJ22">
        <f t="shared" si="13"/>
        <v>0</v>
      </c>
      <c r="AK22">
        <f t="shared" si="14"/>
        <v>0</v>
      </c>
    </row>
    <row r="23" spans="1:37" ht="12.5">
      <c r="I23">
        <f t="shared" si="15"/>
        <v>0</v>
      </c>
      <c r="J23">
        <f t="shared" si="16"/>
        <v>0</v>
      </c>
      <c r="K23">
        <f t="shared" si="17"/>
        <v>0</v>
      </c>
      <c r="L23">
        <f t="shared" si="18"/>
        <v>0</v>
      </c>
      <c r="W23" s="297"/>
      <c r="X23" s="297"/>
      <c r="Y23" s="297"/>
      <c r="Z23" s="297"/>
      <c r="AD23">
        <f t="shared" si="7"/>
        <v>0</v>
      </c>
      <c r="AE23">
        <f t="shared" si="8"/>
        <v>0</v>
      </c>
      <c r="AF23">
        <f t="shared" si="9"/>
        <v>0</v>
      </c>
      <c r="AG23">
        <f t="shared" si="10"/>
        <v>0</v>
      </c>
      <c r="AH23">
        <f t="shared" si="11"/>
        <v>0</v>
      </c>
      <c r="AI23">
        <f t="shared" si="12"/>
        <v>0</v>
      </c>
      <c r="AJ23">
        <f t="shared" si="13"/>
        <v>0</v>
      </c>
      <c r="AK23">
        <f t="shared" si="14"/>
        <v>0</v>
      </c>
    </row>
    <row r="24" spans="1:37" ht="12.5">
      <c r="I24">
        <f t="shared" si="15"/>
        <v>0</v>
      </c>
      <c r="J24">
        <f t="shared" si="16"/>
        <v>0</v>
      </c>
      <c r="K24">
        <f t="shared" si="17"/>
        <v>0</v>
      </c>
      <c r="L24">
        <f t="shared" si="18"/>
        <v>0</v>
      </c>
      <c r="W24" s="297"/>
      <c r="X24" s="297"/>
      <c r="Y24" s="297"/>
      <c r="Z24" s="297"/>
      <c r="AD24">
        <f t="shared" si="7"/>
        <v>0</v>
      </c>
      <c r="AE24">
        <f t="shared" si="8"/>
        <v>0</v>
      </c>
      <c r="AF24">
        <f t="shared" si="9"/>
        <v>0</v>
      </c>
      <c r="AG24">
        <f t="shared" si="10"/>
        <v>0</v>
      </c>
      <c r="AH24">
        <f t="shared" si="11"/>
        <v>0</v>
      </c>
      <c r="AI24">
        <f t="shared" si="12"/>
        <v>0</v>
      </c>
      <c r="AJ24">
        <f t="shared" si="13"/>
        <v>0</v>
      </c>
      <c r="AK24">
        <f t="shared" si="14"/>
        <v>0</v>
      </c>
    </row>
    <row r="25" spans="1:37" ht="12.5">
      <c r="I25">
        <f t="shared" si="15"/>
        <v>0</v>
      </c>
      <c r="J25">
        <f t="shared" si="16"/>
        <v>0</v>
      </c>
      <c r="K25">
        <f t="shared" si="17"/>
        <v>0</v>
      </c>
      <c r="L25">
        <f t="shared" si="18"/>
        <v>0</v>
      </c>
      <c r="W25" s="297"/>
      <c r="X25" s="297"/>
      <c r="Y25" s="297"/>
      <c r="Z25" s="297"/>
      <c r="AD25">
        <f t="shared" si="7"/>
        <v>0</v>
      </c>
      <c r="AE25">
        <f t="shared" si="8"/>
        <v>0</v>
      </c>
      <c r="AF25">
        <f t="shared" si="9"/>
        <v>0</v>
      </c>
      <c r="AG25">
        <f t="shared" si="10"/>
        <v>0</v>
      </c>
      <c r="AH25">
        <f t="shared" si="11"/>
        <v>0</v>
      </c>
      <c r="AI25">
        <f t="shared" si="12"/>
        <v>0</v>
      </c>
      <c r="AJ25">
        <f t="shared" si="13"/>
        <v>0</v>
      </c>
      <c r="AK25">
        <f t="shared" si="14"/>
        <v>0</v>
      </c>
    </row>
    <row r="26" spans="1:37" ht="12.5">
      <c r="I26">
        <f t="shared" si="15"/>
        <v>0</v>
      </c>
      <c r="J26">
        <f t="shared" si="16"/>
        <v>0</v>
      </c>
      <c r="K26">
        <f t="shared" si="17"/>
        <v>0</v>
      </c>
      <c r="L26">
        <f t="shared" si="18"/>
        <v>0</v>
      </c>
      <c r="W26" s="297"/>
      <c r="X26" s="297"/>
      <c r="Y26" s="297"/>
      <c r="Z26" s="297"/>
    </row>
    <row r="27" spans="1:37" ht="12.5">
      <c r="I27">
        <f t="shared" si="15"/>
        <v>0</v>
      </c>
      <c r="J27">
        <f t="shared" si="16"/>
        <v>0</v>
      </c>
      <c r="K27">
        <f t="shared" si="17"/>
        <v>0</v>
      </c>
      <c r="L27">
        <f t="shared" si="18"/>
        <v>0</v>
      </c>
    </row>
    <row r="28" spans="1:37" ht="12.5">
      <c r="I28">
        <f t="shared" si="15"/>
        <v>0</v>
      </c>
      <c r="J28">
        <f t="shared" si="16"/>
        <v>0</v>
      </c>
      <c r="K28">
        <f t="shared" si="17"/>
        <v>0</v>
      </c>
      <c r="L28">
        <f t="shared" si="18"/>
        <v>0</v>
      </c>
    </row>
    <row r="29" spans="1:37" ht="12.5">
      <c r="I29">
        <f t="shared" si="15"/>
        <v>0</v>
      </c>
      <c r="J29">
        <f t="shared" si="16"/>
        <v>0</v>
      </c>
      <c r="K29">
        <f t="shared" si="17"/>
        <v>0</v>
      </c>
      <c r="L29">
        <f t="shared" si="18"/>
        <v>0</v>
      </c>
    </row>
    <row r="30" spans="1:37" ht="12.5">
      <c r="I30">
        <f t="shared" si="15"/>
        <v>0</v>
      </c>
      <c r="J30">
        <f t="shared" si="16"/>
        <v>0</v>
      </c>
      <c r="K30">
        <f t="shared" si="17"/>
        <v>0</v>
      </c>
      <c r="L30">
        <f t="shared" si="18"/>
        <v>0</v>
      </c>
      <c r="U30" t="s">
        <v>1876</v>
      </c>
      <c r="V30" t="s">
        <v>1877</v>
      </c>
      <c r="W30" s="297" t="s">
        <v>1878</v>
      </c>
      <c r="X30" t="s">
        <v>1879</v>
      </c>
      <c r="Y30" s="297" t="s">
        <v>1880</v>
      </c>
      <c r="Z30" s="297" t="s">
        <v>1881</v>
      </c>
      <c r="AA30" t="s">
        <v>1882</v>
      </c>
      <c r="AB30" t="s">
        <v>1883</v>
      </c>
      <c r="AC30" t="s">
        <v>1884</v>
      </c>
      <c r="AD30" t="s">
        <v>1885</v>
      </c>
      <c r="AE30" t="s">
        <v>1886</v>
      </c>
    </row>
    <row r="31" spans="1:37" ht="12.5">
      <c r="I31">
        <f t="shared" si="15"/>
        <v>0</v>
      </c>
      <c r="J31">
        <f t="shared" si="16"/>
        <v>0</v>
      </c>
      <c r="K31">
        <f t="shared" si="17"/>
        <v>0</v>
      </c>
      <c r="L31">
        <f t="shared" si="18"/>
        <v>0</v>
      </c>
      <c r="U31" s="309">
        <v>46287</v>
      </c>
      <c r="V31" t="s">
        <v>1887</v>
      </c>
      <c r="W31">
        <v>74.3</v>
      </c>
      <c r="X31">
        <v>8044.1</v>
      </c>
      <c r="Y31">
        <v>323.3</v>
      </c>
      <c r="Z31">
        <v>259.29999999999995</v>
      </c>
      <c r="AA31">
        <v>8701</v>
      </c>
      <c r="AB31">
        <v>20</v>
      </c>
      <c r="AC31">
        <v>9450.5</v>
      </c>
      <c r="AD31">
        <v>414.65</v>
      </c>
      <c r="AE31">
        <v>22.79151091281804</v>
      </c>
    </row>
    <row r="32" spans="1:37" ht="12.5">
      <c r="I32">
        <f t="shared" si="15"/>
        <v>0</v>
      </c>
      <c r="J32">
        <f t="shared" si="16"/>
        <v>0</v>
      </c>
      <c r="K32">
        <f t="shared" si="17"/>
        <v>0</v>
      </c>
      <c r="L32">
        <f t="shared" si="18"/>
        <v>0</v>
      </c>
      <c r="U32" s="309">
        <v>46288</v>
      </c>
      <c r="V32" t="s">
        <v>1888</v>
      </c>
      <c r="W32">
        <v>81.8</v>
      </c>
      <c r="X32">
        <v>17.7</v>
      </c>
      <c r="Y32">
        <v>342.6</v>
      </c>
      <c r="Z32">
        <v>327.39999999999998</v>
      </c>
      <c r="AA32">
        <v>769.5</v>
      </c>
      <c r="AB32">
        <v>0</v>
      </c>
      <c r="AC32">
        <v>0</v>
      </c>
      <c r="AD32">
        <v>0</v>
      </c>
      <c r="AE32">
        <v>0</v>
      </c>
    </row>
    <row r="33" spans="1:31" ht="12.5">
      <c r="I33">
        <f t="shared" si="15"/>
        <v>0</v>
      </c>
      <c r="J33">
        <f t="shared" si="16"/>
        <v>0</v>
      </c>
      <c r="K33">
        <f t="shared" si="17"/>
        <v>0</v>
      </c>
      <c r="L33">
        <f t="shared" si="18"/>
        <v>0</v>
      </c>
      <c r="U33" s="309">
        <v>46288</v>
      </c>
      <c r="V33" t="s">
        <v>1887</v>
      </c>
      <c r="W33">
        <v>63.999999999999993</v>
      </c>
      <c r="X33">
        <v>8924.9</v>
      </c>
      <c r="Y33">
        <v>334.9</v>
      </c>
      <c r="Z33">
        <v>237.1</v>
      </c>
      <c r="AA33">
        <v>9560.9</v>
      </c>
      <c r="AB33">
        <v>20</v>
      </c>
      <c r="AC33">
        <v>10338.299999999999</v>
      </c>
      <c r="AD33">
        <v>439.54</v>
      </c>
      <c r="AE33">
        <v>23.520726213768938</v>
      </c>
    </row>
    <row r="34" spans="1:31" ht="12.5">
      <c r="I34">
        <f t="shared" si="15"/>
        <v>0</v>
      </c>
      <c r="J34">
        <f t="shared" si="16"/>
        <v>0</v>
      </c>
      <c r="K34">
        <f t="shared" si="17"/>
        <v>0</v>
      </c>
      <c r="L34">
        <f t="shared" si="18"/>
        <v>0</v>
      </c>
      <c r="U34" s="309">
        <v>46289</v>
      </c>
      <c r="V34" t="s">
        <v>1888</v>
      </c>
      <c r="W34">
        <v>82.1</v>
      </c>
      <c r="X34">
        <v>18.8</v>
      </c>
      <c r="Y34">
        <v>353.4</v>
      </c>
      <c r="Z34">
        <v>343.1</v>
      </c>
      <c r="AA34">
        <v>797.4</v>
      </c>
      <c r="AB34">
        <v>0</v>
      </c>
      <c r="AC34">
        <v>0</v>
      </c>
      <c r="AD34">
        <v>0</v>
      </c>
      <c r="AE34">
        <v>0</v>
      </c>
    </row>
    <row r="35" spans="1:31" ht="12.5">
      <c r="I35">
        <f t="shared" si="15"/>
        <v>0</v>
      </c>
      <c r="J35">
        <f t="shared" si="16"/>
        <v>0</v>
      </c>
      <c r="K35">
        <f t="shared" si="17"/>
        <v>0</v>
      </c>
      <c r="L35">
        <f t="shared" si="18"/>
        <v>0</v>
      </c>
      <c r="U35" s="309">
        <v>46289</v>
      </c>
      <c r="V35" t="s">
        <v>1887</v>
      </c>
      <c r="W35">
        <v>69.099999999999994</v>
      </c>
      <c r="X35">
        <v>7924.9</v>
      </c>
      <c r="Y35">
        <v>348.6</v>
      </c>
      <c r="Z35">
        <v>286.80000000000007</v>
      </c>
      <c r="AA35">
        <v>8629.4</v>
      </c>
      <c r="AB35">
        <v>40</v>
      </c>
      <c r="AC35">
        <v>9019.5</v>
      </c>
      <c r="AD35">
        <v>404.25</v>
      </c>
      <c r="AE35">
        <v>22.311688311688311</v>
      </c>
    </row>
    <row r="36" spans="1:31" ht="12.5">
      <c r="I36">
        <f t="shared" si="15"/>
        <v>0</v>
      </c>
      <c r="J36">
        <f t="shared" si="16"/>
        <v>0</v>
      </c>
      <c r="K36">
        <f t="shared" si="17"/>
        <v>0</v>
      </c>
      <c r="L36">
        <f t="shared" si="18"/>
        <v>0</v>
      </c>
      <c r="U36" s="309">
        <v>46290</v>
      </c>
      <c r="V36" t="s">
        <v>1888</v>
      </c>
      <c r="W36">
        <v>79.599999999999994</v>
      </c>
      <c r="X36">
        <v>19</v>
      </c>
      <c r="Y36">
        <v>0</v>
      </c>
      <c r="Z36">
        <v>331.49999999999994</v>
      </c>
      <c r="AA36">
        <v>430.09999999999991</v>
      </c>
      <c r="AB36">
        <v>0</v>
      </c>
      <c r="AC36">
        <v>0</v>
      </c>
      <c r="AD36">
        <v>0</v>
      </c>
      <c r="AE36">
        <v>0</v>
      </c>
    </row>
    <row r="37" spans="1:31" ht="12.5">
      <c r="I37">
        <f t="shared" si="15"/>
        <v>0</v>
      </c>
      <c r="J37">
        <f t="shared" si="16"/>
        <v>0</v>
      </c>
      <c r="K37">
        <f t="shared" si="17"/>
        <v>0</v>
      </c>
      <c r="L37">
        <f t="shared" si="18"/>
        <v>0</v>
      </c>
    </row>
    <row r="38" spans="1:31" ht="12.5"/>
    <row r="39" spans="1:31" ht="12.5">
      <c r="A39" t="str">
        <f t="array" ref="A39:E40">_xlfn._xlws.FILTER(CHOOSE({1,2,3,4,5},Summary!B:B,Summary!E:E,Summary!O:O,Summary!BB:BB,Summary!BF:BF),(Summary!BF:BF&gt;=1)*(Summary!O:O&lt;&gt;""))</f>
        <v>Section</v>
      </c>
      <c r="B39" t="str">
        <v>Product Names</v>
      </c>
      <c r="C39" t="str">
        <v>Production Plan</v>
      </c>
      <c r="D39" t="str">
        <v>Production Done (PKT)</v>
      </c>
      <c r="E39" t="str">
        <v>Total Fulfillment Rate %</v>
      </c>
      <c r="I39" t="str">
        <f t="shared" ref="I39:I55" si="19">A39</f>
        <v>Section</v>
      </c>
      <c r="J39" t="str">
        <f t="shared" ref="J39:J55" si="20">B39</f>
        <v>Product Names</v>
      </c>
      <c r="K39" t="str">
        <f t="shared" ref="K39:K55" si="21">C39</f>
        <v>Production Plan</v>
      </c>
      <c r="L39" t="str">
        <f t="shared" ref="L39:L55" si="22">D39</f>
        <v>Production Done (PKT)</v>
      </c>
      <c r="M39" t="str">
        <f t="shared" ref="M39:M55" si="23">E39</f>
        <v>Total Fulfillment Rate %</v>
      </c>
    </row>
    <row r="40" spans="1:31" ht="12.5">
      <c r="A40" t="str">
        <v>Ghee</v>
      </c>
      <c r="B40" t="str">
        <v>A2 Cultured Ghee - 100 ml</v>
      </c>
      <c r="C40">
        <v>14077.7</v>
      </c>
      <c r="D40">
        <v>14914</v>
      </c>
      <c r="E40">
        <v>1.05940601092508</v>
      </c>
      <c r="I40" t="str">
        <f t="shared" si="19"/>
        <v>Ghee</v>
      </c>
      <c r="J40" t="str">
        <f t="shared" si="20"/>
        <v>A2 Cultured Ghee - 100 ml</v>
      </c>
      <c r="K40">
        <f t="shared" si="21"/>
        <v>14077.7</v>
      </c>
      <c r="L40">
        <f t="shared" si="22"/>
        <v>14914</v>
      </c>
      <c r="M40">
        <f t="shared" si="23"/>
        <v>1.05940601092508</v>
      </c>
      <c r="U40" t="str">
        <f t="shared" ref="U40:AE40" si="24">U30</f>
        <v>Date</v>
      </c>
      <c r="V40" t="str">
        <f t="shared" si="24"/>
        <v>Shift</v>
      </c>
      <c r="W40" t="str">
        <f t="shared" si="24"/>
        <v>Nira Bhima Total</v>
      </c>
      <c r="X40" t="str">
        <f t="shared" si="24"/>
        <v>Bhodani + Alephata +Jalgaon</v>
      </c>
      <c r="Y40" t="str">
        <f t="shared" si="24"/>
        <v xml:space="preserve">Gagargaon </v>
      </c>
      <c r="Z40" t="str">
        <f t="shared" si="24"/>
        <v>Indapur /MadhaTotal</v>
      </c>
      <c r="AA40" t="str">
        <f t="shared" si="24"/>
        <v>Total Milk</v>
      </c>
      <c r="AB40" t="str">
        <f t="shared" si="24"/>
        <v xml:space="preserve">Consum Milk Butter for mumbai order </v>
      </c>
      <c r="AC40" t="str">
        <f t="shared" si="24"/>
        <v>Milk for Ghee Process</v>
      </c>
      <c r="AD40" t="str">
        <f t="shared" si="24"/>
        <v>Ghee Produced</v>
      </c>
      <c r="AE40" t="str">
        <f t="shared" si="24"/>
        <v>Ghee Average</v>
      </c>
    </row>
    <row r="41" spans="1:31" ht="12.5">
      <c r="I41">
        <f t="shared" si="19"/>
        <v>0</v>
      </c>
      <c r="J41">
        <f t="shared" si="20"/>
        <v>0</v>
      </c>
      <c r="K41">
        <f t="shared" si="21"/>
        <v>0</v>
      </c>
      <c r="L41">
        <f t="shared" si="22"/>
        <v>0</v>
      </c>
      <c r="M41">
        <f t="shared" si="23"/>
        <v>0</v>
      </c>
      <c r="U41" s="309">
        <f t="shared" ref="U41:AE41" si="25">U31</f>
        <v>46287</v>
      </c>
      <c r="V41" t="str">
        <f t="shared" si="25"/>
        <v>E</v>
      </c>
      <c r="W41">
        <f t="shared" si="25"/>
        <v>74.3</v>
      </c>
      <c r="X41">
        <f t="shared" si="25"/>
        <v>8044.1</v>
      </c>
      <c r="Y41">
        <f t="shared" si="25"/>
        <v>323.3</v>
      </c>
      <c r="Z41">
        <f t="shared" si="25"/>
        <v>259.29999999999995</v>
      </c>
      <c r="AA41">
        <f t="shared" si="25"/>
        <v>8701</v>
      </c>
      <c r="AB41">
        <f t="shared" si="25"/>
        <v>20</v>
      </c>
      <c r="AC41">
        <f t="shared" si="25"/>
        <v>9450.5</v>
      </c>
      <c r="AD41">
        <f t="shared" si="25"/>
        <v>414.65</v>
      </c>
      <c r="AE41">
        <f t="shared" si="25"/>
        <v>22.79151091281804</v>
      </c>
    </row>
    <row r="42" spans="1:31" ht="12.5">
      <c r="I42">
        <f t="shared" si="19"/>
        <v>0</v>
      </c>
      <c r="J42">
        <f t="shared" si="20"/>
        <v>0</v>
      </c>
      <c r="K42">
        <f t="shared" si="21"/>
        <v>0</v>
      </c>
      <c r="L42">
        <f t="shared" si="22"/>
        <v>0</v>
      </c>
      <c r="M42">
        <f t="shared" si="23"/>
        <v>0</v>
      </c>
      <c r="U42" s="309">
        <f t="shared" ref="U42:AE42" si="26">U32</f>
        <v>46288</v>
      </c>
      <c r="V42" t="str">
        <f t="shared" si="26"/>
        <v>M</v>
      </c>
      <c r="W42">
        <f t="shared" si="26"/>
        <v>81.8</v>
      </c>
      <c r="X42">
        <f t="shared" si="26"/>
        <v>17.7</v>
      </c>
      <c r="Y42">
        <f t="shared" si="26"/>
        <v>342.6</v>
      </c>
      <c r="Z42">
        <f t="shared" si="26"/>
        <v>327.39999999999998</v>
      </c>
      <c r="AA42">
        <f t="shared" si="26"/>
        <v>769.5</v>
      </c>
      <c r="AB42">
        <f t="shared" si="26"/>
        <v>0</v>
      </c>
      <c r="AC42">
        <f t="shared" si="26"/>
        <v>0</v>
      </c>
      <c r="AD42">
        <f t="shared" si="26"/>
        <v>0</v>
      </c>
      <c r="AE42">
        <f t="shared" si="26"/>
        <v>0</v>
      </c>
    </row>
    <row r="43" spans="1:31" ht="12.5">
      <c r="I43">
        <f t="shared" si="19"/>
        <v>0</v>
      </c>
      <c r="J43">
        <f t="shared" si="20"/>
        <v>0</v>
      </c>
      <c r="K43">
        <f t="shared" si="21"/>
        <v>0</v>
      </c>
      <c r="L43">
        <f t="shared" si="22"/>
        <v>0</v>
      </c>
      <c r="M43">
        <f t="shared" si="23"/>
        <v>0</v>
      </c>
      <c r="U43" s="309">
        <f t="shared" ref="U43:AE43" si="27">U33</f>
        <v>46288</v>
      </c>
      <c r="V43" t="str">
        <f t="shared" si="27"/>
        <v>E</v>
      </c>
      <c r="W43">
        <f t="shared" si="27"/>
        <v>63.999999999999993</v>
      </c>
      <c r="X43">
        <f t="shared" si="27"/>
        <v>8924.9</v>
      </c>
      <c r="Y43">
        <f t="shared" si="27"/>
        <v>334.9</v>
      </c>
      <c r="Z43">
        <f t="shared" si="27"/>
        <v>237.1</v>
      </c>
      <c r="AA43">
        <f t="shared" si="27"/>
        <v>9560.9</v>
      </c>
      <c r="AB43">
        <f t="shared" si="27"/>
        <v>20</v>
      </c>
      <c r="AC43">
        <f t="shared" si="27"/>
        <v>10338.299999999999</v>
      </c>
      <c r="AD43">
        <f t="shared" si="27"/>
        <v>439.54</v>
      </c>
      <c r="AE43">
        <f t="shared" si="27"/>
        <v>23.520726213768938</v>
      </c>
    </row>
    <row r="44" spans="1:31" ht="12.5">
      <c r="I44">
        <f t="shared" si="19"/>
        <v>0</v>
      </c>
      <c r="J44">
        <f t="shared" si="20"/>
        <v>0</v>
      </c>
      <c r="K44">
        <f t="shared" si="21"/>
        <v>0</v>
      </c>
      <c r="L44">
        <f t="shared" si="22"/>
        <v>0</v>
      </c>
      <c r="M44">
        <f t="shared" si="23"/>
        <v>0</v>
      </c>
      <c r="U44" s="309">
        <f t="shared" ref="U44:AE44" si="28">U34</f>
        <v>46289</v>
      </c>
      <c r="V44" t="str">
        <f t="shared" si="28"/>
        <v>M</v>
      </c>
      <c r="W44">
        <f t="shared" si="28"/>
        <v>82.1</v>
      </c>
      <c r="X44">
        <f t="shared" si="28"/>
        <v>18.8</v>
      </c>
      <c r="Y44">
        <f t="shared" si="28"/>
        <v>353.4</v>
      </c>
      <c r="Z44">
        <f t="shared" si="28"/>
        <v>343.1</v>
      </c>
      <c r="AA44">
        <f t="shared" si="28"/>
        <v>797.4</v>
      </c>
      <c r="AB44">
        <f t="shared" si="28"/>
        <v>0</v>
      </c>
      <c r="AC44">
        <f t="shared" si="28"/>
        <v>0</v>
      </c>
      <c r="AD44">
        <f t="shared" si="28"/>
        <v>0</v>
      </c>
      <c r="AE44">
        <f t="shared" si="28"/>
        <v>0</v>
      </c>
    </row>
    <row r="45" spans="1:31" ht="12.5">
      <c r="I45">
        <f t="shared" si="19"/>
        <v>0</v>
      </c>
      <c r="J45">
        <f t="shared" si="20"/>
        <v>0</v>
      </c>
      <c r="K45">
        <f t="shared" si="21"/>
        <v>0</v>
      </c>
      <c r="L45">
        <f t="shared" si="22"/>
        <v>0</v>
      </c>
      <c r="M45">
        <f t="shared" si="23"/>
        <v>0</v>
      </c>
      <c r="U45" s="309">
        <f t="shared" ref="U45:AE45" si="29">U35</f>
        <v>46289</v>
      </c>
      <c r="V45" t="str">
        <f t="shared" si="29"/>
        <v>E</v>
      </c>
      <c r="W45">
        <f t="shared" si="29"/>
        <v>69.099999999999994</v>
      </c>
      <c r="X45">
        <f t="shared" si="29"/>
        <v>7924.9</v>
      </c>
      <c r="Y45">
        <f t="shared" si="29"/>
        <v>348.6</v>
      </c>
      <c r="Z45">
        <f t="shared" si="29"/>
        <v>286.80000000000007</v>
      </c>
      <c r="AA45">
        <f t="shared" si="29"/>
        <v>8629.4</v>
      </c>
      <c r="AB45">
        <f t="shared" si="29"/>
        <v>40</v>
      </c>
      <c r="AC45">
        <f t="shared" si="29"/>
        <v>9019.5</v>
      </c>
      <c r="AD45">
        <f t="shared" si="29"/>
        <v>404.25</v>
      </c>
      <c r="AE45">
        <f t="shared" si="29"/>
        <v>22.311688311688311</v>
      </c>
    </row>
    <row r="46" spans="1:31" ht="12.5">
      <c r="I46">
        <f t="shared" si="19"/>
        <v>0</v>
      </c>
      <c r="J46">
        <f t="shared" si="20"/>
        <v>0</v>
      </c>
      <c r="K46">
        <f t="shared" si="21"/>
        <v>0</v>
      </c>
      <c r="L46">
        <f t="shared" si="22"/>
        <v>0</v>
      </c>
      <c r="M46">
        <f t="shared" si="23"/>
        <v>0</v>
      </c>
      <c r="U46" s="309">
        <f t="shared" ref="U46:AE46" si="30">U36</f>
        <v>46290</v>
      </c>
      <c r="V46" t="str">
        <f t="shared" si="30"/>
        <v>M</v>
      </c>
      <c r="W46">
        <f t="shared" si="30"/>
        <v>79.599999999999994</v>
      </c>
      <c r="X46">
        <f t="shared" si="30"/>
        <v>19</v>
      </c>
      <c r="Y46">
        <f t="shared" si="30"/>
        <v>0</v>
      </c>
      <c r="Z46">
        <f t="shared" si="30"/>
        <v>331.49999999999994</v>
      </c>
      <c r="AA46">
        <f t="shared" si="30"/>
        <v>430.09999999999991</v>
      </c>
      <c r="AB46">
        <f t="shared" si="30"/>
        <v>0</v>
      </c>
      <c r="AC46">
        <f t="shared" si="30"/>
        <v>0</v>
      </c>
      <c r="AD46">
        <f t="shared" si="30"/>
        <v>0</v>
      </c>
      <c r="AE46">
        <f t="shared" si="30"/>
        <v>0</v>
      </c>
    </row>
    <row r="47" spans="1:31" ht="12.5">
      <c r="I47">
        <f t="shared" si="19"/>
        <v>0</v>
      </c>
      <c r="J47">
        <f t="shared" si="20"/>
        <v>0</v>
      </c>
      <c r="K47">
        <f t="shared" si="21"/>
        <v>0</v>
      </c>
      <c r="L47">
        <f t="shared" si="22"/>
        <v>0</v>
      </c>
      <c r="M47">
        <f t="shared" si="23"/>
        <v>0</v>
      </c>
    </row>
    <row r="48" spans="1:31" ht="12.5">
      <c r="I48">
        <f t="shared" si="19"/>
        <v>0</v>
      </c>
      <c r="J48">
        <f t="shared" si="20"/>
        <v>0</v>
      </c>
      <c r="K48">
        <f t="shared" si="21"/>
        <v>0</v>
      </c>
      <c r="L48">
        <f t="shared" si="22"/>
        <v>0</v>
      </c>
      <c r="M48">
        <f t="shared" si="23"/>
        <v>0</v>
      </c>
    </row>
    <row r="49" spans="1:18" ht="12.5">
      <c r="I49">
        <f t="shared" si="19"/>
        <v>0</v>
      </c>
      <c r="J49">
        <f t="shared" si="20"/>
        <v>0</v>
      </c>
      <c r="K49">
        <f t="shared" si="21"/>
        <v>0</v>
      </c>
      <c r="L49">
        <f t="shared" si="22"/>
        <v>0</v>
      </c>
      <c r="M49">
        <f t="shared" si="23"/>
        <v>0</v>
      </c>
    </row>
    <row r="50" spans="1:18" ht="12.5">
      <c r="I50">
        <f t="shared" si="19"/>
        <v>0</v>
      </c>
      <c r="J50">
        <f t="shared" si="20"/>
        <v>0</v>
      </c>
      <c r="K50">
        <f t="shared" si="21"/>
        <v>0</v>
      </c>
      <c r="L50">
        <f t="shared" si="22"/>
        <v>0</v>
      </c>
      <c r="M50">
        <f t="shared" si="23"/>
        <v>0</v>
      </c>
    </row>
    <row r="51" spans="1:18" ht="12.5">
      <c r="I51">
        <f t="shared" si="19"/>
        <v>0</v>
      </c>
      <c r="J51">
        <f t="shared" si="20"/>
        <v>0</v>
      </c>
      <c r="K51">
        <f t="shared" si="21"/>
        <v>0</v>
      </c>
      <c r="L51">
        <f t="shared" si="22"/>
        <v>0</v>
      </c>
      <c r="M51">
        <f t="shared" si="23"/>
        <v>0</v>
      </c>
    </row>
    <row r="52" spans="1:18" ht="12.5">
      <c r="I52">
        <f t="shared" si="19"/>
        <v>0</v>
      </c>
      <c r="J52">
        <f t="shared" si="20"/>
        <v>0</v>
      </c>
      <c r="K52">
        <f t="shared" si="21"/>
        <v>0</v>
      </c>
      <c r="L52">
        <f t="shared" si="22"/>
        <v>0</v>
      </c>
      <c r="M52">
        <f t="shared" si="23"/>
        <v>0</v>
      </c>
    </row>
    <row r="53" spans="1:18" ht="12.5">
      <c r="I53">
        <f t="shared" si="19"/>
        <v>0</v>
      </c>
      <c r="J53">
        <f t="shared" si="20"/>
        <v>0</v>
      </c>
      <c r="K53">
        <f t="shared" si="21"/>
        <v>0</v>
      </c>
      <c r="L53">
        <f t="shared" si="22"/>
        <v>0</v>
      </c>
      <c r="M53">
        <f t="shared" si="23"/>
        <v>0</v>
      </c>
    </row>
    <row r="54" spans="1:18" ht="12.5">
      <c r="I54">
        <f t="shared" si="19"/>
        <v>0</v>
      </c>
      <c r="J54">
        <f t="shared" si="20"/>
        <v>0</v>
      </c>
      <c r="K54">
        <f t="shared" si="21"/>
        <v>0</v>
      </c>
      <c r="L54">
        <f t="shared" si="22"/>
        <v>0</v>
      </c>
      <c r="M54">
        <f t="shared" si="23"/>
        <v>0</v>
      </c>
    </row>
    <row r="55" spans="1:18" ht="12.5">
      <c r="I55">
        <f t="shared" si="19"/>
        <v>0</v>
      </c>
      <c r="J55">
        <f t="shared" si="20"/>
        <v>0</v>
      </c>
      <c r="K55">
        <f t="shared" si="21"/>
        <v>0</v>
      </c>
      <c r="L55">
        <f t="shared" si="22"/>
        <v>0</v>
      </c>
      <c r="M55">
        <f t="shared" si="23"/>
        <v>0</v>
      </c>
    </row>
    <row r="56" spans="1:18" ht="13">
      <c r="A56" s="310" t="s">
        <v>1889</v>
      </c>
      <c r="B56" s="311"/>
      <c r="C56" s="312" t="s">
        <v>1890</v>
      </c>
    </row>
    <row r="57" spans="1:18" ht="14">
      <c r="A57" s="313" t="s">
        <v>1891</v>
      </c>
    </row>
    <row r="58" spans="1:18" ht="20.25" customHeight="1" thickBot="1">
      <c r="A58" s="314" t="s">
        <v>185</v>
      </c>
      <c r="B58" s="314" t="s">
        <v>6</v>
      </c>
      <c r="C58" s="314" t="s">
        <v>1892</v>
      </c>
      <c r="D58" s="314" t="s">
        <v>39</v>
      </c>
      <c r="E58" s="314" t="s">
        <v>41</v>
      </c>
      <c r="F58" s="314" t="s">
        <v>43</v>
      </c>
      <c r="G58" s="314" t="s">
        <v>45</v>
      </c>
      <c r="H58" s="314" t="s">
        <v>1893</v>
      </c>
      <c r="I58" s="314" t="s">
        <v>49</v>
      </c>
      <c r="J58" s="314" t="s">
        <v>51</v>
      </c>
      <c r="K58" s="314" t="s">
        <v>1894</v>
      </c>
      <c r="L58" s="314" t="s">
        <v>1895</v>
      </c>
      <c r="M58" s="314" t="s">
        <v>115</v>
      </c>
      <c r="N58" s="314" t="s">
        <v>116</v>
      </c>
      <c r="O58" s="314" t="s">
        <v>61</v>
      </c>
      <c r="P58" s="314" t="s">
        <v>52</v>
      </c>
      <c r="Q58" s="314" t="s">
        <v>1896</v>
      </c>
      <c r="R58" s="314" t="s">
        <v>63</v>
      </c>
    </row>
    <row r="59" spans="1:18" ht="12.5">
      <c r="A59" s="315" t="s">
        <v>37</v>
      </c>
      <c r="B59" s="315" t="str">
        <f>IFERROR(_xlfn.XLOOKUP(A59,Summary!$E$3:$E$19,Summary!$B$3:$B$19,""),"")</f>
        <v>Ghee</v>
      </c>
      <c r="C59" s="316">
        <f>IFERROR(_xlfn.XLOOKUP(A59,Domestic!$D$3:$D$20,Domestic!$AW$3:$AW$20,0),0)</f>
        <v>9092.2500000000036</v>
      </c>
      <c r="D59" s="316">
        <f>IFERROR(_xlfn.XLOOKUP(A59,'INT-_Manjiri'!$D$3:$D$22,'INT-_Manjiri'!$AV$3:$AV$22,0),0)</f>
        <v>0</v>
      </c>
      <c r="E59" s="316">
        <f>IFERROR(_xlfn.XLOOKUP(A59,'USA-_Sea_shipment'!$D$3:$D$21,'USA-_Sea_shipment'!#REF!,0),0)</f>
        <v>0</v>
      </c>
      <c r="F59" s="316">
        <f>IFERROR(_xlfn.XLOOKUP(A59,Amazon_USA_Sea!$D$3:$D$19,Amazon_USA_Sea!$AV$3:$AV$19,0),0)</f>
        <v>6</v>
      </c>
      <c r="G59" s="316">
        <f>IFERROR(_xlfn.XLOOKUP(A59,USA_Air_Shipment!$D$3:$D$23,USA_Air_Shipment!$AU$3:$AU$23,0),0)</f>
        <v>0</v>
      </c>
      <c r="H59" s="316">
        <f>IFERROR(_xlfn.XLOOKUP(A59,Amazon_USA_Air_Shipment!$D$3:$D$23,Amazon_USA_Air_Shipment!$AU$3:$AU$23,0),0)</f>
        <v>0</v>
      </c>
      <c r="I59" s="316">
        <f>IFERROR(_xlfn.XLOOKUP(A59,UK!$D$3:$D$23,UK!$AY$3:$AY$23,0),0)</f>
        <v>0</v>
      </c>
      <c r="J59" s="316">
        <f>IFERROR(_xlfn.XLOOKUP(A59,MENA!$D$3:$D$23,MENA!$AU$3:$AU$23,0),0)</f>
        <v>-5429</v>
      </c>
      <c r="K59" s="316">
        <f t="shared" ref="K59:K75" si="31">SUM(C59:J59)</f>
        <v>3669.2500000000036</v>
      </c>
      <c r="L59" s="316">
        <f>IFERROR(_xlfn.XLOOKUP(A59,Summary!$E$3:$E$19,Summary!$BE$3:$BE$19,0),0)</f>
        <v>7240.625</v>
      </c>
      <c r="M59" s="317">
        <f>IFERROR(_xlfn.XLOOKUP(A59,Summary!$E$3:$E$19,Summary!$BF$3:$BF$19,0),0)</f>
        <v>0.61174451884471792</v>
      </c>
      <c r="N59" s="316">
        <f>IFERROR(_xlfn.XLOOKUP(A59,Summary!$E$3:$E$19,Summary!$BH$3:$BH$19,0),0)</f>
        <v>1283</v>
      </c>
      <c r="O59" s="318">
        <f>IFERROR(_xlfn.XLOOKUP(A59,Summary!$E$3:$E$19,Summary!$BI$3:$BI$19,0),0)</f>
        <v>1.0319519012286098</v>
      </c>
      <c r="P59" s="315" t="str">
        <f>IFERROR(_xlfn.XLOOKUP(A59,Summary!$E$3:$E$19,Summary!$BK$3:$BK$19,""),"")</f>
        <v>P1 – Critical</v>
      </c>
      <c r="Q59" s="316">
        <f>IFERROR(_xlfn.XLOOKUP(A59,Summary!$E$3:$E$19,Summary!$BB$3:$BB$19,0),0)</f>
        <v>22817</v>
      </c>
      <c r="R59" s="315" t="str">
        <f>IFERROR(_xlfn.XLOOKUP(A59,Summary!$E$3:$E$19,Summary!$BG$3:$BG$19,""),"")</f>
        <v>WIP</v>
      </c>
    </row>
    <row r="60" spans="1:18" ht="12.5">
      <c r="A60" s="319" t="s">
        <v>44</v>
      </c>
      <c r="B60" s="319" t="str">
        <f>IFERROR(_xlfn.XLOOKUP(A60,Summary!$E$3:$E$19,Summary!$B$3:$B$19,""),"")</f>
        <v>Ghee</v>
      </c>
      <c r="C60" s="320">
        <f>IFERROR(_xlfn.XLOOKUP(A60,Domestic!$D$3:$D$20,Domestic!$AW$3:$AW$20,0),0)</f>
        <v>6541.7000000000007</v>
      </c>
      <c r="D60" s="320">
        <f>IFERROR(_xlfn.XLOOKUP(A60,'INT-_Manjiri'!$D$3:$D$22,'INT-_Manjiri'!$AV$3:$AV$22,0),0)</f>
        <v>0</v>
      </c>
      <c r="E60" s="320">
        <f>IFERROR(_xlfn.XLOOKUP(A60,'USA-_Sea_shipment'!$D$3:$D$21,'USA-_Sea_shipment'!#REF!,0),0)</f>
        <v>0</v>
      </c>
      <c r="F60" s="320">
        <f>IFERROR(_xlfn.XLOOKUP(A60,Amazon_USA_Sea!$D$3:$D$19,Amazon_USA_Sea!$AV$3:$AV$19,0),0)</f>
        <v>0</v>
      </c>
      <c r="G60" s="320">
        <f>IFERROR(_xlfn.XLOOKUP(A60,USA_Air_Shipment!$D$3:$D$23,USA_Air_Shipment!$AU$3:$AU$23,0),0)</f>
        <v>0</v>
      </c>
      <c r="H60" s="320">
        <f>IFERROR(_xlfn.XLOOKUP(A60,Amazon_USA_Air_Shipment!$D$3:$D$23,Amazon_USA_Air_Shipment!$AU$3:$AU$23,0),0)</f>
        <v>0</v>
      </c>
      <c r="I60" s="320">
        <f>IFERROR(_xlfn.XLOOKUP(A60,UK!$D$3:$D$23,UK!$AY$3:$AY$23,0),0)</f>
        <v>0</v>
      </c>
      <c r="J60" s="320">
        <f>IFERROR(_xlfn.XLOOKUP(A60,MENA!$D$3:$D$23,MENA!$AU$3:$AU$23,0),0)</f>
        <v>0</v>
      </c>
      <c r="K60" s="320">
        <f t="shared" si="31"/>
        <v>6541.7000000000007</v>
      </c>
      <c r="L60" s="320">
        <f>IFERROR(_xlfn.XLOOKUP(A60,Summary!$E$3:$E$19,Summary!$BE$3:$BE$19,0),0)</f>
        <v>1635.4250000000002</v>
      </c>
      <c r="M60" s="321">
        <f>IFERROR(_xlfn.XLOOKUP(A60,Summary!$E$3:$E$19,Summary!$BF$3:$BF$19,0),0)</f>
        <v>0.67674077295211177</v>
      </c>
      <c r="N60" s="320">
        <f>IFERROR(_xlfn.XLOOKUP(A60,Summary!$E$3:$E$19,Summary!$BH$3:$BH$19,0),0)</f>
        <v>2754</v>
      </c>
      <c r="O60" s="322">
        <f>IFERROR(_xlfn.XLOOKUP(A60,Summary!$E$3:$E$19,Summary!$BI$3:$BI$19,0),0)</f>
        <v>4.0826814648633416</v>
      </c>
      <c r="P60" s="319" t="str">
        <f>IFERROR(_xlfn.XLOOKUP(A60,Summary!$E$3:$E$19,Summary!$BK$3:$BK$19,""),"")</f>
        <v>P1 – Critical</v>
      </c>
      <c r="Q60" s="320">
        <f>IFERROR(_xlfn.XLOOKUP(A60,Summary!$E$3:$E$19,Summary!$BB$3:$BB$19,0),0)</f>
        <v>13695</v>
      </c>
      <c r="R60" s="319" t="str">
        <f>IFERROR(_xlfn.XLOOKUP(A60,Summary!$E$3:$E$19,Summary!$BG$3:$BG$19,""),"")</f>
        <v/>
      </c>
    </row>
    <row r="61" spans="1:18" ht="12.5">
      <c r="A61" s="319" t="s">
        <v>46</v>
      </c>
      <c r="B61" s="319" t="str">
        <f>IFERROR(_xlfn.XLOOKUP(A61,Summary!$E$3:$E$19,Summary!$B$3:$B$19,""),"")</f>
        <v>Ghee</v>
      </c>
      <c r="C61" s="320">
        <f>IFERROR(_xlfn.XLOOKUP(A61,Domestic!$D$3:$D$20,Domestic!$AW$3:$AW$20,0),0)</f>
        <v>-947.29999999999927</v>
      </c>
      <c r="D61" s="320">
        <f>IFERROR(_xlfn.XLOOKUP(A61,'INT-_Manjiri'!$D$3:$D$22,'INT-_Manjiri'!$AV$3:$AV$22,0),0)</f>
        <v>0</v>
      </c>
      <c r="E61" s="320">
        <f>IFERROR(_xlfn.XLOOKUP(A61,'USA-_Sea_shipment'!$D$3:$D$21,'USA-_Sea_shipment'!#REF!,0),0)</f>
        <v>0</v>
      </c>
      <c r="F61" s="320">
        <f>IFERROR(_xlfn.XLOOKUP(A61,Amazon_USA_Sea!$D$3:$D$19,Amazon_USA_Sea!$AV$3:$AV$19,0),0)</f>
        <v>0</v>
      </c>
      <c r="G61" s="320">
        <f>IFERROR(_xlfn.XLOOKUP(A61,USA_Air_Shipment!$D$3:$D$23,USA_Air_Shipment!$AU$3:$AU$23,0),0)</f>
        <v>0</v>
      </c>
      <c r="H61" s="320">
        <f>IFERROR(_xlfn.XLOOKUP(A61,Amazon_USA_Air_Shipment!$D$3:$D$23,Amazon_USA_Air_Shipment!$AU$3:$AU$23,0),0)</f>
        <v>0</v>
      </c>
      <c r="I61" s="320">
        <f>IFERROR(_xlfn.XLOOKUP(A61,UK!$D$3:$D$23,UK!$AY$3:$AY$23,0),0)</f>
        <v>0</v>
      </c>
      <c r="J61" s="320">
        <f>IFERROR(_xlfn.XLOOKUP(A61,MENA!$D$3:$D$23,MENA!$AU$3:$AU$23,0),0)</f>
        <v>-111</v>
      </c>
      <c r="K61" s="320">
        <f t="shared" si="31"/>
        <v>-1058.2999999999993</v>
      </c>
      <c r="L61" s="320">
        <f>IFERROR(_xlfn.XLOOKUP(A61,Summary!$E$3:$E$19,Summary!$BE$3:$BE$19,0),0)</f>
        <v>-83.629999999999939</v>
      </c>
      <c r="M61" s="321">
        <f>IFERROR(_xlfn.XLOOKUP(A61,Summary!$E$3:$E$19,Summary!$BF$3:$BF$19,0),0)</f>
        <v>1.05940601092508</v>
      </c>
      <c r="N61" s="320">
        <f>IFERROR(_xlfn.XLOOKUP(A61,Summary!$E$3:$E$19,Summary!$BH$3:$BH$19,0),0)</f>
        <v>4201</v>
      </c>
      <c r="O61" s="322">
        <f>IFERROR(_xlfn.XLOOKUP(A61,Summary!$E$3:$E$19,Summary!$BI$3:$BI$19,0),0)</f>
        <v>8.9524567223339027</v>
      </c>
      <c r="P61" s="319" t="str">
        <f>IFERROR(_xlfn.XLOOKUP(A61,Summary!$E$3:$E$19,Summary!$BK$3:$BK$19,""),"")</f>
        <v>P2 – High</v>
      </c>
      <c r="Q61" s="320">
        <f>IFERROR(_xlfn.XLOOKUP(A61,Summary!$E$3:$E$19,Summary!$BB$3:$BB$19,0),0)</f>
        <v>14914</v>
      </c>
      <c r="R61" s="319" t="str">
        <f>IFERROR(_xlfn.XLOOKUP(A61,Summary!$E$3:$E$19,Summary!$BG$3:$BG$19,""),"")</f>
        <v>PM Available | Done</v>
      </c>
    </row>
    <row r="62" spans="1:18" ht="12.5">
      <c r="A62" s="319" t="s">
        <v>48</v>
      </c>
      <c r="B62" s="319" t="str">
        <f>IFERROR(_xlfn.XLOOKUP(A62,Summary!$E$3:$E$19,Summary!$B$3:$B$19,""),"")</f>
        <v>Ghee</v>
      </c>
      <c r="C62" s="320">
        <f>IFERROR(_xlfn.XLOOKUP(A62,Domestic!$D$3:$D$20,Domestic!$AW$3:$AW$20,0),0)</f>
        <v>2518.6000000000004</v>
      </c>
      <c r="D62" s="320">
        <f>IFERROR(_xlfn.XLOOKUP(A62,'INT-_Manjiri'!$D$3:$D$22,'INT-_Manjiri'!$AV$3:$AV$22,0),0)</f>
        <v>0</v>
      </c>
      <c r="E62" s="320">
        <f>IFERROR(_xlfn.XLOOKUP(A62,'USA-_Sea_shipment'!$D$3:$D$21,'USA-_Sea_shipment'!#REF!,0),0)</f>
        <v>0</v>
      </c>
      <c r="F62" s="320">
        <f>IFERROR(_xlfn.XLOOKUP(A62,Amazon_USA_Sea!$D$3:$D$19,Amazon_USA_Sea!$AV$3:$AV$19,0),0)</f>
        <v>0</v>
      </c>
      <c r="G62" s="320">
        <f>IFERROR(_xlfn.XLOOKUP(A62,USA_Air_Shipment!$D$3:$D$23,USA_Air_Shipment!$AU$3:$AU$23,0),0)</f>
        <v>0</v>
      </c>
      <c r="H62" s="320">
        <f>IFERROR(_xlfn.XLOOKUP(A62,Amazon_USA_Air_Shipment!$D$3:$D$23,Amazon_USA_Air_Shipment!$AU$3:$AU$23,0),0)</f>
        <v>0</v>
      </c>
      <c r="I62" s="320">
        <f>IFERROR(_xlfn.XLOOKUP(A62,UK!$D$3:$D$23,UK!$AY$3:$AY$23,0),0)</f>
        <v>0</v>
      </c>
      <c r="J62" s="320">
        <f>IFERROR(_xlfn.XLOOKUP(A62,MENA!$D$3:$D$23,MENA!$AU$3:$AU$23,0),0)</f>
        <v>-815</v>
      </c>
      <c r="K62" s="320">
        <f t="shared" si="31"/>
        <v>1703.6000000000004</v>
      </c>
      <c r="L62" s="320">
        <f>IFERROR(_xlfn.XLOOKUP(A62,Summary!$E$3:$E$19,Summary!$BE$3:$BE$19,0),0)</f>
        <v>3333.6000000000004</v>
      </c>
      <c r="M62" s="321">
        <f>IFERROR(_xlfn.XLOOKUP(A62,Summary!$E$3:$E$19,Summary!$BF$3:$BF$19,0),0)</f>
        <v>0.69805988804956254</v>
      </c>
      <c r="N62" s="320">
        <f>IFERROR(_xlfn.XLOOKUP(A62,Summary!$E$3:$E$19,Summary!$BH$3:$BH$19,0),0)</f>
        <v>576</v>
      </c>
      <c r="O62" s="322">
        <f>IFERROR(_xlfn.XLOOKUP(A62,Summary!$E$3:$E$19,Summary!$BI$3:$BI$19,0),0)</f>
        <v>1.5651323297646866</v>
      </c>
      <c r="P62" s="319" t="str">
        <f>IFERROR(_xlfn.XLOOKUP(A62,Summary!$E$3:$E$19,Summary!$BK$3:$BK$19,""),"")</f>
        <v>P1 – Critical</v>
      </c>
      <c r="Q62" s="320">
        <f>IFERROR(_xlfn.XLOOKUP(A62,Summary!$E$3:$E$19,Summary!$BB$3:$BB$19,0),0)</f>
        <v>7707</v>
      </c>
      <c r="R62" s="319" t="str">
        <f>IFERROR(_xlfn.XLOOKUP(A62,Summary!$E$3:$E$19,Summary!$BG$3:$BG$19,""),"")</f>
        <v/>
      </c>
    </row>
    <row r="63" spans="1:18" ht="12.5">
      <c r="A63" s="319" t="s">
        <v>29</v>
      </c>
      <c r="B63" s="319" t="str">
        <f>IFERROR(_xlfn.XLOOKUP(A63,Summary!$E$3:$E$19,Summary!$B$3:$B$19,""),"")</f>
        <v>Ghee</v>
      </c>
      <c r="C63" s="320">
        <f>IFERROR(_xlfn.XLOOKUP(A63,Domestic!$D$3:$D$20,Domestic!$AW$3:$AW$20,0),0)</f>
        <v>0</v>
      </c>
      <c r="D63" s="320">
        <f>IFERROR(_xlfn.XLOOKUP(A63,'INT-_Manjiri'!$D$3:$D$22,'INT-_Manjiri'!$AV$3:$AV$22,0),0)</f>
        <v>0</v>
      </c>
      <c r="E63" s="320">
        <f>IFERROR(_xlfn.XLOOKUP(A63,'USA-_Sea_shipment'!$D$3:$D$21,'USA-_Sea_shipment'!#REF!,0),0)</f>
        <v>0</v>
      </c>
      <c r="F63" s="320">
        <f>IFERROR(_xlfn.XLOOKUP(A63,Amazon_USA_Sea!$D$3:$D$19,Amazon_USA_Sea!$AV$3:$AV$19,0),0)</f>
        <v>0</v>
      </c>
      <c r="G63" s="320">
        <f>IFERROR(_xlfn.XLOOKUP(A63,USA_Air_Shipment!$D$3:$D$23,USA_Air_Shipment!$AU$3:$AU$23,0),0)</f>
        <v>0</v>
      </c>
      <c r="H63" s="320">
        <f>IFERROR(_xlfn.XLOOKUP(A63,Amazon_USA_Air_Shipment!$D$3:$D$23,Amazon_USA_Air_Shipment!$AU$3:$AU$23,0),0)</f>
        <v>0</v>
      </c>
      <c r="I63" s="320">
        <f>IFERROR(_xlfn.XLOOKUP(A63,UK!$D$3:$D$23,UK!$AY$3:$AY$23,0),0)</f>
        <v>0</v>
      </c>
      <c r="J63" s="320">
        <f>IFERROR(_xlfn.XLOOKUP(A63,MENA!$D$3:$D$23,MENA!$AU$3:$AU$23,0),0)</f>
        <v>0</v>
      </c>
      <c r="K63" s="320">
        <f t="shared" si="31"/>
        <v>0</v>
      </c>
      <c r="L63" s="320">
        <f>IFERROR(_xlfn.XLOOKUP(A63,Summary!$E$3:$E$19,Summary!$BE$3:$BE$19,0),0)</f>
        <v>3718</v>
      </c>
      <c r="M63" s="321">
        <f>IFERROR(_xlfn.XLOOKUP(A63,Summary!$E$3:$E$19,Summary!$BF$3:$BF$19,0),0)</f>
        <v>0.38535295090097538</v>
      </c>
      <c r="N63" s="320">
        <f>IFERROR(_xlfn.XLOOKUP(A63,Summary!$E$3:$E$19,Summary!$BH$3:$BH$19,0),0)</f>
        <v>941</v>
      </c>
      <c r="O63" s="322">
        <f>IFERROR(_xlfn.XLOOKUP(A63,Summary!$E$3:$E$19,Summary!$BI$3:$BI$19,0),0)</f>
        <v>4.6668870887750042</v>
      </c>
      <c r="P63" s="319" t="str">
        <f>IFERROR(_xlfn.XLOOKUP(A63,Summary!$E$3:$E$19,Summary!$BK$3:$BK$19,""),"")</f>
        <v>P1 – Critical</v>
      </c>
      <c r="Q63" s="320">
        <f>IFERROR(_xlfn.XLOOKUP(A63,Summary!$E$3:$E$19,Summary!$BB$3:$BB$19,0),0)</f>
        <v>2331</v>
      </c>
      <c r="R63" s="319" t="str">
        <f>IFERROR(_xlfn.XLOOKUP(A63,Summary!$E$3:$E$19,Summary!$BG$3:$BG$19,""),"")</f>
        <v/>
      </c>
    </row>
    <row r="64" spans="1:18" ht="12.5">
      <c r="A64" s="319" t="s">
        <v>23</v>
      </c>
      <c r="B64" s="319" t="str">
        <f>IFERROR(_xlfn.XLOOKUP(A64,Summary!$E$3:$E$19,Summary!$B$3:$B$19,""),"")</f>
        <v>Ghee</v>
      </c>
      <c r="C64" s="320">
        <f>IFERROR(_xlfn.XLOOKUP(A64,Domestic!$D$3:$D$20,Domestic!$AW$3:$AW$20,0),0)</f>
        <v>18590</v>
      </c>
      <c r="D64" s="320">
        <f>IFERROR(_xlfn.XLOOKUP(A64,'INT-_Manjiri'!$D$3:$D$22,'INT-_Manjiri'!$AV$3:$AV$22,0),0)</f>
        <v>0</v>
      </c>
      <c r="E64" s="320">
        <f>IFERROR(_xlfn.XLOOKUP(A64,'USA-_Sea_shipment'!$D$3:$D$21,'USA-_Sea_shipment'!#REF!,0),0)</f>
        <v>0</v>
      </c>
      <c r="F64" s="320">
        <f>IFERROR(_xlfn.XLOOKUP(A64,Amazon_USA_Sea!$D$3:$D$19,Amazon_USA_Sea!$AV$3:$AV$19,0),0)</f>
        <v>0</v>
      </c>
      <c r="G64" s="320">
        <f>IFERROR(_xlfn.XLOOKUP(A64,USA_Air_Shipment!$D$3:$D$23,USA_Air_Shipment!$AU$3:$AU$23,0),0)</f>
        <v>0</v>
      </c>
      <c r="H64" s="320">
        <f>IFERROR(_xlfn.XLOOKUP(A64,Amazon_USA_Air_Shipment!$D$3:$D$23,Amazon_USA_Air_Shipment!$AU$3:$AU$23,0),0)</f>
        <v>0</v>
      </c>
      <c r="I64" s="320">
        <f>IFERROR(_xlfn.XLOOKUP(A64,UK!$D$3:$D$23,UK!$AY$3:$AY$23,0),0)</f>
        <v>0</v>
      </c>
      <c r="J64" s="320">
        <f>IFERROR(_xlfn.XLOOKUP(A64,MENA!$D$3:$D$23,MENA!$AU$3:$AU$23,0),0)</f>
        <v>0</v>
      </c>
      <c r="K64" s="320">
        <f t="shared" si="31"/>
        <v>18590</v>
      </c>
      <c r="L64" s="320">
        <f>IFERROR(_xlfn.XLOOKUP(A64,Summary!$E$3:$E$19,Summary!$BE$3:$BE$19,0),0)</f>
        <v>9293</v>
      </c>
      <c r="M64" s="321">
        <f>IFERROR(_xlfn.XLOOKUP(A64,Summary!$E$3:$E$19,Summary!$BF$3:$BF$19,0),0)</f>
        <v>0.18771032734583279</v>
      </c>
      <c r="N64" s="320">
        <f>IFERROR(_xlfn.XLOOKUP(A64,Summary!$E$3:$E$19,Summary!$BH$3:$BH$19,0),0)</f>
        <v>974</v>
      </c>
      <c r="O64" s="322">
        <f>IFERROR(_xlfn.XLOOKUP(A64,Summary!$E$3:$E$19,Summary!$BI$3:$BI$19,0),0)</f>
        <v>1.2770420873213582</v>
      </c>
      <c r="P64" s="319" t="str">
        <f>IFERROR(_xlfn.XLOOKUP(A64,Summary!$E$3:$E$19,Summary!$BK$3:$BK$19,""),"")</f>
        <v>P1 – Critical</v>
      </c>
      <c r="Q64" s="320">
        <f>IFERROR(_xlfn.XLOOKUP(A64,Summary!$E$3:$E$19,Summary!$BB$3:$BB$19,0),0)</f>
        <v>4295</v>
      </c>
      <c r="R64" s="319" t="str">
        <f>IFERROR(_xlfn.XLOOKUP(A64,Summary!$E$3:$E$19,Summary!$BG$3:$BG$19,""),"")</f>
        <v>WIP</v>
      </c>
    </row>
    <row r="65" spans="1:18" ht="12.5">
      <c r="A65" s="319" t="s">
        <v>24</v>
      </c>
      <c r="B65" s="319" t="str">
        <f>IFERROR(_xlfn.XLOOKUP(A65,Summary!$E$3:$E$19,Summary!$B$3:$B$19,""),"")</f>
        <v>Ghee</v>
      </c>
      <c r="C65" s="320">
        <f>IFERROR(_xlfn.XLOOKUP(A65,Domestic!$D$3:$D$20,Domestic!$AW$3:$AW$20,0),0)</f>
        <v>0</v>
      </c>
      <c r="D65" s="320">
        <f>IFERROR(_xlfn.XLOOKUP(A65,'INT-_Manjiri'!$D$3:$D$22,'INT-_Manjiri'!$AV$3:$AV$22,0),0)</f>
        <v>0</v>
      </c>
      <c r="E65" s="320">
        <f>IFERROR(_xlfn.XLOOKUP(A65,'USA-_Sea_shipment'!$D$3:$D$21,'USA-_Sea_shipment'!#REF!,0),0)</f>
        <v>0</v>
      </c>
      <c r="F65" s="320">
        <f>IFERROR(_xlfn.XLOOKUP(A65,Amazon_USA_Sea!$D$3:$D$19,Amazon_USA_Sea!$AV$3:$AV$19,0),0)</f>
        <v>0</v>
      </c>
      <c r="G65" s="320">
        <f>IFERROR(_xlfn.XLOOKUP(A65,USA_Air_Shipment!$D$3:$D$23,USA_Air_Shipment!$AU$3:$AU$23,0),0)</f>
        <v>0</v>
      </c>
      <c r="H65" s="320">
        <f>IFERROR(_xlfn.XLOOKUP(A65,Amazon_USA_Air_Shipment!$D$3:$D$23,Amazon_USA_Air_Shipment!$AU$3:$AU$23,0),0)</f>
        <v>0</v>
      </c>
      <c r="I65" s="320">
        <f>IFERROR(_xlfn.XLOOKUP(A65,UK!$D$3:$D$23,UK!$AY$3:$AY$23,0),0)</f>
        <v>0</v>
      </c>
      <c r="J65" s="320">
        <f>IFERROR(_xlfn.XLOOKUP(A65,MENA!$D$3:$D$23,MENA!$AU$3:$AU$23,0),0)</f>
        <v>0</v>
      </c>
      <c r="K65" s="320">
        <f t="shared" si="31"/>
        <v>0</v>
      </c>
      <c r="L65" s="320">
        <f>IFERROR(_xlfn.XLOOKUP(A65,Summary!$E$3:$E$19,Summary!$BE$3:$BE$19,0),0)</f>
        <v>3543.8500000000004</v>
      </c>
      <c r="M65" s="321">
        <f>IFERROR(_xlfn.XLOOKUP(A65,Summary!$E$3:$E$19,Summary!$BF$3:$BF$19,0),0)</f>
        <v>0.32296273653844315</v>
      </c>
      <c r="N65" s="320">
        <f>IFERROR(_xlfn.XLOOKUP(A65,Summary!$E$3:$E$19,Summary!$BH$3:$BH$19,0),0)</f>
        <v>874</v>
      </c>
      <c r="O65" s="322">
        <f>IFERROR(_xlfn.XLOOKUP(A65,Summary!$E$3:$E$19,Summary!$BI$3:$BI$19,0),0)</f>
        <v>2.5046089772369058</v>
      </c>
      <c r="P65" s="319" t="str">
        <f>IFERROR(_xlfn.XLOOKUP(A65,Summary!$E$3:$E$19,Summary!$BK$3:$BK$19,""),"")</f>
        <v>P1 – Critical</v>
      </c>
      <c r="Q65" s="320">
        <f>IFERROR(_xlfn.XLOOKUP(A65,Summary!$E$3:$E$19,Summary!$BB$3:$BB$19,0),0)</f>
        <v>3381</v>
      </c>
      <c r="R65" s="319" t="str">
        <f>IFERROR(_xlfn.XLOOKUP(A65,Summary!$E$3:$E$19,Summary!$BG$3:$BG$19,""),"")</f>
        <v/>
      </c>
    </row>
    <row r="66" spans="1:18" ht="12.5">
      <c r="A66" s="319" t="s">
        <v>26</v>
      </c>
      <c r="B66" s="319" t="str">
        <f>IFERROR(_xlfn.XLOOKUP(A66,Summary!$E$3:$E$19,Summary!$B$3:$B$19,""),"")</f>
        <v>Ghee</v>
      </c>
      <c r="C66" s="320">
        <f>IFERROR(_xlfn.XLOOKUP(A66,Domestic!$D$3:$D$20,Domestic!$AW$3:$AW$20,0),0)</f>
        <v>1263.3000000000002</v>
      </c>
      <c r="D66" s="320">
        <f>IFERROR(_xlfn.XLOOKUP(A66,'INT-_Manjiri'!$D$3:$D$22,'INT-_Manjiri'!$AV$3:$AV$22,0),0)</f>
        <v>0</v>
      </c>
      <c r="E66" s="320">
        <f>IFERROR(_xlfn.XLOOKUP(A66,'USA-_Sea_shipment'!$D$3:$D$21,'USA-_Sea_shipment'!#REF!,0),0)</f>
        <v>0</v>
      </c>
      <c r="F66" s="320">
        <f>IFERROR(_xlfn.XLOOKUP(A66,Amazon_USA_Sea!$D$3:$D$19,Amazon_USA_Sea!$AV$3:$AV$19,0),0)</f>
        <v>0</v>
      </c>
      <c r="G66" s="320">
        <f>IFERROR(_xlfn.XLOOKUP(A66,USA_Air_Shipment!$D$3:$D$23,USA_Air_Shipment!$AU$3:$AU$23,0),0)</f>
        <v>0</v>
      </c>
      <c r="H66" s="320">
        <f>IFERROR(_xlfn.XLOOKUP(A66,Amazon_USA_Air_Shipment!$D$3:$D$23,Amazon_USA_Air_Shipment!$AU$3:$AU$23,0),0)</f>
        <v>33</v>
      </c>
      <c r="I66" s="320">
        <f>IFERROR(_xlfn.XLOOKUP(A66,UK!$D$3:$D$23,UK!$AY$3:$AY$23,0),0)</f>
        <v>0</v>
      </c>
      <c r="J66" s="320">
        <f>IFERROR(_xlfn.XLOOKUP(A66,MENA!$D$3:$D$23,MENA!$AU$3:$AU$23,0),0)</f>
        <v>-495</v>
      </c>
      <c r="K66" s="320">
        <f t="shared" si="31"/>
        <v>801.30000000000018</v>
      </c>
      <c r="L66" s="320">
        <f>IFERROR(_xlfn.XLOOKUP(A66,Summary!$E$3:$E$19,Summary!$BE$3:$BE$19,0),0)</f>
        <v>850.65000000000009</v>
      </c>
      <c r="M66" s="321">
        <f>IFERROR(_xlfn.XLOOKUP(A66,Summary!$E$3:$E$19,Summary!$BF$3:$BF$19,0),0)</f>
        <v>0.48496957587866674</v>
      </c>
      <c r="N66" s="320">
        <f>IFERROR(_xlfn.XLOOKUP(A66,Summary!$E$3:$E$19,Summary!$BH$3:$BH$19,0),0)</f>
        <v>889</v>
      </c>
      <c r="O66" s="322">
        <f>IFERROR(_xlfn.XLOOKUP(A66,Summary!$E$3:$E$19,Summary!$BI$3:$BI$19,0),0)</f>
        <v>8.0737444373808014</v>
      </c>
      <c r="P66" s="319" t="str">
        <f>IFERROR(_xlfn.XLOOKUP(A66,Summary!$E$3:$E$19,Summary!$BK$3:$BK$19,""),"")</f>
        <v>P2 – High</v>
      </c>
      <c r="Q66" s="320">
        <f>IFERROR(_xlfn.XLOOKUP(A66,Summary!$E$3:$E$19,Summary!$BB$3:$BB$19,0),0)</f>
        <v>1602</v>
      </c>
      <c r="R66" s="319" t="str">
        <f>IFERROR(_xlfn.XLOOKUP(A66,Summary!$E$3:$E$19,Summary!$BG$3:$BG$19,""),"")</f>
        <v>WIP</v>
      </c>
    </row>
    <row r="67" spans="1:18" ht="12.5">
      <c r="A67" s="319" t="s">
        <v>40</v>
      </c>
      <c r="B67" s="319" t="str">
        <f>IFERROR(_xlfn.XLOOKUP(A67,Summary!$E$3:$E$19,Summary!$B$3:$B$19,""),"")</f>
        <v>Ghee</v>
      </c>
      <c r="C67" s="320">
        <f>IFERROR(_xlfn.XLOOKUP(A67,Domestic!$D$3:$D$20,Domestic!$AW$3:$AW$20,0),0)</f>
        <v>0</v>
      </c>
      <c r="D67" s="320">
        <f>IFERROR(_xlfn.XLOOKUP(A67,'INT-_Manjiri'!$D$3:$D$22,'INT-_Manjiri'!$AV$3:$AV$22,0),0)</f>
        <v>0</v>
      </c>
      <c r="E67" s="320">
        <f>IFERROR(_xlfn.XLOOKUP(A67,'USA-_Sea_shipment'!$D$3:$D$21,'USA-_Sea_shipment'!#REF!,0),0)</f>
        <v>0</v>
      </c>
      <c r="F67" s="320">
        <f>IFERROR(_xlfn.XLOOKUP(A67,Amazon_USA_Sea!$D$3:$D$19,Amazon_USA_Sea!$AV$3:$AV$19,0),0)</f>
        <v>0</v>
      </c>
      <c r="G67" s="320">
        <f>IFERROR(_xlfn.XLOOKUP(A67,USA_Air_Shipment!$D$3:$D$23,USA_Air_Shipment!$AU$3:$AU$23,0),0)</f>
        <v>0</v>
      </c>
      <c r="H67" s="320">
        <f>IFERROR(_xlfn.XLOOKUP(A67,Amazon_USA_Air_Shipment!$D$3:$D$23,Amazon_USA_Air_Shipment!$AU$3:$AU$23,0),0)</f>
        <v>0</v>
      </c>
      <c r="I67" s="320">
        <f>IFERROR(_xlfn.XLOOKUP(A67,UK!$D$3:$D$23,UK!$AY$3:$AY$23,0),0)</f>
        <v>0</v>
      </c>
      <c r="J67" s="320">
        <f>IFERROR(_xlfn.XLOOKUP(A67,MENA!$D$3:$D$23,MENA!$AU$3:$AU$23,0),0)</f>
        <v>0</v>
      </c>
      <c r="K67" s="320">
        <f t="shared" si="31"/>
        <v>0</v>
      </c>
      <c r="L67" s="320">
        <f>IFERROR(_xlfn.XLOOKUP(A67,Summary!$E$3:$E$19,Summary!$BE$3:$BE$19,0),0)</f>
        <v>2206.25</v>
      </c>
      <c r="M67" s="321">
        <f>IFERROR(_xlfn.XLOOKUP(A67,Summary!$E$3:$E$19,Summary!$BF$3:$BF$19,0),0)</f>
        <v>0.57377445061579324</v>
      </c>
      <c r="N67" s="320">
        <f>IFERROR(_xlfn.XLOOKUP(A67,Summary!$E$3:$E$19,Summary!$BH$3:$BH$19,0),0)</f>
        <v>8</v>
      </c>
      <c r="O67" s="322">
        <f>IFERROR(_xlfn.XLOOKUP(A67,Summary!$E$3:$E$19,Summary!$BI$3:$BI$19,0),0)</f>
        <v>0.23182806085486599</v>
      </c>
      <c r="P67" s="319" t="str">
        <f>IFERROR(_xlfn.XLOOKUP(A67,Summary!$E$3:$E$19,Summary!$BK$3:$BK$19,""),"")</f>
        <v>P1 – Critical</v>
      </c>
      <c r="Q67" s="320">
        <f>IFERROR(_xlfn.XLOOKUP(A67,Summary!$E$3:$E$19,Summary!$BB$3:$BB$19,0),0)</f>
        <v>594</v>
      </c>
      <c r="R67" s="319" t="str">
        <f>IFERROR(_xlfn.XLOOKUP(A67,Summary!$E$3:$E$19,Summary!$BG$3:$BG$19,""),"")</f>
        <v>WIP</v>
      </c>
    </row>
    <row r="68" spans="1:18" ht="12.5">
      <c r="A68" s="319" t="s">
        <v>25</v>
      </c>
      <c r="B68" s="319" t="str">
        <f>IFERROR(_xlfn.XLOOKUP(A68,Summary!$E$3:$E$19,Summary!$B$3:$B$19,""),"")</f>
        <v>Ghee</v>
      </c>
      <c r="C68" s="320">
        <f>IFERROR(_xlfn.XLOOKUP(A68,Domestic!$D$3:$D$20,Domestic!$AW$3:$AW$20,0),0)</f>
        <v>899</v>
      </c>
      <c r="D68" s="320">
        <f>IFERROR(_xlfn.XLOOKUP(A68,'INT-_Manjiri'!$D$3:$D$22,'INT-_Manjiri'!$AV$3:$AV$22,0),0)</f>
        <v>0</v>
      </c>
      <c r="E68" s="320">
        <f>IFERROR(_xlfn.XLOOKUP(A68,'USA-_Sea_shipment'!$D$3:$D$21,'USA-_Sea_shipment'!#REF!,0),0)</f>
        <v>0</v>
      </c>
      <c r="F68" s="320">
        <f>IFERROR(_xlfn.XLOOKUP(A68,Amazon_USA_Sea!$D$3:$D$19,Amazon_USA_Sea!$AV$3:$AV$19,0),0)</f>
        <v>0</v>
      </c>
      <c r="G68" s="320">
        <f>IFERROR(_xlfn.XLOOKUP(A68,USA_Air_Shipment!$D$3:$D$23,USA_Air_Shipment!$AU$3:$AU$23,0),0)</f>
        <v>-288</v>
      </c>
      <c r="H68" s="320">
        <f>IFERROR(_xlfn.XLOOKUP(A68,Amazon_USA_Air_Shipment!$D$3:$D$23,Amazon_USA_Air_Shipment!$AU$3:$AU$23,0),0)</f>
        <v>0</v>
      </c>
      <c r="I68" s="320">
        <f>IFERROR(_xlfn.XLOOKUP(A68,UK!$D$3:$D$23,UK!$AY$3:$AY$23,0),0)</f>
        <v>0</v>
      </c>
      <c r="J68" s="320">
        <f>IFERROR(_xlfn.XLOOKUP(A68,MENA!$D$3:$D$23,MENA!$AU$3:$AU$23,0),0)</f>
        <v>0</v>
      </c>
      <c r="K68" s="320">
        <f t="shared" si="31"/>
        <v>611</v>
      </c>
      <c r="L68" s="320">
        <f>IFERROR(_xlfn.XLOOKUP(A68,Summary!$E$3:$E$19,Summary!$BE$3:$BE$19,0),0)</f>
        <v>79.900000000000006</v>
      </c>
      <c r="M68" s="321">
        <f>IFERROR(_xlfn.XLOOKUP(A68,Summary!$E$3:$E$19,Summary!$BF$3:$BF$19,0),0)</f>
        <v>0.53329439252336452</v>
      </c>
      <c r="N68" s="320">
        <f>IFERROR(_xlfn.XLOOKUP(A68,Summary!$E$3:$E$19,Summary!$BH$3:$BH$19,0),0)</f>
        <v>116</v>
      </c>
      <c r="O68" s="322">
        <f>IFERROR(_xlfn.XLOOKUP(A68,Summary!$E$3:$E$19,Summary!$BI$3:$BI$19,0),0)</f>
        <v>2.0327102803738315</v>
      </c>
      <c r="P68" s="319" t="str">
        <f>IFERROR(_xlfn.XLOOKUP(A68,Summary!$E$3:$E$19,Summary!$BK$3:$BK$19,""),"")</f>
        <v>P1 – Critical</v>
      </c>
      <c r="Q68" s="320">
        <f>IFERROR(_xlfn.XLOOKUP(A68,Summary!$E$3:$E$19,Summary!$BB$3:$BB$19,0),0)</f>
        <v>913</v>
      </c>
      <c r="R68" s="319" t="str">
        <f>IFERROR(_xlfn.XLOOKUP(A68,Summary!$E$3:$E$19,Summary!$BG$3:$BG$19,""),"")</f>
        <v/>
      </c>
    </row>
    <row r="69" spans="1:18" ht="12.5">
      <c r="A69" s="319" t="s">
        <v>42</v>
      </c>
      <c r="B69" s="319" t="str">
        <f>IFERROR(_xlfn.XLOOKUP(A69,Summary!$E$3:$E$19,Summary!$B$3:$B$19,""),"")</f>
        <v>Ghee</v>
      </c>
      <c r="C69" s="320">
        <f>IFERROR(_xlfn.XLOOKUP(A69,Domestic!$D$3:$D$20,Domestic!$AW$3:$AW$20,0),0)</f>
        <v>43.050000000000011</v>
      </c>
      <c r="D69" s="320">
        <f>IFERROR(_xlfn.XLOOKUP(A69,'INT-_Manjiri'!$D$3:$D$22,'INT-_Manjiri'!$AV$3:$AV$22,0),0)</f>
        <v>0</v>
      </c>
      <c r="E69" s="320">
        <f>IFERROR(_xlfn.XLOOKUP(A69,'USA-_Sea_shipment'!$D$3:$D$21,'USA-_Sea_shipment'!#REF!,0),0)</f>
        <v>0</v>
      </c>
      <c r="F69" s="320">
        <f>IFERROR(_xlfn.XLOOKUP(A69,Amazon_USA_Sea!$D$3:$D$19,Amazon_USA_Sea!$AV$3:$AV$19,0),0)</f>
        <v>0</v>
      </c>
      <c r="G69" s="320">
        <f>IFERROR(_xlfn.XLOOKUP(A69,USA_Air_Shipment!$D$3:$D$23,USA_Air_Shipment!$AU$3:$AU$23,0),0)</f>
        <v>0</v>
      </c>
      <c r="H69" s="320">
        <f>IFERROR(_xlfn.XLOOKUP(A69,Amazon_USA_Air_Shipment!$D$3:$D$23,Amazon_USA_Air_Shipment!$AU$3:$AU$23,0),0)</f>
        <v>0</v>
      </c>
      <c r="I69" s="320">
        <f>IFERROR(_xlfn.XLOOKUP(A69,UK!$D$3:$D$23,UK!$AY$3:$AY$23,0),0)</f>
        <v>0</v>
      </c>
      <c r="J69" s="320">
        <f>IFERROR(_xlfn.XLOOKUP(A69,MENA!$D$3:$D$23,MENA!$AU$3:$AU$23,0),0)</f>
        <v>0</v>
      </c>
      <c r="K69" s="320">
        <f t="shared" si="31"/>
        <v>43.050000000000011</v>
      </c>
      <c r="L69" s="320">
        <f>IFERROR(_xlfn.XLOOKUP(A69,Summary!$E$3:$E$19,Summary!$BE$3:$BE$19,0),0)</f>
        <v>43.050000000000011</v>
      </c>
      <c r="M69" s="321">
        <f>IFERROR(_xlfn.XLOOKUP(A69,Summary!$E$3:$E$19,Summary!$BF$3:$BF$19,0),0)</f>
        <v>0.89577532986321262</v>
      </c>
      <c r="N69" s="320">
        <f>IFERROR(_xlfn.XLOOKUP(A69,Summary!$E$3:$E$19,Summary!$BH$3:$BH$19,0),0)</f>
        <v>16</v>
      </c>
      <c r="O69" s="322">
        <f>IFERROR(_xlfn.XLOOKUP(A69,Summary!$E$3:$E$19,Summary!$BI$3:$BI$19,0),0)</f>
        <v>1.1620869144171406</v>
      </c>
      <c r="P69" s="319" t="str">
        <f>IFERROR(_xlfn.XLOOKUP(A69,Summary!$E$3:$E$19,Summary!$BK$3:$BK$19,""),"")</f>
        <v>P1 – Critical</v>
      </c>
      <c r="Q69" s="320">
        <f>IFERROR(_xlfn.XLOOKUP(A69,Summary!$E$3:$E$19,Summary!$BB$3:$BB$19,0),0)</f>
        <v>370</v>
      </c>
      <c r="R69" s="319" t="str">
        <f>IFERROR(_xlfn.XLOOKUP(A69,Summary!$E$3:$E$19,Summary!$BG$3:$BG$19,""),"")</f>
        <v/>
      </c>
    </row>
    <row r="70" spans="1:18" ht="12.5">
      <c r="A70" s="319" t="s">
        <v>35</v>
      </c>
      <c r="B70" s="319" t="str">
        <f>IFERROR(_xlfn.XLOOKUP(A70,Summary!$E$3:$E$19,Summary!$B$3:$B$19,""),"")</f>
        <v>Ghee</v>
      </c>
      <c r="C70" s="320">
        <f>IFERROR(_xlfn.XLOOKUP(A70,Domestic!$D$3:$D$20,Domestic!$AW$3:$AW$20,0),0)</f>
        <v>126</v>
      </c>
      <c r="D70" s="320">
        <f>IFERROR(_xlfn.XLOOKUP(A70,'INT-_Manjiri'!$D$3:$D$22,'INT-_Manjiri'!$AV$3:$AV$22,0),0)</f>
        <v>0</v>
      </c>
      <c r="E70" s="320">
        <f>IFERROR(_xlfn.XLOOKUP(A70,'USA-_Sea_shipment'!$D$3:$D$21,'USA-_Sea_shipment'!#REF!,0),0)</f>
        <v>0</v>
      </c>
      <c r="F70" s="320">
        <f>IFERROR(_xlfn.XLOOKUP(A70,Amazon_USA_Sea!$D$3:$D$19,Amazon_USA_Sea!$AV$3:$AV$19,0),0)</f>
        <v>0</v>
      </c>
      <c r="G70" s="320">
        <f>IFERROR(_xlfn.XLOOKUP(A70,USA_Air_Shipment!$D$3:$D$23,USA_Air_Shipment!$AU$3:$AU$23,0),0)</f>
        <v>0</v>
      </c>
      <c r="H70" s="320">
        <f>IFERROR(_xlfn.XLOOKUP(A70,Amazon_USA_Air_Shipment!$D$3:$D$23,Amazon_USA_Air_Shipment!$AU$3:$AU$23,0),0)</f>
        <v>0</v>
      </c>
      <c r="I70" s="320">
        <f>IFERROR(_xlfn.XLOOKUP(A70,UK!$D$3:$D$23,UK!$AY$3:$AY$23,0),0)</f>
        <v>0</v>
      </c>
      <c r="J70" s="320">
        <f>IFERROR(_xlfn.XLOOKUP(A70,MENA!$D$3:$D$23,MENA!$AU$3:$AU$23,0),0)</f>
        <v>0</v>
      </c>
      <c r="K70" s="320">
        <f t="shared" si="31"/>
        <v>126</v>
      </c>
      <c r="L70" s="320">
        <f>IFERROR(_xlfn.XLOOKUP(A70,Summary!$E$3:$E$19,Summary!$BE$3:$BE$19,0),0)</f>
        <v>30.25</v>
      </c>
      <c r="M70" s="321">
        <f>IFERROR(_xlfn.XLOOKUP(A70,Summary!$E$3:$E$19,Summary!$BF$3:$BF$19,0),0)</f>
        <v>0.60841423948220064</v>
      </c>
      <c r="N70" s="320">
        <f>IFERROR(_xlfn.XLOOKUP(A70,Summary!$E$3:$E$19,Summary!$BH$3:$BH$19,0),0)</f>
        <v>20</v>
      </c>
      <c r="O70" s="322">
        <f>IFERROR(_xlfn.XLOOKUP(A70,Summary!$E$3:$E$19,Summary!$BI$3:$BI$19,0),0)</f>
        <v>1.9417475728155338</v>
      </c>
      <c r="P70" s="319" t="str">
        <f>IFERROR(_xlfn.XLOOKUP(A70,Summary!$E$3:$E$19,Summary!$BK$3:$BK$19,""),"")</f>
        <v>P1 – Critical</v>
      </c>
      <c r="Q70" s="320">
        <f>IFERROR(_xlfn.XLOOKUP(A70,Summary!$E$3:$E$19,Summary!$BB$3:$BB$19,0),0)</f>
        <v>188</v>
      </c>
      <c r="R70" s="319" t="str">
        <f>IFERROR(_xlfn.XLOOKUP(A70,Summary!$E$3:$E$19,Summary!$BG$3:$BG$19,""),"")</f>
        <v>WIP</v>
      </c>
    </row>
    <row r="71" spans="1:18" ht="12.5">
      <c r="A71" s="319" t="s">
        <v>9</v>
      </c>
      <c r="B71" s="319" t="str">
        <f>IFERROR(_xlfn.XLOOKUP(A71,Summary!$E$3:$E$19,Summary!$B$3:$B$19,""),"")</f>
        <v>Ghee</v>
      </c>
      <c r="C71" s="320">
        <f>IFERROR(_xlfn.XLOOKUP(A71,Domestic!$D$3:$D$20,Domestic!$AW$3:$AW$20,0),0)</f>
        <v>186</v>
      </c>
      <c r="D71" s="320">
        <f>IFERROR(_xlfn.XLOOKUP(A71,'INT-_Manjiri'!$D$3:$D$22,'INT-_Manjiri'!$AV$3:$AV$22,0),0)</f>
        <v>0</v>
      </c>
      <c r="E71" s="320">
        <f>IFERROR(_xlfn.XLOOKUP(A71,'USA-_Sea_shipment'!$D$3:$D$21,'USA-_Sea_shipment'!#REF!,0),0)</f>
        <v>0</v>
      </c>
      <c r="F71" s="320">
        <f>IFERROR(_xlfn.XLOOKUP(A71,Amazon_USA_Sea!$D$3:$D$19,Amazon_USA_Sea!$AV$3:$AV$19,0),0)</f>
        <v>0</v>
      </c>
      <c r="G71" s="320">
        <f>IFERROR(_xlfn.XLOOKUP(A71,USA_Air_Shipment!$D$3:$D$23,USA_Air_Shipment!$AU$3:$AU$23,0),0)</f>
        <v>0</v>
      </c>
      <c r="H71" s="320">
        <f>IFERROR(_xlfn.XLOOKUP(A71,Amazon_USA_Air_Shipment!$D$3:$D$23,Amazon_USA_Air_Shipment!$AU$3:$AU$23,0),0)</f>
        <v>0</v>
      </c>
      <c r="I71" s="320">
        <f>IFERROR(_xlfn.XLOOKUP(A71,UK!$D$3:$D$23,UK!$AY$3:$AY$23,0),0)</f>
        <v>0</v>
      </c>
      <c r="J71" s="320">
        <f>IFERROR(_xlfn.XLOOKUP(A71,MENA!$D$3:$D$23,MENA!$AU$3:$AU$23,0),0)</f>
        <v>0</v>
      </c>
      <c r="K71" s="320">
        <f t="shared" si="31"/>
        <v>186</v>
      </c>
      <c r="L71" s="320">
        <f>IFERROR(_xlfn.XLOOKUP(A71,Summary!$E$3:$E$19,Summary!$BE$3:$BE$19,0),0)</f>
        <v>37.200000000000003</v>
      </c>
      <c r="M71" s="321">
        <f>IFERROR(_xlfn.XLOOKUP(A71,Summary!$E$3:$E$19,Summary!$BF$3:$BF$19,0),0)</f>
        <v>0</v>
      </c>
      <c r="N71" s="320">
        <f>IFERROR(_xlfn.XLOOKUP(A71,Summary!$E$3:$E$19,Summary!$BH$3:$BH$19,0),0)</f>
        <v>2</v>
      </c>
      <c r="O71" s="322">
        <f>IFERROR(_xlfn.XLOOKUP(A71,Summary!$E$3:$E$19,Summary!$BI$3:$BI$19,0),0)</f>
        <v>0.32258064516129031</v>
      </c>
      <c r="P71" s="319" t="str">
        <f>IFERROR(_xlfn.XLOOKUP(A71,Summary!$E$3:$E$19,Summary!$BK$3:$BK$19,""),"")</f>
        <v>P1 – Critical</v>
      </c>
      <c r="Q71" s="320">
        <f>IFERROR(_xlfn.XLOOKUP(A71,Summary!$E$3:$E$19,Summary!$BB$3:$BB$19,0),0)</f>
        <v>0</v>
      </c>
      <c r="R71" s="319" t="str">
        <f>IFERROR(_xlfn.XLOOKUP(A71,Summary!$E$3:$E$19,Summary!$BG$3:$BG$19,""),"")</f>
        <v/>
      </c>
    </row>
    <row r="72" spans="1:18" ht="12.5">
      <c r="A72" s="319" t="s">
        <v>21</v>
      </c>
      <c r="B72" s="319" t="str">
        <f>IFERROR(_xlfn.XLOOKUP(A72,Summary!$E$3:$E$19,Summary!$B$3:$B$19,""),"")</f>
        <v>Ghee</v>
      </c>
      <c r="C72" s="320">
        <f>IFERROR(_xlfn.XLOOKUP(A72,Domestic!$D$3:$D$20,Domestic!$AW$3:$AW$20,0),0)</f>
        <v>206</v>
      </c>
      <c r="D72" s="320">
        <f>IFERROR(_xlfn.XLOOKUP(A72,'INT-_Manjiri'!$D$3:$D$22,'INT-_Manjiri'!$AV$3:$AV$22,0),0)</f>
        <v>0</v>
      </c>
      <c r="E72" s="320">
        <f>IFERROR(_xlfn.XLOOKUP(A72,'USA-_Sea_shipment'!$D$3:$D$21,'USA-_Sea_shipment'!#REF!,0),0)</f>
        <v>0</v>
      </c>
      <c r="F72" s="320">
        <f>IFERROR(_xlfn.XLOOKUP(A72,Amazon_USA_Sea!$D$3:$D$19,Amazon_USA_Sea!$AV$3:$AV$19,0),0)</f>
        <v>0</v>
      </c>
      <c r="G72" s="320">
        <f>IFERROR(_xlfn.XLOOKUP(A72,USA_Air_Shipment!$D$3:$D$23,USA_Air_Shipment!$AU$3:$AU$23,0),0)</f>
        <v>0</v>
      </c>
      <c r="H72" s="320">
        <f>IFERROR(_xlfn.XLOOKUP(A72,Amazon_USA_Air_Shipment!$D$3:$D$23,Amazon_USA_Air_Shipment!$AU$3:$AU$23,0),0)</f>
        <v>0</v>
      </c>
      <c r="I72" s="320">
        <f>IFERROR(_xlfn.XLOOKUP(A72,UK!$D$3:$D$23,UK!$AY$3:$AY$23,0),0)</f>
        <v>0</v>
      </c>
      <c r="J72" s="320">
        <f>IFERROR(_xlfn.XLOOKUP(A72,MENA!$D$3:$D$23,MENA!$AU$3:$AU$23,0),0)</f>
        <v>0</v>
      </c>
      <c r="K72" s="320">
        <f t="shared" si="31"/>
        <v>206</v>
      </c>
      <c r="L72" s="320">
        <f>IFERROR(_xlfn.XLOOKUP(A72,Summary!$E$3:$E$19,Summary!$BE$3:$BE$19,0),0)</f>
        <v>63.75</v>
      </c>
      <c r="M72" s="321">
        <f>IFERROR(_xlfn.XLOOKUP(A72,Summary!$E$3:$E$19,Summary!$BF$3:$BF$19,0),0)</f>
        <v>0.20062695924764889</v>
      </c>
      <c r="N72" s="320">
        <f>IFERROR(_xlfn.XLOOKUP(A72,Summary!$E$3:$E$19,Summary!$BH$3:$BH$19,0),0)</f>
        <v>46</v>
      </c>
      <c r="O72" s="322">
        <f>IFERROR(_xlfn.XLOOKUP(A72,Summary!$E$3:$E$19,Summary!$BI$3:$BI$19,0),0)</f>
        <v>4.3260188087774294</v>
      </c>
      <c r="P72" s="319" t="str">
        <f>IFERROR(_xlfn.XLOOKUP(A72,Summary!$E$3:$E$19,Summary!$BK$3:$BK$19,""),"")</f>
        <v>P1 – Critical</v>
      </c>
      <c r="Q72" s="320">
        <f>IFERROR(_xlfn.XLOOKUP(A72,Summary!$E$3:$E$19,Summary!$BB$3:$BB$19,0),0)</f>
        <v>64</v>
      </c>
      <c r="R72" s="319" t="str">
        <f>IFERROR(_xlfn.XLOOKUP(A72,Summary!$E$3:$E$19,Summary!$BG$3:$BG$19,""),"")</f>
        <v>WIP</v>
      </c>
    </row>
    <row r="73" spans="1:18" ht="12.5">
      <c r="A73" s="319" t="s">
        <v>13</v>
      </c>
      <c r="B73" s="319" t="str">
        <f>IFERROR(_xlfn.XLOOKUP(A73,Summary!$E$3:$E$19,Summary!$B$3:$B$19,""),"")</f>
        <v>Ghee</v>
      </c>
      <c r="C73" s="320">
        <f>IFERROR(_xlfn.XLOOKUP(A73,Domestic!$D$3:$D$20,Domestic!$AW$3:$AW$20,0),0)</f>
        <v>198</v>
      </c>
      <c r="D73" s="320">
        <f>IFERROR(_xlfn.XLOOKUP(A73,'INT-_Manjiri'!$D$3:$D$22,'INT-_Manjiri'!$AV$3:$AV$22,0),0)</f>
        <v>0</v>
      </c>
      <c r="E73" s="320">
        <f>IFERROR(_xlfn.XLOOKUP(A73,'USA-_Sea_shipment'!$D$3:$D$21,'USA-_Sea_shipment'!#REF!,0),0)</f>
        <v>0</v>
      </c>
      <c r="F73" s="320">
        <f>IFERROR(_xlfn.XLOOKUP(A73,Amazon_USA_Sea!$D$3:$D$19,Amazon_USA_Sea!$AV$3:$AV$19,0),0)</f>
        <v>0</v>
      </c>
      <c r="G73" s="320">
        <f>IFERROR(_xlfn.XLOOKUP(A73,USA_Air_Shipment!$D$3:$D$23,USA_Air_Shipment!$AU$3:$AU$23,0),0)</f>
        <v>0</v>
      </c>
      <c r="H73" s="320">
        <f>IFERROR(_xlfn.XLOOKUP(A73,Amazon_USA_Air_Shipment!$D$3:$D$23,Amazon_USA_Air_Shipment!$AU$3:$AU$23,0),0)</f>
        <v>0</v>
      </c>
      <c r="I73" s="320">
        <f>IFERROR(_xlfn.XLOOKUP(A73,UK!$D$3:$D$23,UK!$AY$3:$AY$23,0),0)</f>
        <v>0</v>
      </c>
      <c r="J73" s="320">
        <f>IFERROR(_xlfn.XLOOKUP(A73,MENA!$D$3:$D$23,MENA!$AU$3:$AU$23,0),0)</f>
        <v>0</v>
      </c>
      <c r="K73" s="320">
        <f t="shared" si="31"/>
        <v>198</v>
      </c>
      <c r="L73" s="320">
        <f>IFERROR(_xlfn.XLOOKUP(A73,Summary!$E$3:$E$19,Summary!$BE$3:$BE$19,0),0)</f>
        <v>46.5</v>
      </c>
      <c r="M73" s="321">
        <f>IFERROR(_xlfn.XLOOKUP(A73,Summary!$E$3:$E$19,Summary!$BF$3:$BF$19,0),0)</f>
        <v>0.2648221343873518</v>
      </c>
      <c r="N73" s="320">
        <f>IFERROR(_xlfn.XLOOKUP(A73,Summary!$E$3:$E$19,Summary!$BH$3:$BH$19,0),0)</f>
        <v>11</v>
      </c>
      <c r="O73" s="322">
        <f>IFERROR(_xlfn.XLOOKUP(A73,Summary!$E$3:$E$19,Summary!$BI$3:$BI$19,0),0)</f>
        <v>1.3043478260869565</v>
      </c>
      <c r="P73" s="319" t="str">
        <f>IFERROR(_xlfn.XLOOKUP(A73,Summary!$E$3:$E$19,Summary!$BK$3:$BK$19,""),"")</f>
        <v>P1 – Critical</v>
      </c>
      <c r="Q73" s="320">
        <f>IFERROR(_xlfn.XLOOKUP(A73,Summary!$E$3:$E$19,Summary!$BB$3:$BB$19,0),0)</f>
        <v>67</v>
      </c>
      <c r="R73" s="319" t="str">
        <f>IFERROR(_xlfn.XLOOKUP(A73,Summary!$E$3:$E$19,Summary!$BG$3:$BG$19,""),"")</f>
        <v>WIP</v>
      </c>
    </row>
    <row r="74" spans="1:18" ht="12.5">
      <c r="A74" s="319" t="s">
        <v>22</v>
      </c>
      <c r="B74" s="319" t="str">
        <f>IFERROR(_xlfn.XLOOKUP(A74,Summary!$E$3:$E$19,Summary!$B$3:$B$19,""),"")</f>
        <v>Ghee</v>
      </c>
      <c r="C74" s="320">
        <f>IFERROR(_xlfn.XLOOKUP(A74,Domestic!$D$3:$D$20,Domestic!$AW$3:$AW$20,0),0)</f>
        <v>-5</v>
      </c>
      <c r="D74" s="320">
        <f>IFERROR(_xlfn.XLOOKUP(A74,'INT-_Manjiri'!$D$3:$D$22,'INT-_Manjiri'!$AV$3:$AV$22,0),0)</f>
        <v>0</v>
      </c>
      <c r="E74" s="320">
        <f>IFERROR(_xlfn.XLOOKUP(A74,'USA-_Sea_shipment'!$D$3:$D$21,'USA-_Sea_shipment'!#REF!,0),0)</f>
        <v>0</v>
      </c>
      <c r="F74" s="320">
        <f>IFERROR(_xlfn.XLOOKUP(A74,Amazon_USA_Sea!$D$3:$D$19,Amazon_USA_Sea!$AV$3:$AV$19,0),0)</f>
        <v>0</v>
      </c>
      <c r="G74" s="320">
        <f>IFERROR(_xlfn.XLOOKUP(A74,USA_Air_Shipment!$D$3:$D$23,USA_Air_Shipment!$AU$3:$AU$23,0),0)</f>
        <v>0</v>
      </c>
      <c r="H74" s="320">
        <f>IFERROR(_xlfn.XLOOKUP(A74,Amazon_USA_Air_Shipment!$D$3:$D$23,Amazon_USA_Air_Shipment!$AU$3:$AU$23,0),0)</f>
        <v>0</v>
      </c>
      <c r="I74" s="320">
        <f>IFERROR(_xlfn.XLOOKUP(A74,UK!$D$3:$D$23,UK!$AY$3:$AY$23,0),0)</f>
        <v>0</v>
      </c>
      <c r="J74" s="320">
        <f>IFERROR(_xlfn.XLOOKUP(A74,MENA!$D$3:$D$23,MENA!$AU$3:$AU$23,0),0)</f>
        <v>0</v>
      </c>
      <c r="K74" s="320">
        <f t="shared" si="31"/>
        <v>-5</v>
      </c>
      <c r="L74" s="320">
        <f>IFERROR(_xlfn.XLOOKUP(A74,Summary!$E$3:$E$19,Summary!$BE$3:$BE$19,0),0)</f>
        <v>4.75</v>
      </c>
      <c r="M74" s="321">
        <f>IFERROR(_xlfn.XLOOKUP(A74,Summary!$E$3:$E$19,Summary!$BF$3:$BF$19,0),0)</f>
        <v>0.87248322147651003</v>
      </c>
      <c r="N74" s="320">
        <f>IFERROR(_xlfn.XLOOKUP(A74,Summary!$E$3:$E$19,Summary!$BH$3:$BH$19,0),0)</f>
        <v>76</v>
      </c>
      <c r="O74" s="322">
        <f>IFERROR(_xlfn.XLOOKUP(A74,Summary!$E$3:$E$19,Summary!$BI$3:$BI$19,0),0)</f>
        <v>15.302013422818792</v>
      </c>
      <c r="P74" s="319" t="str">
        <f>IFERROR(_xlfn.XLOOKUP(A74,Summary!$E$3:$E$19,Summary!$BK$3:$BK$19,""),"")</f>
        <v>P3 – Normal</v>
      </c>
      <c r="Q74" s="320">
        <f>IFERROR(_xlfn.XLOOKUP(A74,Summary!$E$3:$E$19,Summary!$BB$3:$BB$19,0),0)</f>
        <v>130</v>
      </c>
      <c r="R74" s="319" t="str">
        <f>IFERROR(_xlfn.XLOOKUP(A74,Summary!$E$3:$E$19,Summary!$BG$3:$BG$19,""),"")</f>
        <v>WIP</v>
      </c>
    </row>
    <row r="75" spans="1:18" ht="12.5">
      <c r="A75" s="319" t="s">
        <v>14</v>
      </c>
      <c r="B75" s="319" t="str">
        <f>IFERROR(_xlfn.XLOOKUP(A75,Summary!$E$3:$E$19,Summary!$B$3:$B$19,""),"")</f>
        <v>Ghee</v>
      </c>
      <c r="C75" s="320">
        <f>IFERROR(_xlfn.XLOOKUP(A75,Domestic!$D$3:$D$20,Domestic!$AW$3:$AW$20,0),0)</f>
        <v>29</v>
      </c>
      <c r="D75" s="320">
        <f>IFERROR(_xlfn.XLOOKUP(A75,'INT-_Manjiri'!$D$3:$D$22,'INT-_Manjiri'!$AV$3:$AV$22,0),0)</f>
        <v>0</v>
      </c>
      <c r="E75" s="320">
        <f>IFERROR(_xlfn.XLOOKUP(A75,'USA-_Sea_shipment'!$D$3:$D$21,'USA-_Sea_shipment'!#REF!,0),0)</f>
        <v>0</v>
      </c>
      <c r="F75" s="320">
        <f>IFERROR(_xlfn.XLOOKUP(A75,Amazon_USA_Sea!$D$3:$D$19,Amazon_USA_Sea!$AV$3:$AV$19,0),0)</f>
        <v>0</v>
      </c>
      <c r="G75" s="320">
        <f>IFERROR(_xlfn.XLOOKUP(A75,USA_Air_Shipment!$D$3:$D$23,USA_Air_Shipment!$AU$3:$AU$23,0),0)</f>
        <v>0</v>
      </c>
      <c r="H75" s="320">
        <f>IFERROR(_xlfn.XLOOKUP(A75,Amazon_USA_Air_Shipment!$D$3:$D$23,Amazon_USA_Air_Shipment!$AU$3:$AU$23,0),0)</f>
        <v>0</v>
      </c>
      <c r="I75" s="320">
        <f>IFERROR(_xlfn.XLOOKUP(A75,UK!$D$3:$D$23,UK!$AY$3:$AY$23,0),0)</f>
        <v>0</v>
      </c>
      <c r="J75" s="320">
        <f>IFERROR(_xlfn.XLOOKUP(A75,MENA!$D$3:$D$23,MENA!$AU$3:$AU$23,0),0)</f>
        <v>0</v>
      </c>
      <c r="K75" s="320">
        <f t="shared" si="31"/>
        <v>29</v>
      </c>
      <c r="L75" s="320">
        <f>IFERROR(_xlfn.XLOOKUP(A75,Summary!$E$3:$E$19,Summary!$BE$3:$BE$19,0),0)</f>
        <v>7.25</v>
      </c>
      <c r="M75" s="321">
        <f>IFERROR(_xlfn.XLOOKUP(A75,Summary!$E$3:$E$19,Summary!$BF$3:$BF$19,0),0)</f>
        <v>0.61333333333333329</v>
      </c>
      <c r="N75" s="320">
        <f>IFERROR(_xlfn.XLOOKUP(A75,Summary!$E$3:$E$19,Summary!$BH$3:$BH$19,0),0)</f>
        <v>54</v>
      </c>
      <c r="O75" s="322">
        <f>IFERROR(_xlfn.XLOOKUP(A75,Summary!$E$3:$E$19,Summary!$BI$3:$BI$19,0),0)</f>
        <v>21.6</v>
      </c>
      <c r="P75" s="319" t="str">
        <f>IFERROR(_xlfn.XLOOKUP(A75,Summary!$E$3:$E$19,Summary!$BK$3:$BK$19,""),"")</f>
        <v>P3 – Normal</v>
      </c>
      <c r="Q75" s="320">
        <f>IFERROR(_xlfn.XLOOKUP(A75,Summary!$E$3:$E$19,Summary!$BB$3:$BB$19,0),0)</f>
        <v>46</v>
      </c>
      <c r="R75" s="319" t="str">
        <f>IFERROR(_xlfn.XLOOKUP(A75,Summary!$E$3:$E$19,Summary!$BG$3:$BG$19,""),"")</f>
        <v/>
      </c>
    </row>
    <row r="76" spans="1:18" ht="12.5"/>
    <row r="77" spans="1:18" ht="15.5">
      <c r="A77" s="323" t="s">
        <v>1897</v>
      </c>
    </row>
    <row r="78" spans="1:18" ht="13">
      <c r="A78" s="324" t="s">
        <v>185</v>
      </c>
      <c r="B78" s="324" t="s">
        <v>6</v>
      </c>
      <c r="C78" s="324" t="s">
        <v>1892</v>
      </c>
      <c r="D78" s="324" t="s">
        <v>39</v>
      </c>
      <c r="E78" s="324" t="s">
        <v>41</v>
      </c>
      <c r="F78" s="324" t="s">
        <v>43</v>
      </c>
      <c r="G78" s="324" t="s">
        <v>45</v>
      </c>
      <c r="H78" s="324" t="s">
        <v>1893</v>
      </c>
      <c r="I78" s="324" t="s">
        <v>49</v>
      </c>
      <c r="J78" s="324" t="s">
        <v>51</v>
      </c>
      <c r="K78" s="324" t="s">
        <v>1894</v>
      </c>
      <c r="L78" s="324" t="s">
        <v>1895</v>
      </c>
      <c r="M78" s="324" t="s">
        <v>115</v>
      </c>
      <c r="N78" s="324" t="s">
        <v>116</v>
      </c>
      <c r="O78" s="324" t="s">
        <v>61</v>
      </c>
      <c r="P78" s="324" t="s">
        <v>52</v>
      </c>
      <c r="Q78" s="324" t="s">
        <v>1896</v>
      </c>
      <c r="R78" s="324" t="s">
        <v>63</v>
      </c>
    </row>
    <row r="79" spans="1:18" ht="12.5">
      <c r="A79" s="325" t="str">
        <f t="array" ref="A79:R95">IF(B56="",A59:R75,IFERROR(_xlfn._xlws.FILTER(A59:R75,ISNUMBER(SEARCH(B56,A59:A75))),"No matching products found"))</f>
        <v>A2 Cultured Ghee - 500 ml</v>
      </c>
      <c r="B79" s="326" t="str">
        <v>Ghee</v>
      </c>
      <c r="C79" s="327">
        <v>9092.2500000000036</v>
      </c>
      <c r="D79" s="327">
        <v>0</v>
      </c>
      <c r="E79" s="327">
        <v>0</v>
      </c>
      <c r="F79" s="327">
        <v>6</v>
      </c>
      <c r="G79" s="327">
        <v>0</v>
      </c>
      <c r="H79" s="327">
        <v>0</v>
      </c>
      <c r="I79" s="327">
        <v>0</v>
      </c>
      <c r="J79" s="327">
        <v>-5429</v>
      </c>
      <c r="K79" s="327">
        <v>3669.2500000000036</v>
      </c>
      <c r="L79" s="327">
        <v>7240.625</v>
      </c>
      <c r="M79" s="328">
        <v>0.61174451884471792</v>
      </c>
      <c r="N79" s="326">
        <v>1283</v>
      </c>
      <c r="O79" s="329">
        <v>1.0319519012286098</v>
      </c>
      <c r="P79" s="326" t="str">
        <v>P1 – Critical</v>
      </c>
      <c r="Q79" s="326">
        <v>22817</v>
      </c>
      <c r="R79" s="330" t="str">
        <v>WIP</v>
      </c>
    </row>
    <row r="80" spans="1:18" ht="12.5">
      <c r="A80" s="331" t="str">
        <v>A2 Cultured Ghee - 250 ml</v>
      </c>
      <c r="B80" s="332" t="str">
        <v>Ghee</v>
      </c>
      <c r="C80" s="333">
        <v>6541.7000000000007</v>
      </c>
      <c r="D80" s="333">
        <v>0</v>
      </c>
      <c r="E80" s="333">
        <v>0</v>
      </c>
      <c r="F80" s="333">
        <v>0</v>
      </c>
      <c r="G80" s="333">
        <v>0</v>
      </c>
      <c r="H80" s="333">
        <v>0</v>
      </c>
      <c r="I80" s="333">
        <v>0</v>
      </c>
      <c r="J80" s="333">
        <v>0</v>
      </c>
      <c r="K80" s="333">
        <v>6541.7000000000007</v>
      </c>
      <c r="L80" s="333">
        <v>1635.4250000000002</v>
      </c>
      <c r="M80" s="334">
        <v>0.67674077295211177</v>
      </c>
      <c r="N80" s="332">
        <v>2754</v>
      </c>
      <c r="O80" s="335">
        <v>4.0826814648633416</v>
      </c>
      <c r="P80" s="332" t="str">
        <v>P1 – Critical</v>
      </c>
      <c r="Q80" s="332">
        <v>13695</v>
      </c>
      <c r="R80" s="336" t="str">
        <v/>
      </c>
    </row>
    <row r="81" spans="1:18" ht="12.5">
      <c r="A81" s="337" t="str">
        <v>A2 Cultured Ghee - 100 ml</v>
      </c>
      <c r="B81" s="338" t="str">
        <v>Ghee</v>
      </c>
      <c r="C81" s="339">
        <v>-947.29999999999927</v>
      </c>
      <c r="D81" s="339">
        <v>0</v>
      </c>
      <c r="E81" s="339">
        <v>0</v>
      </c>
      <c r="F81" s="339">
        <v>0</v>
      </c>
      <c r="G81" s="339">
        <v>0</v>
      </c>
      <c r="H81" s="339">
        <v>0</v>
      </c>
      <c r="I81" s="339">
        <v>0</v>
      </c>
      <c r="J81" s="339">
        <v>-111</v>
      </c>
      <c r="K81" s="339">
        <v>-1058.2999999999993</v>
      </c>
      <c r="L81" s="339">
        <v>-83.629999999999939</v>
      </c>
      <c r="M81" s="340">
        <v>1.05940601092508</v>
      </c>
      <c r="N81" s="338">
        <v>4201</v>
      </c>
      <c r="O81" s="341">
        <v>8.9524567223339027</v>
      </c>
      <c r="P81" s="338" t="str">
        <v>P2 – High</v>
      </c>
      <c r="Q81" s="338">
        <v>14914</v>
      </c>
      <c r="R81" s="342" t="str">
        <v>PM Available | Done</v>
      </c>
    </row>
    <row r="82" spans="1:18" ht="12.5">
      <c r="A82" s="331" t="str">
        <v>A2 Cultured Ghee - 1000 ml</v>
      </c>
      <c r="B82" s="332" t="str">
        <v>Ghee</v>
      </c>
      <c r="C82" s="333">
        <v>2518.6000000000004</v>
      </c>
      <c r="D82" s="333">
        <v>0</v>
      </c>
      <c r="E82" s="333">
        <v>0</v>
      </c>
      <c r="F82" s="333">
        <v>0</v>
      </c>
      <c r="G82" s="333">
        <v>0</v>
      </c>
      <c r="H82" s="333">
        <v>0</v>
      </c>
      <c r="I82" s="333">
        <v>0</v>
      </c>
      <c r="J82" s="333">
        <v>-815</v>
      </c>
      <c r="K82" s="333">
        <v>1703.6000000000004</v>
      </c>
      <c r="L82" s="333">
        <v>3333.6000000000004</v>
      </c>
      <c r="M82" s="334">
        <v>0.69805988804956254</v>
      </c>
      <c r="N82" s="332">
        <v>576</v>
      </c>
      <c r="O82" s="335">
        <v>1.5651323297646866</v>
      </c>
      <c r="P82" s="332" t="str">
        <v>P1 – Critical</v>
      </c>
      <c r="Q82" s="332">
        <v>7707</v>
      </c>
      <c r="R82" s="336" t="str">
        <v/>
      </c>
    </row>
    <row r="83" spans="1:18" ht="12.5">
      <c r="A83" s="337" t="str">
        <v>Non cultured ghee 1l</v>
      </c>
      <c r="B83" s="338" t="str">
        <v>Ghee</v>
      </c>
      <c r="C83" s="339">
        <v>0</v>
      </c>
      <c r="D83" s="339">
        <v>0</v>
      </c>
      <c r="E83" s="339">
        <v>0</v>
      </c>
      <c r="F83" s="339">
        <v>0</v>
      </c>
      <c r="G83" s="339">
        <v>0</v>
      </c>
      <c r="H83" s="339">
        <v>0</v>
      </c>
      <c r="I83" s="339">
        <v>0</v>
      </c>
      <c r="J83" s="339">
        <v>0</v>
      </c>
      <c r="K83" s="339">
        <v>0</v>
      </c>
      <c r="L83" s="339">
        <v>3718</v>
      </c>
      <c r="M83" s="340">
        <v>0.38535295090097538</v>
      </c>
      <c r="N83" s="338">
        <v>941</v>
      </c>
      <c r="O83" s="341">
        <v>4.6668870887750042</v>
      </c>
      <c r="P83" s="338" t="str">
        <v>P1 – Critical</v>
      </c>
      <c r="Q83" s="338">
        <v>2331</v>
      </c>
      <c r="R83" s="342" t="str">
        <v/>
      </c>
    </row>
    <row r="84" spans="1:18" ht="12.5">
      <c r="A84" s="331" t="str">
        <v>Buffalo Ghee - A2 Cultured 500ml</v>
      </c>
      <c r="B84" s="332" t="str">
        <v>Ghee</v>
      </c>
      <c r="C84" s="333">
        <v>18590</v>
      </c>
      <c r="D84" s="333">
        <v>0</v>
      </c>
      <c r="E84" s="333">
        <v>0</v>
      </c>
      <c r="F84" s="333">
        <v>0</v>
      </c>
      <c r="G84" s="333">
        <v>0</v>
      </c>
      <c r="H84" s="333">
        <v>0</v>
      </c>
      <c r="I84" s="333">
        <v>0</v>
      </c>
      <c r="J84" s="333">
        <v>0</v>
      </c>
      <c r="K84" s="333">
        <v>18590</v>
      </c>
      <c r="L84" s="333">
        <v>9293</v>
      </c>
      <c r="M84" s="334">
        <v>0.18771032734583279</v>
      </c>
      <c r="N84" s="332">
        <v>974</v>
      </c>
      <c r="O84" s="335">
        <v>1.2770420873213582</v>
      </c>
      <c r="P84" s="332" t="str">
        <v>P1 – Critical</v>
      </c>
      <c r="Q84" s="332">
        <v>4295</v>
      </c>
      <c r="R84" s="336" t="str">
        <v>WIP</v>
      </c>
    </row>
    <row r="85" spans="1:18" ht="12.5">
      <c r="A85" s="337" t="str">
        <v>A2 Desi Cow Ghee - 500ml</v>
      </c>
      <c r="B85" s="338" t="str">
        <v>Ghee</v>
      </c>
      <c r="C85" s="339">
        <v>0</v>
      </c>
      <c r="D85" s="339">
        <v>0</v>
      </c>
      <c r="E85" s="339">
        <v>0</v>
      </c>
      <c r="F85" s="339">
        <v>0</v>
      </c>
      <c r="G85" s="339">
        <v>0</v>
      </c>
      <c r="H85" s="339">
        <v>0</v>
      </c>
      <c r="I85" s="339">
        <v>0</v>
      </c>
      <c r="J85" s="339">
        <v>0</v>
      </c>
      <c r="K85" s="339">
        <v>0</v>
      </c>
      <c r="L85" s="339">
        <v>3543.8500000000004</v>
      </c>
      <c r="M85" s="340">
        <v>0.32296273653844315</v>
      </c>
      <c r="N85" s="338">
        <v>874</v>
      </c>
      <c r="O85" s="341">
        <v>2.5046089772369058</v>
      </c>
      <c r="P85" s="338" t="str">
        <v>P1 – Critical</v>
      </c>
      <c r="Q85" s="338">
        <v>3381</v>
      </c>
      <c r="R85" s="342" t="str">
        <v/>
      </c>
    </row>
    <row r="86" spans="1:18" ht="12.5">
      <c r="A86" s="331" t="str">
        <v>Full Moon Cultured Ghee - 500 ml</v>
      </c>
      <c r="B86" s="332" t="str">
        <v>Ghee</v>
      </c>
      <c r="C86" s="333">
        <v>1263.3000000000002</v>
      </c>
      <c r="D86" s="333">
        <v>0</v>
      </c>
      <c r="E86" s="333">
        <v>0</v>
      </c>
      <c r="F86" s="333">
        <v>0</v>
      </c>
      <c r="G86" s="333">
        <v>0</v>
      </c>
      <c r="H86" s="333">
        <v>33</v>
      </c>
      <c r="I86" s="333">
        <v>0</v>
      </c>
      <c r="J86" s="333">
        <v>-495</v>
      </c>
      <c r="K86" s="333">
        <v>801.30000000000018</v>
      </c>
      <c r="L86" s="333">
        <v>850.65000000000009</v>
      </c>
      <c r="M86" s="334">
        <v>0.48496957587866674</v>
      </c>
      <c r="N86" s="332">
        <v>889</v>
      </c>
      <c r="O86" s="335">
        <v>8.0737444373808014</v>
      </c>
      <c r="P86" s="332" t="str">
        <v>P2 – High</v>
      </c>
      <c r="Q86" s="332">
        <v>1602</v>
      </c>
      <c r="R86" s="336" t="str">
        <v>WIP</v>
      </c>
    </row>
    <row r="87" spans="1:18" ht="12.5">
      <c r="A87" s="337" t="str">
        <v xml:space="preserve">A2 Cultured Ghee - 5 Ltr </v>
      </c>
      <c r="B87" s="338" t="str">
        <v>Ghee</v>
      </c>
      <c r="C87" s="339">
        <v>0</v>
      </c>
      <c r="D87" s="339">
        <v>0</v>
      </c>
      <c r="E87" s="339">
        <v>0</v>
      </c>
      <c r="F87" s="339">
        <v>0</v>
      </c>
      <c r="G87" s="339">
        <v>0</v>
      </c>
      <c r="H87" s="339">
        <v>0</v>
      </c>
      <c r="I87" s="339">
        <v>0</v>
      </c>
      <c r="J87" s="339">
        <v>0</v>
      </c>
      <c r="K87" s="339">
        <v>0</v>
      </c>
      <c r="L87" s="339">
        <v>2206.25</v>
      </c>
      <c r="M87" s="340">
        <v>0.57377445061579324</v>
      </c>
      <c r="N87" s="338">
        <v>8</v>
      </c>
      <c r="O87" s="341">
        <v>0.23182806085486599</v>
      </c>
      <c r="P87" s="338" t="str">
        <v>P1 – Critical</v>
      </c>
      <c r="Q87" s="338">
        <v>594</v>
      </c>
      <c r="R87" s="342" t="str">
        <v>WIP</v>
      </c>
    </row>
    <row r="88" spans="1:18" ht="12.5">
      <c r="A88" s="331" t="str">
        <v>Colostrum Powder, Desi Gir Cow - 100 gm</v>
      </c>
      <c r="B88" s="332" t="str">
        <v>Ghee</v>
      </c>
      <c r="C88" s="333">
        <v>899</v>
      </c>
      <c r="D88" s="333">
        <v>0</v>
      </c>
      <c r="E88" s="333">
        <v>0</v>
      </c>
      <c r="F88" s="333">
        <v>0</v>
      </c>
      <c r="G88" s="333">
        <v>-288</v>
      </c>
      <c r="H88" s="333">
        <v>0</v>
      </c>
      <c r="I88" s="333">
        <v>0</v>
      </c>
      <c r="J88" s="333">
        <v>0</v>
      </c>
      <c r="K88" s="333">
        <v>611</v>
      </c>
      <c r="L88" s="333">
        <v>79.900000000000006</v>
      </c>
      <c r="M88" s="334">
        <v>0.53329439252336452</v>
      </c>
      <c r="N88" s="332">
        <v>116</v>
      </c>
      <c r="O88" s="335">
        <v>2.0327102803738315</v>
      </c>
      <c r="P88" s="332" t="str">
        <v>P1 – Critical</v>
      </c>
      <c r="Q88" s="332">
        <v>913</v>
      </c>
      <c r="R88" s="336" t="str">
        <v/>
      </c>
    </row>
    <row r="89" spans="1:18" ht="12.5">
      <c r="A89" s="337" t="str">
        <v>Steel Can Ghee 1 Ltr</v>
      </c>
      <c r="B89" s="338" t="str">
        <v>Ghee</v>
      </c>
      <c r="C89" s="339">
        <v>43.050000000000011</v>
      </c>
      <c r="D89" s="339">
        <v>0</v>
      </c>
      <c r="E89" s="339">
        <v>0</v>
      </c>
      <c r="F89" s="339">
        <v>0</v>
      </c>
      <c r="G89" s="339">
        <v>0</v>
      </c>
      <c r="H89" s="339">
        <v>0</v>
      </c>
      <c r="I89" s="339">
        <v>0</v>
      </c>
      <c r="J89" s="339">
        <v>0</v>
      </c>
      <c r="K89" s="339">
        <v>43.050000000000011</v>
      </c>
      <c r="L89" s="339">
        <v>43.050000000000011</v>
      </c>
      <c r="M89" s="340">
        <v>0.89577532986321262</v>
      </c>
      <c r="N89" s="338">
        <v>16</v>
      </c>
      <c r="O89" s="341">
        <v>1.1620869144171406</v>
      </c>
      <c r="P89" s="338" t="str">
        <v>P1 – Critical</v>
      </c>
      <c r="Q89" s="338">
        <v>370</v>
      </c>
      <c r="R89" s="342" t="str">
        <v/>
      </c>
    </row>
    <row r="90" spans="1:18" ht="12.5">
      <c r="A90" s="331" t="str">
        <v>Ashwagandha Ghee - 250 gm</v>
      </c>
      <c r="B90" s="332" t="str">
        <v>Ghee</v>
      </c>
      <c r="C90" s="333">
        <v>126</v>
      </c>
      <c r="D90" s="333">
        <v>0</v>
      </c>
      <c r="E90" s="333">
        <v>0</v>
      </c>
      <c r="F90" s="333">
        <v>0</v>
      </c>
      <c r="G90" s="333">
        <v>0</v>
      </c>
      <c r="H90" s="333">
        <v>0</v>
      </c>
      <c r="I90" s="333">
        <v>0</v>
      </c>
      <c r="J90" s="333">
        <v>0</v>
      </c>
      <c r="K90" s="333">
        <v>126</v>
      </c>
      <c r="L90" s="333">
        <v>30.25</v>
      </c>
      <c r="M90" s="334">
        <v>0.60841423948220064</v>
      </c>
      <c r="N90" s="332">
        <v>20</v>
      </c>
      <c r="O90" s="335">
        <v>1.9417475728155338</v>
      </c>
      <c r="P90" s="332" t="str">
        <v>P1 – Critical</v>
      </c>
      <c r="Q90" s="332">
        <v>188</v>
      </c>
      <c r="R90" s="336" t="str">
        <v>WIP</v>
      </c>
    </row>
    <row r="91" spans="1:18" ht="12.5">
      <c r="A91" s="337" t="str">
        <v>Butter/Makhan - 200 gm</v>
      </c>
      <c r="B91" s="338" t="str">
        <v>Ghee</v>
      </c>
      <c r="C91" s="339">
        <v>186</v>
      </c>
      <c r="D91" s="339">
        <v>0</v>
      </c>
      <c r="E91" s="339">
        <v>0</v>
      </c>
      <c r="F91" s="339">
        <v>0</v>
      </c>
      <c r="G91" s="339">
        <v>0</v>
      </c>
      <c r="H91" s="339">
        <v>0</v>
      </c>
      <c r="I91" s="339">
        <v>0</v>
      </c>
      <c r="J91" s="339">
        <v>0</v>
      </c>
      <c r="K91" s="339">
        <v>186</v>
      </c>
      <c r="L91" s="339">
        <v>37.200000000000003</v>
      </c>
      <c r="M91" s="340">
        <v>0</v>
      </c>
      <c r="N91" s="338">
        <v>2</v>
      </c>
      <c r="O91" s="341">
        <v>0.32258064516129031</v>
      </c>
      <c r="P91" s="338" t="str">
        <v>P1 – Critical</v>
      </c>
      <c r="Q91" s="338">
        <v>0</v>
      </c>
      <c r="R91" s="342" t="str">
        <v/>
      </c>
    </row>
    <row r="92" spans="1:18" ht="12.5">
      <c r="A92" s="331" t="str">
        <v>Shatavari Ghee - 250 gm</v>
      </c>
      <c r="B92" s="332" t="str">
        <v>Ghee</v>
      </c>
      <c r="C92" s="333">
        <v>206</v>
      </c>
      <c r="D92" s="333">
        <v>0</v>
      </c>
      <c r="E92" s="333">
        <v>0</v>
      </c>
      <c r="F92" s="333">
        <v>0</v>
      </c>
      <c r="G92" s="333">
        <v>0</v>
      </c>
      <c r="H92" s="333">
        <v>0</v>
      </c>
      <c r="I92" s="333">
        <v>0</v>
      </c>
      <c r="J92" s="333">
        <v>0</v>
      </c>
      <c r="K92" s="333">
        <v>206</v>
      </c>
      <c r="L92" s="333">
        <v>63.75</v>
      </c>
      <c r="M92" s="334">
        <v>0.20062695924764889</v>
      </c>
      <c r="N92" s="332">
        <v>46</v>
      </c>
      <c r="O92" s="335">
        <v>4.3260188087774294</v>
      </c>
      <c r="P92" s="332" t="str">
        <v>P1 – Critical</v>
      </c>
      <c r="Q92" s="332">
        <v>64</v>
      </c>
      <c r="R92" s="336" t="str">
        <v>WIP</v>
      </c>
    </row>
    <row r="93" spans="1:18" ht="12.5">
      <c r="A93" s="337" t="str">
        <v>Brahmi Ghee - 250 gm</v>
      </c>
      <c r="B93" s="338" t="str">
        <v>Ghee</v>
      </c>
      <c r="C93" s="339">
        <v>198</v>
      </c>
      <c r="D93" s="339">
        <v>0</v>
      </c>
      <c r="E93" s="339">
        <v>0</v>
      </c>
      <c r="F93" s="339">
        <v>0</v>
      </c>
      <c r="G93" s="339">
        <v>0</v>
      </c>
      <c r="H93" s="339">
        <v>0</v>
      </c>
      <c r="I93" s="339">
        <v>0</v>
      </c>
      <c r="J93" s="339">
        <v>0</v>
      </c>
      <c r="K93" s="339">
        <v>198</v>
      </c>
      <c r="L93" s="339">
        <v>46.5</v>
      </c>
      <c r="M93" s="340">
        <v>0.2648221343873518</v>
      </c>
      <c r="N93" s="338">
        <v>11</v>
      </c>
      <c r="O93" s="341">
        <v>1.3043478260869565</v>
      </c>
      <c r="P93" s="338" t="str">
        <v>P1 – Critical</v>
      </c>
      <c r="Q93" s="338">
        <v>67</v>
      </c>
      <c r="R93" s="342" t="str">
        <v>WIP</v>
      </c>
    </row>
    <row r="94" spans="1:18" ht="12.5">
      <c r="A94" s="331" t="str">
        <v>Turmeric Ghee 250gm</v>
      </c>
      <c r="B94" s="332" t="str">
        <v>Ghee</v>
      </c>
      <c r="C94" s="333">
        <v>-5</v>
      </c>
      <c r="D94" s="333">
        <v>0</v>
      </c>
      <c r="E94" s="333">
        <v>0</v>
      </c>
      <c r="F94" s="333">
        <v>0</v>
      </c>
      <c r="G94" s="333">
        <v>0</v>
      </c>
      <c r="H94" s="333">
        <v>0</v>
      </c>
      <c r="I94" s="333">
        <v>0</v>
      </c>
      <c r="J94" s="333">
        <v>0</v>
      </c>
      <c r="K94" s="333">
        <v>-5</v>
      </c>
      <c r="L94" s="333">
        <v>4.75</v>
      </c>
      <c r="M94" s="334">
        <v>0.87248322147651003</v>
      </c>
      <c r="N94" s="332">
        <v>76</v>
      </c>
      <c r="O94" s="335">
        <v>15.302013422818792</v>
      </c>
      <c r="P94" s="332" t="str">
        <v>P3 – Normal</v>
      </c>
      <c r="Q94" s="332">
        <v>130</v>
      </c>
      <c r="R94" s="336" t="str">
        <v>WIP</v>
      </c>
    </row>
    <row r="95" spans="1:18" ht="12.5">
      <c r="A95" s="343" t="str">
        <v>Tulsi Ghee - 250gm</v>
      </c>
      <c r="B95" s="344" t="str">
        <v>Ghee</v>
      </c>
      <c r="C95" s="345">
        <v>29</v>
      </c>
      <c r="D95" s="345">
        <v>0</v>
      </c>
      <c r="E95" s="345">
        <v>0</v>
      </c>
      <c r="F95" s="345">
        <v>0</v>
      </c>
      <c r="G95" s="345">
        <v>0</v>
      </c>
      <c r="H95" s="345">
        <v>0</v>
      </c>
      <c r="I95" s="345">
        <v>0</v>
      </c>
      <c r="J95" s="345">
        <v>0</v>
      </c>
      <c r="K95" s="345">
        <v>29</v>
      </c>
      <c r="L95" s="345">
        <v>7.25</v>
      </c>
      <c r="M95" s="346">
        <v>0.61333333333333329</v>
      </c>
      <c r="N95" s="344">
        <v>54</v>
      </c>
      <c r="O95" s="347">
        <v>21.6</v>
      </c>
      <c r="P95" s="344" t="str">
        <v>P3 – Normal</v>
      </c>
      <c r="Q95" s="344">
        <v>46</v>
      </c>
      <c r="R95" s="348" t="str">
        <v/>
      </c>
    </row>
  </sheetData>
  <conditionalFormatting sqref="E59:J75">
    <cfRule type="cellIs" dxfId="6" priority="8" stopIfTrue="1" operator="lessThan">
      <formula>0</formula>
    </cfRule>
  </conditionalFormatting>
  <conditionalFormatting sqref="C59:D75">
    <cfRule type="cellIs" dxfId="5" priority="7" stopIfTrue="1" operator="greaterThan">
      <formula>0</formula>
    </cfRule>
  </conditionalFormatting>
  <conditionalFormatting sqref="V2:V18">
    <cfRule type="expression" dxfId="4" priority="12" stopIfTrue="1">
      <formula>V2="P1 – Critical"</formula>
    </cfRule>
  </conditionalFormatting>
  <conditionalFormatting sqref="V2:V18">
    <cfRule type="expression" dxfId="3" priority="13" stopIfTrue="1">
      <formula>V2="P2 – High"</formula>
    </cfRule>
  </conditionalFormatting>
  <conditionalFormatting sqref="P59:P75">
    <cfRule type="expression" dxfId="2" priority="9" stopIfTrue="1">
      <formula>NOT(ISERROR(SEARCH("critical",P59)))</formula>
    </cfRule>
  </conditionalFormatting>
  <conditionalFormatting sqref="P59:P75">
    <cfRule type="expression" dxfId="1" priority="10" stopIfTrue="1">
      <formula>NOT(ISERROR(SEARCH("high",P59)))</formula>
    </cfRule>
  </conditionalFormatting>
  <conditionalFormatting sqref="P59:P75">
    <cfRule type="expression" dxfId="0" priority="11" stopIfTrue="1">
      <formula>NOT(ISERROR(SEARCH("normal",P59)))</formula>
    </cfRule>
  </conditionalFormatting>
  <pageMargins left="0.70000000000000007" right="0.70000000000000007" top="0.75" bottom="0.75" header="0.30000000000000004" footer="0.30000000000000004"/>
  <tableParts count="5">
    <tablePart r:id="rId1"/>
    <tablePart r:id="rId2"/>
    <tablePart r:id="rId3"/>
    <tablePart r:id="rId4"/>
    <tablePart r:id="rId5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3E838-6017-41C5-AE97-F3BF0CE3B73F}">
  <dimension ref="A1:AI511"/>
  <sheetViews>
    <sheetView workbookViewId="0"/>
  </sheetViews>
  <sheetFormatPr defaultRowHeight="12.65"/>
  <cols>
    <col min="1" max="1" width="20.453125" bestFit="1" customWidth="1"/>
    <col min="2" max="2" width="38.26953125" customWidth="1"/>
    <col min="3" max="3" width="9.08984375" bestFit="1" customWidth="1"/>
    <col min="4" max="5" width="7.08984375" bestFit="1" customWidth="1"/>
    <col min="6" max="6" width="10.08984375" bestFit="1" customWidth="1"/>
    <col min="7" max="7" width="13.08984375" bestFit="1" customWidth="1"/>
    <col min="8" max="8" width="10.08984375" bestFit="1" customWidth="1"/>
    <col min="9" max="9" width="12.54296875" bestFit="1" customWidth="1"/>
    <col min="10" max="10" width="14.81640625" bestFit="1" customWidth="1"/>
    <col min="11" max="11" width="23.7265625" bestFit="1" customWidth="1"/>
    <col min="12" max="12" width="9.6328125" bestFit="1" customWidth="1"/>
    <col min="13" max="13" width="10.6328125" bestFit="1" customWidth="1"/>
    <col min="14" max="14" width="13.1796875" bestFit="1" customWidth="1"/>
    <col min="15" max="15" width="12.54296875" bestFit="1" customWidth="1"/>
    <col min="16" max="16" width="10.90625" bestFit="1" customWidth="1"/>
    <col min="17" max="17" width="18.54296875" bestFit="1" customWidth="1"/>
    <col min="18" max="18" width="20" bestFit="1" customWidth="1"/>
    <col min="19" max="19" width="11.453125" bestFit="1" customWidth="1"/>
    <col min="20" max="20" width="9.90625" bestFit="1" customWidth="1"/>
    <col min="21" max="21" width="14.26953125" bestFit="1" customWidth="1"/>
    <col min="22" max="22" width="13.08984375" bestFit="1" customWidth="1"/>
    <col min="23" max="23" width="15.54296875" bestFit="1" customWidth="1"/>
    <col min="24" max="24" width="11.26953125" bestFit="1" customWidth="1"/>
    <col min="25" max="25" width="18" bestFit="1" customWidth="1"/>
    <col min="26" max="26" width="16.7265625" bestFit="1" customWidth="1"/>
    <col min="27" max="27" width="12.90625" bestFit="1" customWidth="1"/>
    <col min="28" max="28" width="19.6328125" bestFit="1" customWidth="1"/>
    <col min="29" max="29" width="12.26953125" bestFit="1" customWidth="1"/>
    <col min="30" max="30" width="16.6328125" bestFit="1" customWidth="1"/>
    <col min="31" max="31" width="9" bestFit="1" customWidth="1"/>
    <col min="32" max="32" width="11.453125" bestFit="1" customWidth="1"/>
    <col min="33" max="33" width="11.26953125" bestFit="1" customWidth="1"/>
    <col min="34" max="34" width="9.26953125" bestFit="1" customWidth="1"/>
    <col min="35" max="35" width="14.81640625" bestFit="1" customWidth="1"/>
    <col min="36" max="36" width="8.7265625" customWidth="1"/>
  </cols>
  <sheetData>
    <row r="1" spans="1:35" s="349" customFormat="1" ht="13">
      <c r="A1" s="349" t="s">
        <v>1898</v>
      </c>
      <c r="B1" s="349" t="s">
        <v>60</v>
      </c>
      <c r="C1" s="349" t="s">
        <v>6</v>
      </c>
      <c r="D1" s="349" t="s">
        <v>107</v>
      </c>
      <c r="E1" s="349" t="s">
        <v>109</v>
      </c>
      <c r="F1" s="349" t="s">
        <v>52</v>
      </c>
      <c r="G1" s="349" t="s">
        <v>1899</v>
      </c>
      <c r="H1" s="349" t="s">
        <v>1900</v>
      </c>
      <c r="I1" s="349" t="s">
        <v>1901</v>
      </c>
      <c r="J1" s="349" t="s">
        <v>1902</v>
      </c>
      <c r="K1" s="349" t="s">
        <v>63</v>
      </c>
      <c r="L1" s="349" t="s">
        <v>1876</v>
      </c>
      <c r="M1" s="349" t="s">
        <v>1903</v>
      </c>
      <c r="N1" s="349" t="s">
        <v>1904</v>
      </c>
      <c r="O1" s="349" t="s">
        <v>1905</v>
      </c>
      <c r="P1" s="349" t="s">
        <v>1906</v>
      </c>
      <c r="Q1" s="349" t="s">
        <v>1907</v>
      </c>
      <c r="R1" s="349" t="s">
        <v>1908</v>
      </c>
      <c r="S1" s="349" t="s">
        <v>1909</v>
      </c>
      <c r="T1" s="349" t="s">
        <v>1910</v>
      </c>
      <c r="U1" s="349" t="s">
        <v>1911</v>
      </c>
      <c r="V1" s="349" t="s">
        <v>1912</v>
      </c>
      <c r="W1" s="349" t="s">
        <v>1913</v>
      </c>
      <c r="X1" s="349" t="s">
        <v>61</v>
      </c>
      <c r="Y1" s="349" t="s">
        <v>1914</v>
      </c>
      <c r="Z1" s="349" t="s">
        <v>1915</v>
      </c>
      <c r="AA1" s="349" t="s">
        <v>1916</v>
      </c>
      <c r="AB1" s="349" t="s">
        <v>1917</v>
      </c>
      <c r="AC1" s="349" t="s">
        <v>1918</v>
      </c>
      <c r="AD1" s="349" t="s">
        <v>1919</v>
      </c>
      <c r="AE1" s="349" t="s">
        <v>1920</v>
      </c>
      <c r="AF1" s="349" t="s">
        <v>1921</v>
      </c>
      <c r="AG1" s="349" t="s">
        <v>1922</v>
      </c>
      <c r="AH1" s="349" t="s">
        <v>1923</v>
      </c>
      <c r="AI1" s="349" t="s">
        <v>1924</v>
      </c>
    </row>
    <row r="2" spans="1:35" ht="12.5">
      <c r="A2" t="s">
        <v>79</v>
      </c>
      <c r="B2" t="s">
        <v>37</v>
      </c>
      <c r="C2" t="s">
        <v>12</v>
      </c>
      <c r="E2">
        <v>0.5</v>
      </c>
      <c r="F2" t="s">
        <v>56</v>
      </c>
      <c r="G2">
        <v>3</v>
      </c>
      <c r="H2">
        <v>0</v>
      </c>
      <c r="I2" t="s">
        <v>1925</v>
      </c>
      <c r="J2" t="s">
        <v>1926</v>
      </c>
      <c r="K2" t="s">
        <v>1927</v>
      </c>
      <c r="L2" s="350">
        <v>46227</v>
      </c>
      <c r="M2">
        <v>1</v>
      </c>
      <c r="N2">
        <v>24</v>
      </c>
      <c r="O2" s="351">
        <v>46204</v>
      </c>
      <c r="P2">
        <v>1</v>
      </c>
      <c r="Q2" s="287">
        <v>660</v>
      </c>
      <c r="R2" s="287">
        <v>1543.56</v>
      </c>
      <c r="S2" s="287">
        <v>1</v>
      </c>
      <c r="T2" s="287">
        <v>38589</v>
      </c>
      <c r="U2" s="287">
        <v>10982</v>
      </c>
      <c r="V2" s="287">
        <v>27607</v>
      </c>
      <c r="W2" s="287">
        <v>7811</v>
      </c>
      <c r="X2" s="287">
        <v>6.0724558812096703</v>
      </c>
      <c r="Y2" s="287">
        <v>28190</v>
      </c>
      <c r="Z2" s="287">
        <v>0</v>
      </c>
      <c r="AA2" s="287">
        <v>3210</v>
      </c>
      <c r="AB2" s="287">
        <v>4179</v>
      </c>
      <c r="AC2" s="287">
        <v>0</v>
      </c>
      <c r="AD2" s="287">
        <v>0</v>
      </c>
      <c r="AE2" s="287">
        <v>0</v>
      </c>
      <c r="AF2" s="287">
        <v>3010</v>
      </c>
      <c r="AG2" s="287">
        <v>7</v>
      </c>
      <c r="AH2" s="287">
        <v>3</v>
      </c>
      <c r="AI2" t="s">
        <v>12</v>
      </c>
    </row>
    <row r="3" spans="1:35" ht="12.5">
      <c r="A3" t="s">
        <v>79</v>
      </c>
      <c r="B3" t="s">
        <v>37</v>
      </c>
      <c r="C3" t="s">
        <v>12</v>
      </c>
      <c r="E3">
        <v>0.5</v>
      </c>
      <c r="F3" t="s">
        <v>56</v>
      </c>
      <c r="G3">
        <v>3</v>
      </c>
      <c r="H3">
        <v>0</v>
      </c>
      <c r="I3" t="s">
        <v>1925</v>
      </c>
      <c r="J3" t="s">
        <v>1926</v>
      </c>
      <c r="K3" t="s">
        <v>1927</v>
      </c>
      <c r="L3" s="350">
        <v>46228</v>
      </c>
      <c r="M3">
        <v>2</v>
      </c>
      <c r="N3">
        <v>25</v>
      </c>
      <c r="O3" s="351">
        <v>46204</v>
      </c>
      <c r="P3">
        <v>1</v>
      </c>
      <c r="Q3">
        <v>1223</v>
      </c>
      <c r="R3">
        <v>1543.56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7</v>
      </c>
      <c r="AH3">
        <v>3</v>
      </c>
      <c r="AI3" t="s">
        <v>12</v>
      </c>
    </row>
    <row r="4" spans="1:35" ht="12.5">
      <c r="A4" t="s">
        <v>79</v>
      </c>
      <c r="B4" t="s">
        <v>37</v>
      </c>
      <c r="C4" t="s">
        <v>12</v>
      </c>
      <c r="E4">
        <v>0.5</v>
      </c>
      <c r="F4" t="s">
        <v>56</v>
      </c>
      <c r="G4">
        <v>3</v>
      </c>
      <c r="H4">
        <v>0</v>
      </c>
      <c r="I4" t="s">
        <v>1925</v>
      </c>
      <c r="J4" t="s">
        <v>1926</v>
      </c>
      <c r="K4" t="s">
        <v>1927</v>
      </c>
      <c r="L4" s="350">
        <v>46229</v>
      </c>
      <c r="M4">
        <v>3</v>
      </c>
      <c r="N4">
        <v>26</v>
      </c>
      <c r="O4" s="351">
        <v>46204</v>
      </c>
      <c r="P4">
        <v>1</v>
      </c>
      <c r="Q4">
        <v>0</v>
      </c>
      <c r="R4">
        <v>1543.56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7</v>
      </c>
      <c r="AH4">
        <v>3</v>
      </c>
      <c r="AI4" t="s">
        <v>12</v>
      </c>
    </row>
    <row r="5" spans="1:35" ht="12.5">
      <c r="A5" t="s">
        <v>79</v>
      </c>
      <c r="B5" t="s">
        <v>37</v>
      </c>
      <c r="C5" t="s">
        <v>12</v>
      </c>
      <c r="E5">
        <v>0.5</v>
      </c>
      <c r="F5" t="s">
        <v>56</v>
      </c>
      <c r="G5">
        <v>3</v>
      </c>
      <c r="H5">
        <v>0</v>
      </c>
      <c r="I5" t="s">
        <v>1925</v>
      </c>
      <c r="J5" t="s">
        <v>1926</v>
      </c>
      <c r="K5" t="s">
        <v>1927</v>
      </c>
      <c r="L5" s="350">
        <v>46230</v>
      </c>
      <c r="M5">
        <v>4</v>
      </c>
      <c r="N5">
        <v>27</v>
      </c>
      <c r="O5" s="351">
        <v>46204</v>
      </c>
      <c r="P5">
        <v>1</v>
      </c>
      <c r="Q5">
        <v>960</v>
      </c>
      <c r="R5">
        <v>1543.56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7</v>
      </c>
      <c r="AH5">
        <v>3</v>
      </c>
      <c r="AI5" t="s">
        <v>12</v>
      </c>
    </row>
    <row r="6" spans="1:35" ht="12.5">
      <c r="A6" t="s">
        <v>79</v>
      </c>
      <c r="B6" t="s">
        <v>37</v>
      </c>
      <c r="C6" t="s">
        <v>12</v>
      </c>
      <c r="E6">
        <v>0.5</v>
      </c>
      <c r="F6" t="s">
        <v>56</v>
      </c>
      <c r="G6">
        <v>3</v>
      </c>
      <c r="H6">
        <v>0</v>
      </c>
      <c r="I6" t="s">
        <v>1925</v>
      </c>
      <c r="J6" t="s">
        <v>1926</v>
      </c>
      <c r="K6" t="s">
        <v>1927</v>
      </c>
      <c r="L6" s="350">
        <v>46231</v>
      </c>
      <c r="M6">
        <v>5</v>
      </c>
      <c r="N6">
        <v>28</v>
      </c>
      <c r="O6" s="351">
        <v>46204</v>
      </c>
      <c r="P6">
        <v>1</v>
      </c>
      <c r="Q6">
        <v>1577</v>
      </c>
      <c r="R6">
        <v>1543.56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7</v>
      </c>
      <c r="AH6">
        <v>3</v>
      </c>
      <c r="AI6" t="s">
        <v>12</v>
      </c>
    </row>
    <row r="7" spans="1:35" ht="12.5">
      <c r="A7" t="s">
        <v>79</v>
      </c>
      <c r="B7" t="s">
        <v>37</v>
      </c>
      <c r="C7" t="s">
        <v>12</v>
      </c>
      <c r="E7">
        <v>0.5</v>
      </c>
      <c r="F7" t="s">
        <v>56</v>
      </c>
      <c r="G7">
        <v>3</v>
      </c>
      <c r="H7">
        <v>0</v>
      </c>
      <c r="I7" t="s">
        <v>1925</v>
      </c>
      <c r="J7" t="s">
        <v>1926</v>
      </c>
      <c r="K7" t="s">
        <v>1927</v>
      </c>
      <c r="L7" s="350">
        <v>46232</v>
      </c>
      <c r="M7">
        <v>6</v>
      </c>
      <c r="N7">
        <v>29</v>
      </c>
      <c r="O7" s="351">
        <v>46204</v>
      </c>
      <c r="P7">
        <v>1</v>
      </c>
      <c r="Q7">
        <v>180</v>
      </c>
      <c r="R7">
        <v>1543.56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7</v>
      </c>
      <c r="AH7">
        <v>3</v>
      </c>
      <c r="AI7" t="s">
        <v>12</v>
      </c>
    </row>
    <row r="8" spans="1:35" ht="12.5">
      <c r="A8" t="s">
        <v>79</v>
      </c>
      <c r="B8" t="s">
        <v>37</v>
      </c>
      <c r="C8" t="s">
        <v>12</v>
      </c>
      <c r="E8">
        <v>0.5</v>
      </c>
      <c r="F8" t="s">
        <v>56</v>
      </c>
      <c r="G8">
        <v>3</v>
      </c>
      <c r="H8">
        <v>0</v>
      </c>
      <c r="I8" t="s">
        <v>1925</v>
      </c>
      <c r="J8" t="s">
        <v>1926</v>
      </c>
      <c r="K8" t="s">
        <v>1927</v>
      </c>
      <c r="L8" s="350">
        <v>46233</v>
      </c>
      <c r="M8">
        <v>7</v>
      </c>
      <c r="N8">
        <v>30</v>
      </c>
      <c r="O8" s="351">
        <v>46204</v>
      </c>
      <c r="P8">
        <v>1</v>
      </c>
      <c r="Q8">
        <v>1630</v>
      </c>
      <c r="R8">
        <v>1543.56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7</v>
      </c>
      <c r="AH8">
        <v>3</v>
      </c>
      <c r="AI8" t="s">
        <v>12</v>
      </c>
    </row>
    <row r="9" spans="1:35" ht="12.5">
      <c r="A9" t="s">
        <v>79</v>
      </c>
      <c r="B9" t="s">
        <v>37</v>
      </c>
      <c r="C9" t="s">
        <v>12</v>
      </c>
      <c r="E9">
        <v>0.5</v>
      </c>
      <c r="F9" t="s">
        <v>56</v>
      </c>
      <c r="G9">
        <v>3</v>
      </c>
      <c r="H9">
        <v>0</v>
      </c>
      <c r="I9" t="s">
        <v>1925</v>
      </c>
      <c r="J9" t="s">
        <v>1926</v>
      </c>
      <c r="K9" t="s">
        <v>1927</v>
      </c>
      <c r="L9" s="350">
        <v>46234</v>
      </c>
      <c r="M9">
        <v>8</v>
      </c>
      <c r="N9">
        <v>31</v>
      </c>
      <c r="O9" s="351">
        <v>46204</v>
      </c>
      <c r="P9">
        <v>1</v>
      </c>
      <c r="Q9">
        <v>1450</v>
      </c>
      <c r="R9">
        <v>1543.56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7</v>
      </c>
      <c r="AH9">
        <v>3</v>
      </c>
      <c r="AI9" t="s">
        <v>12</v>
      </c>
    </row>
    <row r="10" spans="1:35" ht="12.5">
      <c r="A10" t="s">
        <v>79</v>
      </c>
      <c r="B10" t="s">
        <v>37</v>
      </c>
      <c r="C10" t="s">
        <v>12</v>
      </c>
      <c r="E10">
        <v>0.5</v>
      </c>
      <c r="F10" t="s">
        <v>56</v>
      </c>
      <c r="G10">
        <v>3</v>
      </c>
      <c r="H10">
        <v>0</v>
      </c>
      <c r="I10" t="s">
        <v>1925</v>
      </c>
      <c r="J10" t="s">
        <v>1926</v>
      </c>
      <c r="K10" t="s">
        <v>1927</v>
      </c>
      <c r="L10" s="350">
        <v>46235</v>
      </c>
      <c r="M10">
        <v>9</v>
      </c>
      <c r="N10">
        <v>1</v>
      </c>
      <c r="O10" s="351">
        <v>46235</v>
      </c>
      <c r="P10">
        <v>1</v>
      </c>
      <c r="Q10">
        <v>693</v>
      </c>
      <c r="R10">
        <v>1543.56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7</v>
      </c>
      <c r="AH10">
        <v>3</v>
      </c>
      <c r="AI10" t="s">
        <v>12</v>
      </c>
    </row>
    <row r="11" spans="1:35" ht="12.5">
      <c r="A11" t="s">
        <v>79</v>
      </c>
      <c r="B11" t="s">
        <v>37</v>
      </c>
      <c r="C11" t="s">
        <v>12</v>
      </c>
      <c r="E11">
        <v>0.5</v>
      </c>
      <c r="F11" t="s">
        <v>56</v>
      </c>
      <c r="G11">
        <v>3</v>
      </c>
      <c r="H11">
        <v>0</v>
      </c>
      <c r="I11" t="s">
        <v>1925</v>
      </c>
      <c r="J11" t="s">
        <v>1926</v>
      </c>
      <c r="K11" t="s">
        <v>1927</v>
      </c>
      <c r="L11" s="350">
        <v>46236</v>
      </c>
      <c r="M11">
        <v>10</v>
      </c>
      <c r="N11">
        <v>2</v>
      </c>
      <c r="O11" s="351">
        <v>46235</v>
      </c>
      <c r="P11">
        <v>1</v>
      </c>
      <c r="Q11">
        <v>0</v>
      </c>
      <c r="R11">
        <v>1543.56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7</v>
      </c>
      <c r="AH11">
        <v>3</v>
      </c>
      <c r="AI11" t="s">
        <v>12</v>
      </c>
    </row>
    <row r="12" spans="1:35" ht="12.5">
      <c r="A12" t="s">
        <v>79</v>
      </c>
      <c r="B12" t="s">
        <v>37</v>
      </c>
      <c r="C12" t="s">
        <v>12</v>
      </c>
      <c r="E12">
        <v>0.5</v>
      </c>
      <c r="F12" t="s">
        <v>56</v>
      </c>
      <c r="G12">
        <v>3</v>
      </c>
      <c r="H12">
        <v>0</v>
      </c>
      <c r="I12" t="s">
        <v>1925</v>
      </c>
      <c r="J12" t="s">
        <v>1926</v>
      </c>
      <c r="K12" t="s">
        <v>1927</v>
      </c>
      <c r="L12" s="350">
        <v>46237</v>
      </c>
      <c r="M12">
        <v>11</v>
      </c>
      <c r="N12">
        <v>3</v>
      </c>
      <c r="O12" s="351">
        <v>46235</v>
      </c>
      <c r="P12">
        <v>1</v>
      </c>
      <c r="Q12">
        <v>0</v>
      </c>
      <c r="R12">
        <v>1543.56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7</v>
      </c>
      <c r="AH12">
        <v>3</v>
      </c>
      <c r="AI12" t="s">
        <v>12</v>
      </c>
    </row>
    <row r="13" spans="1:35" ht="12.5">
      <c r="A13" t="s">
        <v>79</v>
      </c>
      <c r="B13" t="s">
        <v>37</v>
      </c>
      <c r="C13" t="s">
        <v>12</v>
      </c>
      <c r="E13">
        <v>0.5</v>
      </c>
      <c r="F13" t="s">
        <v>56</v>
      </c>
      <c r="G13">
        <v>3</v>
      </c>
      <c r="H13">
        <v>0</v>
      </c>
      <c r="I13" t="s">
        <v>1925</v>
      </c>
      <c r="J13" t="s">
        <v>1926</v>
      </c>
      <c r="K13" t="s">
        <v>1927</v>
      </c>
      <c r="L13" s="350">
        <v>46238</v>
      </c>
      <c r="M13">
        <v>12</v>
      </c>
      <c r="N13">
        <v>4</v>
      </c>
      <c r="O13" s="351">
        <v>46235</v>
      </c>
      <c r="P13">
        <v>0</v>
      </c>
      <c r="Q13">
        <v>0</v>
      </c>
      <c r="R13">
        <v>1543.56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7</v>
      </c>
      <c r="AH13">
        <v>3</v>
      </c>
      <c r="AI13" t="s">
        <v>12</v>
      </c>
    </row>
    <row r="14" spans="1:35" ht="12.5">
      <c r="A14" t="s">
        <v>79</v>
      </c>
      <c r="B14" t="s">
        <v>37</v>
      </c>
      <c r="C14" t="s">
        <v>12</v>
      </c>
      <c r="E14">
        <v>0.5</v>
      </c>
      <c r="F14" t="s">
        <v>56</v>
      </c>
      <c r="G14">
        <v>3</v>
      </c>
      <c r="H14">
        <v>0</v>
      </c>
      <c r="I14" t="s">
        <v>1925</v>
      </c>
      <c r="J14" t="s">
        <v>1926</v>
      </c>
      <c r="K14" t="s">
        <v>1927</v>
      </c>
      <c r="L14" s="350">
        <v>46239</v>
      </c>
      <c r="M14">
        <v>13</v>
      </c>
      <c r="N14">
        <v>5</v>
      </c>
      <c r="O14" s="351">
        <v>46235</v>
      </c>
      <c r="P14">
        <v>0</v>
      </c>
      <c r="Q14">
        <v>0</v>
      </c>
      <c r="R14">
        <v>1543.56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7</v>
      </c>
      <c r="AH14">
        <v>3</v>
      </c>
      <c r="AI14" t="s">
        <v>12</v>
      </c>
    </row>
    <row r="15" spans="1:35" ht="12.5">
      <c r="A15" t="s">
        <v>79</v>
      </c>
      <c r="B15" t="s">
        <v>37</v>
      </c>
      <c r="C15" t="s">
        <v>12</v>
      </c>
      <c r="E15">
        <v>0.5</v>
      </c>
      <c r="F15" t="s">
        <v>56</v>
      </c>
      <c r="G15">
        <v>3</v>
      </c>
      <c r="H15">
        <v>0</v>
      </c>
      <c r="I15" t="s">
        <v>1925</v>
      </c>
      <c r="J15" t="s">
        <v>1926</v>
      </c>
      <c r="K15" t="s">
        <v>1927</v>
      </c>
      <c r="L15" s="350">
        <v>46240</v>
      </c>
      <c r="M15">
        <v>14</v>
      </c>
      <c r="N15">
        <v>6</v>
      </c>
      <c r="O15" s="351">
        <v>46235</v>
      </c>
      <c r="P15">
        <v>0</v>
      </c>
      <c r="Q15">
        <v>0</v>
      </c>
      <c r="R15">
        <v>1543.56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7</v>
      </c>
      <c r="AH15">
        <v>3</v>
      </c>
      <c r="AI15" t="s">
        <v>12</v>
      </c>
    </row>
    <row r="16" spans="1:35" ht="12.5">
      <c r="A16" t="s">
        <v>79</v>
      </c>
      <c r="B16" t="s">
        <v>37</v>
      </c>
      <c r="C16" t="s">
        <v>12</v>
      </c>
      <c r="E16">
        <v>0.5</v>
      </c>
      <c r="F16" t="s">
        <v>56</v>
      </c>
      <c r="G16">
        <v>3</v>
      </c>
      <c r="H16">
        <v>0</v>
      </c>
      <c r="I16" t="s">
        <v>1925</v>
      </c>
      <c r="J16" t="s">
        <v>1926</v>
      </c>
      <c r="K16" t="s">
        <v>1927</v>
      </c>
      <c r="L16" s="350">
        <v>46241</v>
      </c>
      <c r="M16">
        <v>15</v>
      </c>
      <c r="N16">
        <v>7</v>
      </c>
      <c r="O16" s="351">
        <v>46235</v>
      </c>
      <c r="P16">
        <v>0</v>
      </c>
      <c r="Q16">
        <v>0</v>
      </c>
      <c r="R16">
        <v>1543.56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7</v>
      </c>
      <c r="AH16">
        <v>3</v>
      </c>
      <c r="AI16" t="s">
        <v>12</v>
      </c>
    </row>
    <row r="17" spans="1:35" ht="12.5">
      <c r="A17" t="s">
        <v>79</v>
      </c>
      <c r="B17" t="s">
        <v>37</v>
      </c>
      <c r="C17" t="s">
        <v>12</v>
      </c>
      <c r="E17">
        <v>0.5</v>
      </c>
      <c r="F17" t="s">
        <v>56</v>
      </c>
      <c r="G17">
        <v>3</v>
      </c>
      <c r="H17">
        <v>0</v>
      </c>
      <c r="I17" t="s">
        <v>1925</v>
      </c>
      <c r="J17" t="s">
        <v>1926</v>
      </c>
      <c r="K17" t="s">
        <v>1927</v>
      </c>
      <c r="L17" s="350">
        <v>46242</v>
      </c>
      <c r="M17">
        <v>16</v>
      </c>
      <c r="N17">
        <v>8</v>
      </c>
      <c r="O17" s="351">
        <v>46235</v>
      </c>
      <c r="P17">
        <v>0</v>
      </c>
      <c r="Q17">
        <v>0</v>
      </c>
      <c r="R17">
        <v>1543.56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7</v>
      </c>
      <c r="AH17">
        <v>3</v>
      </c>
      <c r="AI17" t="s">
        <v>12</v>
      </c>
    </row>
    <row r="18" spans="1:35" ht="12.5">
      <c r="A18" t="s">
        <v>79</v>
      </c>
      <c r="B18" t="s">
        <v>37</v>
      </c>
      <c r="C18" t="s">
        <v>12</v>
      </c>
      <c r="E18">
        <v>0.5</v>
      </c>
      <c r="F18" t="s">
        <v>56</v>
      </c>
      <c r="G18">
        <v>3</v>
      </c>
      <c r="H18">
        <v>0</v>
      </c>
      <c r="I18" t="s">
        <v>1925</v>
      </c>
      <c r="J18" t="s">
        <v>1926</v>
      </c>
      <c r="K18" t="s">
        <v>1927</v>
      </c>
      <c r="L18" s="350">
        <v>46243</v>
      </c>
      <c r="M18">
        <v>17</v>
      </c>
      <c r="N18">
        <v>9</v>
      </c>
      <c r="O18" s="351">
        <v>46235</v>
      </c>
      <c r="P18">
        <v>0</v>
      </c>
      <c r="Q18">
        <v>0</v>
      </c>
      <c r="R18">
        <v>1543.56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7</v>
      </c>
      <c r="AH18">
        <v>3</v>
      </c>
      <c r="AI18" t="s">
        <v>12</v>
      </c>
    </row>
    <row r="19" spans="1:35" ht="12.5">
      <c r="A19" t="s">
        <v>79</v>
      </c>
      <c r="B19" t="s">
        <v>37</v>
      </c>
      <c r="C19" t="s">
        <v>12</v>
      </c>
      <c r="E19">
        <v>0.5</v>
      </c>
      <c r="F19" t="s">
        <v>56</v>
      </c>
      <c r="G19">
        <v>3</v>
      </c>
      <c r="H19">
        <v>0</v>
      </c>
      <c r="I19" t="s">
        <v>1925</v>
      </c>
      <c r="J19" t="s">
        <v>1926</v>
      </c>
      <c r="K19" t="s">
        <v>1927</v>
      </c>
      <c r="L19" s="350">
        <v>46244</v>
      </c>
      <c r="M19">
        <v>18</v>
      </c>
      <c r="N19">
        <v>10</v>
      </c>
      <c r="O19" s="351">
        <v>46235</v>
      </c>
      <c r="P19">
        <v>0</v>
      </c>
      <c r="Q19">
        <v>0</v>
      </c>
      <c r="R19">
        <v>1543.56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7</v>
      </c>
      <c r="AH19">
        <v>3</v>
      </c>
      <c r="AI19" t="s">
        <v>12</v>
      </c>
    </row>
    <row r="20" spans="1:35" ht="12.5">
      <c r="A20" t="s">
        <v>79</v>
      </c>
      <c r="B20" t="s">
        <v>37</v>
      </c>
      <c r="C20" t="s">
        <v>12</v>
      </c>
      <c r="E20">
        <v>0.5</v>
      </c>
      <c r="F20" t="s">
        <v>56</v>
      </c>
      <c r="G20">
        <v>3</v>
      </c>
      <c r="H20">
        <v>0</v>
      </c>
      <c r="I20" t="s">
        <v>1925</v>
      </c>
      <c r="J20" t="s">
        <v>1926</v>
      </c>
      <c r="K20" t="s">
        <v>1927</v>
      </c>
      <c r="L20" s="350">
        <v>46245</v>
      </c>
      <c r="M20">
        <v>19</v>
      </c>
      <c r="N20">
        <v>11</v>
      </c>
      <c r="O20" s="351">
        <v>46235</v>
      </c>
      <c r="P20">
        <v>0</v>
      </c>
      <c r="Q20">
        <v>0</v>
      </c>
      <c r="R20">
        <v>1543.56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7</v>
      </c>
      <c r="AH20">
        <v>3</v>
      </c>
      <c r="AI20" t="s">
        <v>12</v>
      </c>
    </row>
    <row r="21" spans="1:35" ht="12.5">
      <c r="A21" t="s">
        <v>79</v>
      </c>
      <c r="B21" t="s">
        <v>37</v>
      </c>
      <c r="C21" t="s">
        <v>12</v>
      </c>
      <c r="E21">
        <v>0.5</v>
      </c>
      <c r="F21" t="s">
        <v>56</v>
      </c>
      <c r="G21">
        <v>3</v>
      </c>
      <c r="H21">
        <v>0</v>
      </c>
      <c r="I21" t="s">
        <v>1925</v>
      </c>
      <c r="J21" t="s">
        <v>1926</v>
      </c>
      <c r="K21" t="s">
        <v>1927</v>
      </c>
      <c r="L21" s="350">
        <v>46246</v>
      </c>
      <c r="M21">
        <v>20</v>
      </c>
      <c r="N21">
        <v>12</v>
      </c>
      <c r="O21" s="351">
        <v>46235</v>
      </c>
      <c r="P21">
        <v>0</v>
      </c>
      <c r="Q21">
        <v>0</v>
      </c>
      <c r="R21">
        <v>1543.56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7</v>
      </c>
      <c r="AH21">
        <v>3</v>
      </c>
      <c r="AI21" t="s">
        <v>12</v>
      </c>
    </row>
    <row r="22" spans="1:35" ht="12.5">
      <c r="A22" t="s">
        <v>79</v>
      </c>
      <c r="B22" t="s">
        <v>37</v>
      </c>
      <c r="C22" t="s">
        <v>12</v>
      </c>
      <c r="E22">
        <v>0.5</v>
      </c>
      <c r="F22" t="s">
        <v>56</v>
      </c>
      <c r="G22">
        <v>3</v>
      </c>
      <c r="H22">
        <v>0</v>
      </c>
      <c r="I22" t="s">
        <v>1925</v>
      </c>
      <c r="J22" t="s">
        <v>1926</v>
      </c>
      <c r="K22" t="s">
        <v>1927</v>
      </c>
      <c r="L22" s="350">
        <v>46247</v>
      </c>
      <c r="M22">
        <v>21</v>
      </c>
      <c r="N22">
        <v>13</v>
      </c>
      <c r="O22" s="351">
        <v>46235</v>
      </c>
      <c r="P22">
        <v>0</v>
      </c>
      <c r="Q22">
        <v>0</v>
      </c>
      <c r="R22">
        <v>1543.56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7</v>
      </c>
      <c r="AH22">
        <v>3</v>
      </c>
      <c r="AI22" t="s">
        <v>12</v>
      </c>
    </row>
    <row r="23" spans="1:35" ht="12.5">
      <c r="A23" t="s">
        <v>79</v>
      </c>
      <c r="B23" t="s">
        <v>37</v>
      </c>
      <c r="C23" t="s">
        <v>12</v>
      </c>
      <c r="E23">
        <v>0.5</v>
      </c>
      <c r="F23" t="s">
        <v>56</v>
      </c>
      <c r="G23">
        <v>3</v>
      </c>
      <c r="H23">
        <v>0</v>
      </c>
      <c r="I23" t="s">
        <v>1925</v>
      </c>
      <c r="J23" t="s">
        <v>1926</v>
      </c>
      <c r="K23" t="s">
        <v>1927</v>
      </c>
      <c r="L23" s="350">
        <v>46248</v>
      </c>
      <c r="M23">
        <v>22</v>
      </c>
      <c r="N23">
        <v>14</v>
      </c>
      <c r="O23" s="351">
        <v>46235</v>
      </c>
      <c r="P23">
        <v>0</v>
      </c>
      <c r="Q23">
        <v>0</v>
      </c>
      <c r="R23">
        <v>1543.56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7</v>
      </c>
      <c r="AH23">
        <v>3</v>
      </c>
      <c r="AI23" t="s">
        <v>12</v>
      </c>
    </row>
    <row r="24" spans="1:35" ht="12.5">
      <c r="A24" t="s">
        <v>79</v>
      </c>
      <c r="B24" t="s">
        <v>37</v>
      </c>
      <c r="C24" t="s">
        <v>12</v>
      </c>
      <c r="E24">
        <v>0.5</v>
      </c>
      <c r="F24" t="s">
        <v>56</v>
      </c>
      <c r="G24">
        <v>3</v>
      </c>
      <c r="H24">
        <v>0</v>
      </c>
      <c r="I24" t="s">
        <v>1925</v>
      </c>
      <c r="J24" t="s">
        <v>1926</v>
      </c>
      <c r="K24" t="s">
        <v>1927</v>
      </c>
      <c r="L24" s="350">
        <v>46249</v>
      </c>
      <c r="M24">
        <v>23</v>
      </c>
      <c r="N24">
        <v>15</v>
      </c>
      <c r="O24" s="351">
        <v>46235</v>
      </c>
      <c r="P24">
        <v>0</v>
      </c>
      <c r="Q24">
        <v>458</v>
      </c>
      <c r="R24">
        <v>1543.56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7</v>
      </c>
      <c r="AH24">
        <v>3</v>
      </c>
      <c r="AI24" t="s">
        <v>12</v>
      </c>
    </row>
    <row r="25" spans="1:35" ht="12.5">
      <c r="A25" t="s">
        <v>79</v>
      </c>
      <c r="B25" t="s">
        <v>37</v>
      </c>
      <c r="C25" t="s">
        <v>12</v>
      </c>
      <c r="E25">
        <v>0.5</v>
      </c>
      <c r="F25" t="s">
        <v>56</v>
      </c>
      <c r="G25">
        <v>3</v>
      </c>
      <c r="H25">
        <v>0</v>
      </c>
      <c r="I25" t="s">
        <v>1925</v>
      </c>
      <c r="J25" t="s">
        <v>1926</v>
      </c>
      <c r="K25" t="s">
        <v>1927</v>
      </c>
      <c r="L25" s="350">
        <v>46250</v>
      </c>
      <c r="M25">
        <v>24</v>
      </c>
      <c r="N25">
        <v>16</v>
      </c>
      <c r="O25" s="351">
        <v>46235</v>
      </c>
      <c r="P25">
        <v>0</v>
      </c>
      <c r="Q25">
        <v>0</v>
      </c>
      <c r="R25">
        <v>1543.56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7</v>
      </c>
      <c r="AH25">
        <v>3</v>
      </c>
      <c r="AI25" t="s">
        <v>12</v>
      </c>
    </row>
    <row r="26" spans="1:35" ht="12.5">
      <c r="A26" t="s">
        <v>79</v>
      </c>
      <c r="B26" t="s">
        <v>37</v>
      </c>
      <c r="C26" t="s">
        <v>12</v>
      </c>
      <c r="E26">
        <v>0.5</v>
      </c>
      <c r="F26" t="s">
        <v>56</v>
      </c>
      <c r="G26">
        <v>3</v>
      </c>
      <c r="H26">
        <v>0</v>
      </c>
      <c r="I26" t="s">
        <v>1925</v>
      </c>
      <c r="J26" t="s">
        <v>1926</v>
      </c>
      <c r="K26" t="s">
        <v>1927</v>
      </c>
      <c r="L26" s="350">
        <v>46251</v>
      </c>
      <c r="M26">
        <v>25</v>
      </c>
      <c r="N26">
        <v>17</v>
      </c>
      <c r="O26" s="351">
        <v>46235</v>
      </c>
      <c r="P26">
        <v>0</v>
      </c>
      <c r="Q26">
        <v>726</v>
      </c>
      <c r="R26">
        <v>1543.56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7</v>
      </c>
      <c r="AH26">
        <v>3</v>
      </c>
      <c r="AI26" t="s">
        <v>12</v>
      </c>
    </row>
    <row r="27" spans="1:35" ht="12.5">
      <c r="A27" t="s">
        <v>79</v>
      </c>
      <c r="B27" t="s">
        <v>37</v>
      </c>
      <c r="C27" t="s">
        <v>12</v>
      </c>
      <c r="E27">
        <v>0.5</v>
      </c>
      <c r="F27" t="s">
        <v>56</v>
      </c>
      <c r="G27">
        <v>3</v>
      </c>
      <c r="H27">
        <v>0</v>
      </c>
      <c r="I27" t="s">
        <v>1925</v>
      </c>
      <c r="J27" t="s">
        <v>1926</v>
      </c>
      <c r="K27" t="s">
        <v>1927</v>
      </c>
      <c r="L27" s="350">
        <v>46252</v>
      </c>
      <c r="M27">
        <v>26</v>
      </c>
      <c r="N27">
        <v>18</v>
      </c>
      <c r="O27" s="351">
        <v>46235</v>
      </c>
      <c r="P27">
        <v>0</v>
      </c>
      <c r="Q27">
        <v>0</v>
      </c>
      <c r="R27">
        <v>1543.56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7</v>
      </c>
      <c r="AH27">
        <v>3</v>
      </c>
      <c r="AI27" t="s">
        <v>12</v>
      </c>
    </row>
    <row r="28" spans="1:35" ht="12.5">
      <c r="A28" t="s">
        <v>79</v>
      </c>
      <c r="B28" t="s">
        <v>37</v>
      </c>
      <c r="C28" t="s">
        <v>12</v>
      </c>
      <c r="E28">
        <v>0.5</v>
      </c>
      <c r="F28" t="s">
        <v>56</v>
      </c>
      <c r="G28">
        <v>3</v>
      </c>
      <c r="H28">
        <v>0</v>
      </c>
      <c r="I28" t="s">
        <v>1925</v>
      </c>
      <c r="J28" t="s">
        <v>1926</v>
      </c>
      <c r="K28" t="s">
        <v>1927</v>
      </c>
      <c r="L28" s="350">
        <v>46253</v>
      </c>
      <c r="M28">
        <v>27</v>
      </c>
      <c r="N28">
        <v>19</v>
      </c>
      <c r="O28" s="351">
        <v>46235</v>
      </c>
      <c r="P28">
        <v>0</v>
      </c>
      <c r="Q28">
        <v>0</v>
      </c>
      <c r="R28">
        <v>1543.56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7</v>
      </c>
      <c r="AH28">
        <v>3</v>
      </c>
      <c r="AI28" t="s">
        <v>12</v>
      </c>
    </row>
    <row r="29" spans="1:35" ht="12.5">
      <c r="A29" t="s">
        <v>79</v>
      </c>
      <c r="B29" t="s">
        <v>37</v>
      </c>
      <c r="C29" t="s">
        <v>12</v>
      </c>
      <c r="E29">
        <v>0.5</v>
      </c>
      <c r="F29" t="s">
        <v>56</v>
      </c>
      <c r="G29">
        <v>3</v>
      </c>
      <c r="H29">
        <v>0</v>
      </c>
      <c r="I29" t="s">
        <v>1925</v>
      </c>
      <c r="J29" t="s">
        <v>1926</v>
      </c>
      <c r="K29" t="s">
        <v>1927</v>
      </c>
      <c r="L29" s="350">
        <v>46254</v>
      </c>
      <c r="M29">
        <v>28</v>
      </c>
      <c r="N29">
        <v>20</v>
      </c>
      <c r="O29" s="351">
        <v>46235</v>
      </c>
      <c r="P29">
        <v>0</v>
      </c>
      <c r="Q29">
        <v>113</v>
      </c>
      <c r="R29">
        <v>1543.56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7</v>
      </c>
      <c r="AH29">
        <v>3</v>
      </c>
      <c r="AI29" t="s">
        <v>12</v>
      </c>
    </row>
    <row r="30" spans="1:35" ht="12.5">
      <c r="A30" t="s">
        <v>79</v>
      </c>
      <c r="B30" t="s">
        <v>37</v>
      </c>
      <c r="C30" t="s">
        <v>12</v>
      </c>
      <c r="E30">
        <v>0.5</v>
      </c>
      <c r="F30" t="s">
        <v>56</v>
      </c>
      <c r="G30">
        <v>3</v>
      </c>
      <c r="H30">
        <v>0</v>
      </c>
      <c r="I30" t="s">
        <v>1925</v>
      </c>
      <c r="J30" t="s">
        <v>1926</v>
      </c>
      <c r="K30" t="s">
        <v>1927</v>
      </c>
      <c r="L30" s="350">
        <v>46255</v>
      </c>
      <c r="M30">
        <v>29</v>
      </c>
      <c r="N30">
        <v>21</v>
      </c>
      <c r="O30" s="351">
        <v>46235</v>
      </c>
      <c r="P30">
        <v>0</v>
      </c>
      <c r="Q30">
        <v>352</v>
      </c>
      <c r="R30">
        <v>1543.56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7</v>
      </c>
      <c r="AH30">
        <v>3</v>
      </c>
      <c r="AI30" t="s">
        <v>12</v>
      </c>
    </row>
    <row r="31" spans="1:35" ht="12.5">
      <c r="A31" t="s">
        <v>79</v>
      </c>
      <c r="B31" t="s">
        <v>37</v>
      </c>
      <c r="C31" t="s">
        <v>12</v>
      </c>
      <c r="E31">
        <v>0.5</v>
      </c>
      <c r="F31" t="s">
        <v>56</v>
      </c>
      <c r="G31">
        <v>3</v>
      </c>
      <c r="H31">
        <v>0</v>
      </c>
      <c r="I31" t="s">
        <v>1925</v>
      </c>
      <c r="J31" t="s">
        <v>1926</v>
      </c>
      <c r="K31" t="s">
        <v>1927</v>
      </c>
      <c r="L31" s="350">
        <v>46256</v>
      </c>
      <c r="M31">
        <v>30</v>
      </c>
      <c r="N31">
        <v>22</v>
      </c>
      <c r="O31" s="351">
        <v>46235</v>
      </c>
      <c r="P31">
        <v>0</v>
      </c>
      <c r="Q31">
        <v>870</v>
      </c>
      <c r="R31">
        <v>1543.56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7</v>
      </c>
      <c r="AH31">
        <v>3</v>
      </c>
      <c r="AI31" t="s">
        <v>12</v>
      </c>
    </row>
    <row r="32" spans="1:35" ht="12.5">
      <c r="A32" t="s">
        <v>82</v>
      </c>
      <c r="B32" t="s">
        <v>44</v>
      </c>
      <c r="C32" t="s">
        <v>12</v>
      </c>
      <c r="E32">
        <v>0.25</v>
      </c>
      <c r="F32" t="s">
        <v>56</v>
      </c>
      <c r="G32">
        <v>3</v>
      </c>
      <c r="H32">
        <v>0</v>
      </c>
      <c r="I32" t="s">
        <v>1928</v>
      </c>
      <c r="J32" t="s">
        <v>1929</v>
      </c>
      <c r="L32" s="350">
        <v>46227</v>
      </c>
      <c r="M32">
        <v>1</v>
      </c>
      <c r="N32">
        <v>24</v>
      </c>
      <c r="O32" s="351">
        <v>46204</v>
      </c>
      <c r="P32">
        <v>1</v>
      </c>
      <c r="Q32">
        <v>398</v>
      </c>
      <c r="R32">
        <v>497.2</v>
      </c>
      <c r="S32">
        <v>1</v>
      </c>
      <c r="T32">
        <v>12430</v>
      </c>
      <c r="U32">
        <v>1343</v>
      </c>
      <c r="V32">
        <v>11087</v>
      </c>
      <c r="W32">
        <v>4031</v>
      </c>
      <c r="X32">
        <v>9.7288817377312995</v>
      </c>
      <c r="Y32">
        <v>12430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7</v>
      </c>
      <c r="AH32">
        <v>4</v>
      </c>
      <c r="AI32" t="s">
        <v>12</v>
      </c>
    </row>
    <row r="33" spans="1:35" ht="12.5">
      <c r="A33" t="s">
        <v>82</v>
      </c>
      <c r="B33" t="s">
        <v>44</v>
      </c>
      <c r="C33" t="s">
        <v>12</v>
      </c>
      <c r="E33">
        <v>0.25</v>
      </c>
      <c r="F33" t="s">
        <v>56</v>
      </c>
      <c r="G33">
        <v>3</v>
      </c>
      <c r="H33">
        <v>0</v>
      </c>
      <c r="I33" t="s">
        <v>1928</v>
      </c>
      <c r="J33" t="s">
        <v>1929</v>
      </c>
      <c r="L33" s="350">
        <v>46228</v>
      </c>
      <c r="M33">
        <v>2</v>
      </c>
      <c r="N33">
        <v>25</v>
      </c>
      <c r="O33" s="351">
        <v>46204</v>
      </c>
      <c r="P33">
        <v>1</v>
      </c>
      <c r="Q33">
        <v>765</v>
      </c>
      <c r="R33">
        <v>497.2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7</v>
      </c>
      <c r="AH33">
        <v>4</v>
      </c>
      <c r="AI33" t="s">
        <v>12</v>
      </c>
    </row>
    <row r="34" spans="1:35" ht="12.5">
      <c r="A34" t="s">
        <v>82</v>
      </c>
      <c r="B34" t="s">
        <v>44</v>
      </c>
      <c r="C34" t="s">
        <v>12</v>
      </c>
      <c r="E34">
        <v>0.25</v>
      </c>
      <c r="F34" t="s">
        <v>56</v>
      </c>
      <c r="G34">
        <v>3</v>
      </c>
      <c r="H34">
        <v>0</v>
      </c>
      <c r="I34" t="s">
        <v>1928</v>
      </c>
      <c r="J34" t="s">
        <v>1929</v>
      </c>
      <c r="L34" s="350">
        <v>46229</v>
      </c>
      <c r="M34">
        <v>3</v>
      </c>
      <c r="N34">
        <v>26</v>
      </c>
      <c r="O34" s="351">
        <v>46204</v>
      </c>
      <c r="P34">
        <v>1</v>
      </c>
      <c r="Q34">
        <v>0</v>
      </c>
      <c r="R34">
        <v>497.2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7</v>
      </c>
      <c r="AH34">
        <v>4</v>
      </c>
      <c r="AI34" t="s">
        <v>12</v>
      </c>
    </row>
    <row r="35" spans="1:35" ht="12.5">
      <c r="A35" t="s">
        <v>82</v>
      </c>
      <c r="B35" t="s">
        <v>44</v>
      </c>
      <c r="C35" t="s">
        <v>12</v>
      </c>
      <c r="E35">
        <v>0.25</v>
      </c>
      <c r="F35" t="s">
        <v>56</v>
      </c>
      <c r="G35">
        <v>3</v>
      </c>
      <c r="H35">
        <v>0</v>
      </c>
      <c r="I35" t="s">
        <v>1928</v>
      </c>
      <c r="J35" t="s">
        <v>1929</v>
      </c>
      <c r="L35" s="350">
        <v>46230</v>
      </c>
      <c r="M35">
        <v>4</v>
      </c>
      <c r="N35">
        <v>27</v>
      </c>
      <c r="O35" s="351">
        <v>46204</v>
      </c>
      <c r="P35">
        <v>1</v>
      </c>
      <c r="Q35">
        <v>180</v>
      </c>
      <c r="R35">
        <v>497.2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7</v>
      </c>
      <c r="AH35">
        <v>4</v>
      </c>
      <c r="AI35" t="s">
        <v>12</v>
      </c>
    </row>
    <row r="36" spans="1:35" ht="12.5">
      <c r="A36" t="s">
        <v>82</v>
      </c>
      <c r="B36" t="s">
        <v>44</v>
      </c>
      <c r="C36" t="s">
        <v>12</v>
      </c>
      <c r="E36">
        <v>0.25</v>
      </c>
      <c r="F36" t="s">
        <v>56</v>
      </c>
      <c r="G36">
        <v>3</v>
      </c>
      <c r="H36">
        <v>0</v>
      </c>
      <c r="I36" t="s">
        <v>1928</v>
      </c>
      <c r="J36" t="s">
        <v>1929</v>
      </c>
      <c r="L36" s="350">
        <v>46231</v>
      </c>
      <c r="M36">
        <v>5</v>
      </c>
      <c r="N36">
        <v>28</v>
      </c>
      <c r="O36" s="351">
        <v>46204</v>
      </c>
      <c r="P36">
        <v>1</v>
      </c>
      <c r="Q36">
        <v>0</v>
      </c>
      <c r="R36">
        <v>497.2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7</v>
      </c>
      <c r="AH36">
        <v>4</v>
      </c>
      <c r="AI36" t="s">
        <v>12</v>
      </c>
    </row>
    <row r="37" spans="1:35" ht="12.5">
      <c r="A37" t="s">
        <v>82</v>
      </c>
      <c r="B37" t="s">
        <v>44</v>
      </c>
      <c r="C37" t="s">
        <v>12</v>
      </c>
      <c r="E37">
        <v>0.25</v>
      </c>
      <c r="F37" t="s">
        <v>56</v>
      </c>
      <c r="G37">
        <v>3</v>
      </c>
      <c r="H37">
        <v>0</v>
      </c>
      <c r="I37" t="s">
        <v>1928</v>
      </c>
      <c r="J37" t="s">
        <v>1929</v>
      </c>
      <c r="L37" s="350">
        <v>46232</v>
      </c>
      <c r="M37">
        <v>6</v>
      </c>
      <c r="N37">
        <v>29</v>
      </c>
      <c r="O37" s="351">
        <v>46204</v>
      </c>
      <c r="P37">
        <v>1</v>
      </c>
      <c r="Q37">
        <v>0</v>
      </c>
      <c r="R37">
        <v>497.2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7</v>
      </c>
      <c r="AH37">
        <v>4</v>
      </c>
      <c r="AI37" t="s">
        <v>12</v>
      </c>
    </row>
    <row r="38" spans="1:35" ht="12.5">
      <c r="A38" t="s">
        <v>82</v>
      </c>
      <c r="B38" t="s">
        <v>44</v>
      </c>
      <c r="C38" t="s">
        <v>12</v>
      </c>
      <c r="E38">
        <v>0.25</v>
      </c>
      <c r="F38" t="s">
        <v>56</v>
      </c>
      <c r="G38">
        <v>3</v>
      </c>
      <c r="H38">
        <v>0</v>
      </c>
      <c r="I38" t="s">
        <v>1928</v>
      </c>
      <c r="J38" t="s">
        <v>1929</v>
      </c>
      <c r="L38" s="350">
        <v>46233</v>
      </c>
      <c r="M38">
        <v>7</v>
      </c>
      <c r="N38">
        <v>30</v>
      </c>
      <c r="O38" s="351">
        <v>46204</v>
      </c>
      <c r="P38">
        <v>1</v>
      </c>
      <c r="Q38">
        <v>0</v>
      </c>
      <c r="R38">
        <v>497.2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7</v>
      </c>
      <c r="AH38">
        <v>4</v>
      </c>
      <c r="AI38" t="s">
        <v>12</v>
      </c>
    </row>
    <row r="39" spans="1:35" ht="12.5">
      <c r="A39" t="s">
        <v>82</v>
      </c>
      <c r="B39" t="s">
        <v>44</v>
      </c>
      <c r="C39" t="s">
        <v>12</v>
      </c>
      <c r="E39">
        <v>0.25</v>
      </c>
      <c r="F39" t="s">
        <v>56</v>
      </c>
      <c r="G39">
        <v>3</v>
      </c>
      <c r="H39">
        <v>0</v>
      </c>
      <c r="I39" t="s">
        <v>1928</v>
      </c>
      <c r="J39" t="s">
        <v>1929</v>
      </c>
      <c r="L39" s="350">
        <v>46234</v>
      </c>
      <c r="M39">
        <v>8</v>
      </c>
      <c r="N39">
        <v>31</v>
      </c>
      <c r="O39" s="351">
        <v>46204</v>
      </c>
      <c r="P39">
        <v>1</v>
      </c>
      <c r="Q39">
        <v>0</v>
      </c>
      <c r="R39">
        <v>497.2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7</v>
      </c>
      <c r="AH39">
        <v>4</v>
      </c>
      <c r="AI39" t="s">
        <v>12</v>
      </c>
    </row>
    <row r="40" spans="1:35" ht="12.5">
      <c r="A40" t="s">
        <v>82</v>
      </c>
      <c r="B40" t="s">
        <v>44</v>
      </c>
      <c r="C40" t="s">
        <v>12</v>
      </c>
      <c r="E40">
        <v>0.25</v>
      </c>
      <c r="F40" t="s">
        <v>56</v>
      </c>
      <c r="G40">
        <v>3</v>
      </c>
      <c r="H40">
        <v>0</v>
      </c>
      <c r="I40" t="s">
        <v>1928</v>
      </c>
      <c r="J40" t="s">
        <v>1929</v>
      </c>
      <c r="L40" s="350">
        <v>46235</v>
      </c>
      <c r="M40">
        <v>9</v>
      </c>
      <c r="N40">
        <v>1</v>
      </c>
      <c r="O40" s="351">
        <v>46235</v>
      </c>
      <c r="P40">
        <v>1</v>
      </c>
      <c r="Q40">
        <v>0</v>
      </c>
      <c r="R40">
        <v>497.2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7</v>
      </c>
      <c r="AH40">
        <v>4</v>
      </c>
      <c r="AI40" t="s">
        <v>12</v>
      </c>
    </row>
    <row r="41" spans="1:35" ht="12.5">
      <c r="A41" t="s">
        <v>82</v>
      </c>
      <c r="B41" t="s">
        <v>44</v>
      </c>
      <c r="C41" t="s">
        <v>12</v>
      </c>
      <c r="E41">
        <v>0.25</v>
      </c>
      <c r="F41" t="s">
        <v>56</v>
      </c>
      <c r="G41">
        <v>3</v>
      </c>
      <c r="H41">
        <v>0</v>
      </c>
      <c r="I41" t="s">
        <v>1928</v>
      </c>
      <c r="J41" t="s">
        <v>1929</v>
      </c>
      <c r="L41" s="350">
        <v>46236</v>
      </c>
      <c r="M41">
        <v>10</v>
      </c>
      <c r="N41">
        <v>2</v>
      </c>
      <c r="O41" s="351">
        <v>46235</v>
      </c>
      <c r="P41">
        <v>1</v>
      </c>
      <c r="Q41">
        <v>0</v>
      </c>
      <c r="R41">
        <v>497.2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7</v>
      </c>
      <c r="AH41">
        <v>4</v>
      </c>
      <c r="AI41" t="s">
        <v>12</v>
      </c>
    </row>
    <row r="42" spans="1:35" ht="12.5">
      <c r="A42" t="s">
        <v>82</v>
      </c>
      <c r="B42" t="s">
        <v>44</v>
      </c>
      <c r="C42" t="s">
        <v>12</v>
      </c>
      <c r="E42">
        <v>0.25</v>
      </c>
      <c r="F42" t="s">
        <v>56</v>
      </c>
      <c r="G42">
        <v>3</v>
      </c>
      <c r="H42">
        <v>0</v>
      </c>
      <c r="I42" t="s">
        <v>1928</v>
      </c>
      <c r="J42" t="s">
        <v>1929</v>
      </c>
      <c r="L42" s="350">
        <v>46237</v>
      </c>
      <c r="M42">
        <v>11</v>
      </c>
      <c r="N42">
        <v>3</v>
      </c>
      <c r="O42" s="351">
        <v>46235</v>
      </c>
      <c r="P42">
        <v>1</v>
      </c>
      <c r="Q42">
        <v>0</v>
      </c>
      <c r="R42">
        <v>497.2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7</v>
      </c>
      <c r="AH42">
        <v>4</v>
      </c>
      <c r="AI42" t="s">
        <v>12</v>
      </c>
    </row>
    <row r="43" spans="1:35" ht="12.5">
      <c r="A43" t="s">
        <v>82</v>
      </c>
      <c r="B43" t="s">
        <v>44</v>
      </c>
      <c r="C43" t="s">
        <v>12</v>
      </c>
      <c r="E43">
        <v>0.25</v>
      </c>
      <c r="F43" t="s">
        <v>56</v>
      </c>
      <c r="G43">
        <v>3</v>
      </c>
      <c r="H43">
        <v>0</v>
      </c>
      <c r="I43" t="s">
        <v>1928</v>
      </c>
      <c r="J43" t="s">
        <v>1929</v>
      </c>
      <c r="L43" s="350">
        <v>46238</v>
      </c>
      <c r="M43">
        <v>12</v>
      </c>
      <c r="N43">
        <v>4</v>
      </c>
      <c r="O43" s="351">
        <v>46235</v>
      </c>
      <c r="P43">
        <v>0</v>
      </c>
      <c r="Q43">
        <v>0</v>
      </c>
      <c r="R43">
        <v>497.2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7</v>
      </c>
      <c r="AH43">
        <v>4</v>
      </c>
      <c r="AI43" t="s">
        <v>12</v>
      </c>
    </row>
    <row r="44" spans="1:35" ht="12.5">
      <c r="A44" t="s">
        <v>82</v>
      </c>
      <c r="B44" t="s">
        <v>44</v>
      </c>
      <c r="C44" t="s">
        <v>12</v>
      </c>
      <c r="E44">
        <v>0.25</v>
      </c>
      <c r="F44" t="s">
        <v>56</v>
      </c>
      <c r="G44">
        <v>3</v>
      </c>
      <c r="H44">
        <v>0</v>
      </c>
      <c r="I44" t="s">
        <v>1928</v>
      </c>
      <c r="J44" t="s">
        <v>1929</v>
      </c>
      <c r="L44" s="350">
        <v>46239</v>
      </c>
      <c r="M44">
        <v>13</v>
      </c>
      <c r="N44">
        <v>5</v>
      </c>
      <c r="O44" s="351">
        <v>46235</v>
      </c>
      <c r="P44">
        <v>0</v>
      </c>
      <c r="Q44">
        <v>0</v>
      </c>
      <c r="R44">
        <v>497.2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7</v>
      </c>
      <c r="AH44">
        <v>4</v>
      </c>
      <c r="AI44" t="s">
        <v>12</v>
      </c>
    </row>
    <row r="45" spans="1:35" ht="12.5">
      <c r="A45" t="s">
        <v>82</v>
      </c>
      <c r="B45" t="s">
        <v>44</v>
      </c>
      <c r="C45" t="s">
        <v>12</v>
      </c>
      <c r="E45">
        <v>0.25</v>
      </c>
      <c r="F45" t="s">
        <v>56</v>
      </c>
      <c r="G45">
        <v>3</v>
      </c>
      <c r="H45">
        <v>0</v>
      </c>
      <c r="I45" t="s">
        <v>1928</v>
      </c>
      <c r="J45" t="s">
        <v>1929</v>
      </c>
      <c r="L45" s="350">
        <v>46240</v>
      </c>
      <c r="M45">
        <v>14</v>
      </c>
      <c r="N45">
        <v>6</v>
      </c>
      <c r="O45" s="351">
        <v>46235</v>
      </c>
      <c r="P45">
        <v>0</v>
      </c>
      <c r="Q45">
        <v>0</v>
      </c>
      <c r="R45">
        <v>497.2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7</v>
      </c>
      <c r="AH45">
        <v>4</v>
      </c>
      <c r="AI45" t="s">
        <v>12</v>
      </c>
    </row>
    <row r="46" spans="1:35" ht="12.5">
      <c r="A46" t="s">
        <v>82</v>
      </c>
      <c r="B46" t="s">
        <v>44</v>
      </c>
      <c r="C46" t="s">
        <v>12</v>
      </c>
      <c r="E46">
        <v>0.25</v>
      </c>
      <c r="F46" t="s">
        <v>56</v>
      </c>
      <c r="G46">
        <v>3</v>
      </c>
      <c r="H46">
        <v>0</v>
      </c>
      <c r="I46" t="s">
        <v>1928</v>
      </c>
      <c r="J46" t="s">
        <v>1929</v>
      </c>
      <c r="L46" s="350">
        <v>46241</v>
      </c>
      <c r="M46">
        <v>15</v>
      </c>
      <c r="N46">
        <v>7</v>
      </c>
      <c r="O46" s="351">
        <v>46235</v>
      </c>
      <c r="P46">
        <v>0</v>
      </c>
      <c r="Q46">
        <v>0</v>
      </c>
      <c r="R46">
        <v>497.2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7</v>
      </c>
      <c r="AH46">
        <v>4</v>
      </c>
      <c r="AI46" t="s">
        <v>12</v>
      </c>
    </row>
    <row r="47" spans="1:35" ht="12.5">
      <c r="A47" t="s">
        <v>82</v>
      </c>
      <c r="B47" t="s">
        <v>44</v>
      </c>
      <c r="C47" t="s">
        <v>12</v>
      </c>
      <c r="E47">
        <v>0.25</v>
      </c>
      <c r="F47" t="s">
        <v>56</v>
      </c>
      <c r="G47">
        <v>3</v>
      </c>
      <c r="H47">
        <v>0</v>
      </c>
      <c r="I47" t="s">
        <v>1928</v>
      </c>
      <c r="J47" t="s">
        <v>1929</v>
      </c>
      <c r="L47" s="350">
        <v>46242</v>
      </c>
      <c r="M47">
        <v>16</v>
      </c>
      <c r="N47">
        <v>8</v>
      </c>
      <c r="O47" s="351">
        <v>46235</v>
      </c>
      <c r="P47">
        <v>0</v>
      </c>
      <c r="Q47">
        <v>0</v>
      </c>
      <c r="R47">
        <v>497.2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7</v>
      </c>
      <c r="AH47">
        <v>4</v>
      </c>
      <c r="AI47" t="s">
        <v>12</v>
      </c>
    </row>
    <row r="48" spans="1:35" ht="12.5">
      <c r="A48" t="s">
        <v>82</v>
      </c>
      <c r="B48" t="s">
        <v>44</v>
      </c>
      <c r="C48" t="s">
        <v>12</v>
      </c>
      <c r="E48">
        <v>0.25</v>
      </c>
      <c r="F48" t="s">
        <v>56</v>
      </c>
      <c r="G48">
        <v>3</v>
      </c>
      <c r="H48">
        <v>0</v>
      </c>
      <c r="I48" t="s">
        <v>1928</v>
      </c>
      <c r="J48" t="s">
        <v>1929</v>
      </c>
      <c r="L48" s="350">
        <v>46243</v>
      </c>
      <c r="M48">
        <v>17</v>
      </c>
      <c r="N48">
        <v>9</v>
      </c>
      <c r="O48" s="351">
        <v>46235</v>
      </c>
      <c r="P48">
        <v>0</v>
      </c>
      <c r="Q48">
        <v>0</v>
      </c>
      <c r="R48">
        <v>497.2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7</v>
      </c>
      <c r="AH48">
        <v>4</v>
      </c>
      <c r="AI48" t="s">
        <v>12</v>
      </c>
    </row>
    <row r="49" spans="1:35" ht="12.5">
      <c r="A49" t="s">
        <v>82</v>
      </c>
      <c r="B49" t="s">
        <v>44</v>
      </c>
      <c r="C49" t="s">
        <v>12</v>
      </c>
      <c r="E49">
        <v>0.25</v>
      </c>
      <c r="F49" t="s">
        <v>56</v>
      </c>
      <c r="G49">
        <v>3</v>
      </c>
      <c r="H49">
        <v>0</v>
      </c>
      <c r="I49" t="s">
        <v>1928</v>
      </c>
      <c r="J49" t="s">
        <v>1929</v>
      </c>
      <c r="L49" s="350">
        <v>46244</v>
      </c>
      <c r="M49">
        <v>18</v>
      </c>
      <c r="N49">
        <v>10</v>
      </c>
      <c r="O49" s="351">
        <v>46235</v>
      </c>
      <c r="P49">
        <v>0</v>
      </c>
      <c r="Q49">
        <v>0</v>
      </c>
      <c r="R49">
        <v>497.2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7</v>
      </c>
      <c r="AH49">
        <v>4</v>
      </c>
      <c r="AI49" t="s">
        <v>12</v>
      </c>
    </row>
    <row r="50" spans="1:35" ht="12.5">
      <c r="A50" t="s">
        <v>82</v>
      </c>
      <c r="B50" t="s">
        <v>44</v>
      </c>
      <c r="C50" t="s">
        <v>12</v>
      </c>
      <c r="E50">
        <v>0.25</v>
      </c>
      <c r="F50" t="s">
        <v>56</v>
      </c>
      <c r="G50">
        <v>3</v>
      </c>
      <c r="H50">
        <v>0</v>
      </c>
      <c r="I50" t="s">
        <v>1928</v>
      </c>
      <c r="J50" t="s">
        <v>1929</v>
      </c>
      <c r="L50" s="350">
        <v>46245</v>
      </c>
      <c r="M50">
        <v>19</v>
      </c>
      <c r="N50">
        <v>11</v>
      </c>
      <c r="O50" s="351">
        <v>46235</v>
      </c>
      <c r="P50">
        <v>0</v>
      </c>
      <c r="Q50">
        <v>0</v>
      </c>
      <c r="R50">
        <v>497.2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7</v>
      </c>
      <c r="AH50">
        <v>4</v>
      </c>
      <c r="AI50" t="s">
        <v>12</v>
      </c>
    </row>
    <row r="51" spans="1:35" ht="12.5">
      <c r="A51" t="s">
        <v>82</v>
      </c>
      <c r="B51" t="s">
        <v>44</v>
      </c>
      <c r="C51" t="s">
        <v>12</v>
      </c>
      <c r="E51">
        <v>0.25</v>
      </c>
      <c r="F51" t="s">
        <v>56</v>
      </c>
      <c r="G51">
        <v>3</v>
      </c>
      <c r="H51">
        <v>0</v>
      </c>
      <c r="I51" t="s">
        <v>1928</v>
      </c>
      <c r="J51" t="s">
        <v>1929</v>
      </c>
      <c r="L51" s="350">
        <v>46246</v>
      </c>
      <c r="M51">
        <v>20</v>
      </c>
      <c r="N51">
        <v>12</v>
      </c>
      <c r="O51" s="351">
        <v>46235</v>
      </c>
      <c r="P51">
        <v>0</v>
      </c>
      <c r="Q51">
        <v>0</v>
      </c>
      <c r="R51">
        <v>497.2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7</v>
      </c>
      <c r="AH51">
        <v>4</v>
      </c>
      <c r="AI51" t="s">
        <v>12</v>
      </c>
    </row>
    <row r="52" spans="1:35" ht="12.5">
      <c r="A52" t="s">
        <v>82</v>
      </c>
      <c r="B52" t="s">
        <v>44</v>
      </c>
      <c r="C52" t="s">
        <v>12</v>
      </c>
      <c r="E52">
        <v>0.25</v>
      </c>
      <c r="F52" t="s">
        <v>56</v>
      </c>
      <c r="G52">
        <v>3</v>
      </c>
      <c r="H52">
        <v>0</v>
      </c>
      <c r="I52" t="s">
        <v>1928</v>
      </c>
      <c r="J52" t="s">
        <v>1929</v>
      </c>
      <c r="L52" s="350">
        <v>46247</v>
      </c>
      <c r="M52">
        <v>21</v>
      </c>
      <c r="N52">
        <v>13</v>
      </c>
      <c r="O52" s="351">
        <v>46235</v>
      </c>
      <c r="P52">
        <v>0</v>
      </c>
      <c r="Q52">
        <v>0</v>
      </c>
      <c r="R52">
        <v>497.2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7</v>
      </c>
      <c r="AH52">
        <v>4</v>
      </c>
      <c r="AI52" t="s">
        <v>12</v>
      </c>
    </row>
    <row r="53" spans="1:35" ht="12.5">
      <c r="A53" t="s">
        <v>82</v>
      </c>
      <c r="B53" t="s">
        <v>44</v>
      </c>
      <c r="C53" t="s">
        <v>12</v>
      </c>
      <c r="E53">
        <v>0.25</v>
      </c>
      <c r="F53" t="s">
        <v>56</v>
      </c>
      <c r="G53">
        <v>3</v>
      </c>
      <c r="H53">
        <v>0</v>
      </c>
      <c r="I53" t="s">
        <v>1928</v>
      </c>
      <c r="J53" t="s">
        <v>1929</v>
      </c>
      <c r="L53" s="350">
        <v>46248</v>
      </c>
      <c r="M53">
        <v>22</v>
      </c>
      <c r="N53">
        <v>14</v>
      </c>
      <c r="O53" s="351">
        <v>46235</v>
      </c>
      <c r="P53">
        <v>0</v>
      </c>
      <c r="Q53">
        <v>0</v>
      </c>
      <c r="R53">
        <v>497.2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7</v>
      </c>
      <c r="AH53">
        <v>4</v>
      </c>
      <c r="AI53" t="s">
        <v>12</v>
      </c>
    </row>
    <row r="54" spans="1:35" ht="12.5">
      <c r="A54" t="s">
        <v>82</v>
      </c>
      <c r="B54" t="s">
        <v>44</v>
      </c>
      <c r="C54" t="s">
        <v>12</v>
      </c>
      <c r="E54">
        <v>0.25</v>
      </c>
      <c r="F54" t="s">
        <v>56</v>
      </c>
      <c r="G54">
        <v>3</v>
      </c>
      <c r="H54">
        <v>0</v>
      </c>
      <c r="I54" t="s">
        <v>1928</v>
      </c>
      <c r="J54" t="s">
        <v>1929</v>
      </c>
      <c r="L54" s="350">
        <v>46249</v>
      </c>
      <c r="M54">
        <v>23</v>
      </c>
      <c r="N54">
        <v>15</v>
      </c>
      <c r="O54" s="351">
        <v>46235</v>
      </c>
      <c r="P54">
        <v>0</v>
      </c>
      <c r="Q54">
        <v>0</v>
      </c>
      <c r="R54">
        <v>497.2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7</v>
      </c>
      <c r="AH54">
        <v>4</v>
      </c>
      <c r="AI54" t="s">
        <v>12</v>
      </c>
    </row>
    <row r="55" spans="1:35" ht="12.5">
      <c r="A55" t="s">
        <v>82</v>
      </c>
      <c r="B55" t="s">
        <v>44</v>
      </c>
      <c r="C55" t="s">
        <v>12</v>
      </c>
      <c r="E55">
        <v>0.25</v>
      </c>
      <c r="F55" t="s">
        <v>56</v>
      </c>
      <c r="G55">
        <v>3</v>
      </c>
      <c r="H55">
        <v>0</v>
      </c>
      <c r="I55" t="s">
        <v>1928</v>
      </c>
      <c r="J55" t="s">
        <v>1929</v>
      </c>
      <c r="L55" s="350">
        <v>46250</v>
      </c>
      <c r="M55">
        <v>24</v>
      </c>
      <c r="N55">
        <v>16</v>
      </c>
      <c r="O55" s="351">
        <v>46235</v>
      </c>
      <c r="P55">
        <v>0</v>
      </c>
      <c r="Q55">
        <v>0</v>
      </c>
      <c r="R55">
        <v>497.2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7</v>
      </c>
      <c r="AH55">
        <v>4</v>
      </c>
      <c r="AI55" t="s">
        <v>12</v>
      </c>
    </row>
    <row r="56" spans="1:35" ht="12.5">
      <c r="A56" t="s">
        <v>82</v>
      </c>
      <c r="B56" t="s">
        <v>44</v>
      </c>
      <c r="C56" t="s">
        <v>12</v>
      </c>
      <c r="E56">
        <v>0.25</v>
      </c>
      <c r="F56" t="s">
        <v>56</v>
      </c>
      <c r="G56">
        <v>3</v>
      </c>
      <c r="H56">
        <v>0</v>
      </c>
      <c r="I56" t="s">
        <v>1928</v>
      </c>
      <c r="J56" t="s">
        <v>1929</v>
      </c>
      <c r="L56" s="350">
        <v>46251</v>
      </c>
      <c r="M56">
        <v>25</v>
      </c>
      <c r="N56">
        <v>17</v>
      </c>
      <c r="O56" s="351">
        <v>46235</v>
      </c>
      <c r="P56">
        <v>0</v>
      </c>
      <c r="Q56">
        <v>0</v>
      </c>
      <c r="R56">
        <v>497.2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7</v>
      </c>
      <c r="AH56">
        <v>4</v>
      </c>
      <c r="AI56" t="s">
        <v>12</v>
      </c>
    </row>
    <row r="57" spans="1:35" ht="12.5">
      <c r="A57" t="s">
        <v>82</v>
      </c>
      <c r="B57" t="s">
        <v>44</v>
      </c>
      <c r="C57" t="s">
        <v>12</v>
      </c>
      <c r="E57">
        <v>0.25</v>
      </c>
      <c r="F57" t="s">
        <v>56</v>
      </c>
      <c r="G57">
        <v>3</v>
      </c>
      <c r="H57">
        <v>0</v>
      </c>
      <c r="I57" t="s">
        <v>1928</v>
      </c>
      <c r="J57" t="s">
        <v>1929</v>
      </c>
      <c r="L57" s="350">
        <v>46252</v>
      </c>
      <c r="M57">
        <v>26</v>
      </c>
      <c r="N57">
        <v>18</v>
      </c>
      <c r="O57" s="351">
        <v>46235</v>
      </c>
      <c r="P57">
        <v>0</v>
      </c>
      <c r="Q57">
        <v>0</v>
      </c>
      <c r="R57">
        <v>497.2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7</v>
      </c>
      <c r="AH57">
        <v>4</v>
      </c>
      <c r="AI57" t="s">
        <v>12</v>
      </c>
    </row>
    <row r="58" spans="1:35" ht="12.5">
      <c r="A58" t="s">
        <v>82</v>
      </c>
      <c r="B58" t="s">
        <v>44</v>
      </c>
      <c r="C58" t="s">
        <v>12</v>
      </c>
      <c r="E58">
        <v>0.25</v>
      </c>
      <c r="F58" t="s">
        <v>56</v>
      </c>
      <c r="G58">
        <v>3</v>
      </c>
      <c r="H58">
        <v>0</v>
      </c>
      <c r="I58" t="s">
        <v>1928</v>
      </c>
      <c r="J58" t="s">
        <v>1929</v>
      </c>
      <c r="L58" s="350">
        <v>46253</v>
      </c>
      <c r="M58">
        <v>27</v>
      </c>
      <c r="N58">
        <v>19</v>
      </c>
      <c r="O58" s="351">
        <v>46235</v>
      </c>
      <c r="P58">
        <v>0</v>
      </c>
      <c r="Q58">
        <v>0</v>
      </c>
      <c r="R58">
        <v>497.2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7</v>
      </c>
      <c r="AH58">
        <v>4</v>
      </c>
      <c r="AI58" t="s">
        <v>12</v>
      </c>
    </row>
    <row r="59" spans="1:35" ht="12.5">
      <c r="A59" t="s">
        <v>82</v>
      </c>
      <c r="B59" t="s">
        <v>44</v>
      </c>
      <c r="C59" t="s">
        <v>12</v>
      </c>
      <c r="E59">
        <v>0.25</v>
      </c>
      <c r="F59" t="s">
        <v>56</v>
      </c>
      <c r="G59">
        <v>3</v>
      </c>
      <c r="H59">
        <v>0</v>
      </c>
      <c r="I59" t="s">
        <v>1928</v>
      </c>
      <c r="J59" t="s">
        <v>1929</v>
      </c>
      <c r="L59" s="350">
        <v>46254</v>
      </c>
      <c r="M59">
        <v>28</v>
      </c>
      <c r="N59">
        <v>20</v>
      </c>
      <c r="O59" s="351">
        <v>46235</v>
      </c>
      <c r="P59">
        <v>0</v>
      </c>
      <c r="Q59">
        <v>0</v>
      </c>
      <c r="R59">
        <v>497.2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7</v>
      </c>
      <c r="AH59">
        <v>4</v>
      </c>
      <c r="AI59" t="s">
        <v>12</v>
      </c>
    </row>
    <row r="60" spans="1:35" ht="12.5">
      <c r="A60" t="s">
        <v>82</v>
      </c>
      <c r="B60" t="s">
        <v>44</v>
      </c>
      <c r="C60" t="s">
        <v>12</v>
      </c>
      <c r="E60">
        <v>0.25</v>
      </c>
      <c r="F60" t="s">
        <v>56</v>
      </c>
      <c r="G60">
        <v>3</v>
      </c>
      <c r="H60">
        <v>0</v>
      </c>
      <c r="I60" t="s">
        <v>1928</v>
      </c>
      <c r="J60" t="s">
        <v>1929</v>
      </c>
      <c r="L60" s="350">
        <v>46255</v>
      </c>
      <c r="M60">
        <v>29</v>
      </c>
      <c r="N60">
        <v>21</v>
      </c>
      <c r="O60" s="351">
        <v>46235</v>
      </c>
      <c r="P60">
        <v>0</v>
      </c>
      <c r="Q60">
        <v>0</v>
      </c>
      <c r="R60">
        <v>497.2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7</v>
      </c>
      <c r="AH60">
        <v>4</v>
      </c>
      <c r="AI60" t="s">
        <v>12</v>
      </c>
    </row>
    <row r="61" spans="1:35" ht="12.5">
      <c r="A61" t="s">
        <v>82</v>
      </c>
      <c r="B61" t="s">
        <v>44</v>
      </c>
      <c r="C61" t="s">
        <v>12</v>
      </c>
      <c r="E61">
        <v>0.25</v>
      </c>
      <c r="F61" t="s">
        <v>56</v>
      </c>
      <c r="G61">
        <v>3</v>
      </c>
      <c r="H61">
        <v>0</v>
      </c>
      <c r="I61" t="s">
        <v>1928</v>
      </c>
      <c r="J61" t="s">
        <v>1929</v>
      </c>
      <c r="L61" s="350">
        <v>46256</v>
      </c>
      <c r="M61">
        <v>30</v>
      </c>
      <c r="N61">
        <v>22</v>
      </c>
      <c r="O61" s="351">
        <v>46235</v>
      </c>
      <c r="P61">
        <v>0</v>
      </c>
      <c r="Q61">
        <v>0</v>
      </c>
      <c r="R61">
        <v>497.2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7</v>
      </c>
      <c r="AH61">
        <v>4</v>
      </c>
      <c r="AI61" t="s">
        <v>12</v>
      </c>
    </row>
    <row r="62" spans="1:35" ht="12.5">
      <c r="A62" t="s">
        <v>125</v>
      </c>
      <c r="B62" t="s">
        <v>46</v>
      </c>
      <c r="C62" t="s">
        <v>12</v>
      </c>
      <c r="E62">
        <v>0.1</v>
      </c>
      <c r="F62" t="s">
        <v>54</v>
      </c>
      <c r="G62">
        <v>1</v>
      </c>
      <c r="H62">
        <v>1</v>
      </c>
      <c r="I62" t="s">
        <v>1925</v>
      </c>
      <c r="J62" t="s">
        <v>1926</v>
      </c>
      <c r="K62" t="s">
        <v>1930</v>
      </c>
      <c r="L62" s="350">
        <v>46227</v>
      </c>
      <c r="M62">
        <v>1</v>
      </c>
      <c r="N62">
        <v>24</v>
      </c>
      <c r="O62" s="351">
        <v>46204</v>
      </c>
      <c r="P62">
        <v>1</v>
      </c>
      <c r="Q62">
        <v>0</v>
      </c>
      <c r="R62">
        <v>383.36</v>
      </c>
      <c r="S62">
        <v>1</v>
      </c>
      <c r="T62">
        <v>9584</v>
      </c>
      <c r="U62">
        <v>2566</v>
      </c>
      <c r="V62">
        <v>7018</v>
      </c>
      <c r="W62">
        <v>1290</v>
      </c>
      <c r="X62">
        <v>4.0379799666110197</v>
      </c>
      <c r="Y62">
        <v>9384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200</v>
      </c>
      <c r="AG62">
        <v>10</v>
      </c>
      <c r="AH62">
        <v>5</v>
      </c>
      <c r="AI62" t="s">
        <v>12</v>
      </c>
    </row>
    <row r="63" spans="1:35" ht="12.5">
      <c r="A63" t="s">
        <v>125</v>
      </c>
      <c r="B63" t="s">
        <v>46</v>
      </c>
      <c r="C63" t="s">
        <v>12</v>
      </c>
      <c r="E63">
        <v>0.1</v>
      </c>
      <c r="F63" t="s">
        <v>54</v>
      </c>
      <c r="G63">
        <v>1</v>
      </c>
      <c r="H63">
        <v>1</v>
      </c>
      <c r="I63" t="s">
        <v>1925</v>
      </c>
      <c r="J63" t="s">
        <v>1926</v>
      </c>
      <c r="K63" t="s">
        <v>1930</v>
      </c>
      <c r="L63" s="350">
        <v>46228</v>
      </c>
      <c r="M63">
        <v>2</v>
      </c>
      <c r="N63">
        <v>25</v>
      </c>
      <c r="O63" s="351">
        <v>46204</v>
      </c>
      <c r="P63">
        <v>1</v>
      </c>
      <c r="Q63">
        <v>226</v>
      </c>
      <c r="R63">
        <v>383.36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10</v>
      </c>
      <c r="AH63">
        <v>5</v>
      </c>
      <c r="AI63" t="s">
        <v>12</v>
      </c>
    </row>
    <row r="64" spans="1:35" ht="12.5">
      <c r="A64" t="s">
        <v>125</v>
      </c>
      <c r="B64" t="s">
        <v>46</v>
      </c>
      <c r="C64" t="s">
        <v>12</v>
      </c>
      <c r="E64">
        <v>0.1</v>
      </c>
      <c r="F64" t="s">
        <v>54</v>
      </c>
      <c r="G64">
        <v>1</v>
      </c>
      <c r="H64">
        <v>1</v>
      </c>
      <c r="I64" t="s">
        <v>1925</v>
      </c>
      <c r="J64" t="s">
        <v>1926</v>
      </c>
      <c r="K64" t="s">
        <v>1930</v>
      </c>
      <c r="L64" s="350">
        <v>46229</v>
      </c>
      <c r="M64">
        <v>3</v>
      </c>
      <c r="N64">
        <v>26</v>
      </c>
      <c r="O64" s="351">
        <v>46204</v>
      </c>
      <c r="P64">
        <v>1</v>
      </c>
      <c r="Q64">
        <v>0</v>
      </c>
      <c r="R64">
        <v>383.36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10</v>
      </c>
      <c r="AH64">
        <v>5</v>
      </c>
      <c r="AI64" t="s">
        <v>12</v>
      </c>
    </row>
    <row r="65" spans="1:35" ht="12.5">
      <c r="A65" t="s">
        <v>125</v>
      </c>
      <c r="B65" t="s">
        <v>46</v>
      </c>
      <c r="C65" t="s">
        <v>12</v>
      </c>
      <c r="E65">
        <v>0.1</v>
      </c>
      <c r="F65" t="s">
        <v>54</v>
      </c>
      <c r="G65">
        <v>1</v>
      </c>
      <c r="H65">
        <v>1</v>
      </c>
      <c r="I65" t="s">
        <v>1925</v>
      </c>
      <c r="J65" t="s">
        <v>1926</v>
      </c>
      <c r="K65" t="s">
        <v>1930</v>
      </c>
      <c r="L65" s="350">
        <v>46230</v>
      </c>
      <c r="M65">
        <v>4</v>
      </c>
      <c r="N65">
        <v>27</v>
      </c>
      <c r="O65" s="351">
        <v>46204</v>
      </c>
      <c r="P65">
        <v>1</v>
      </c>
      <c r="Q65">
        <v>0</v>
      </c>
      <c r="R65">
        <v>383.36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10</v>
      </c>
      <c r="AH65">
        <v>5</v>
      </c>
      <c r="AI65" t="s">
        <v>12</v>
      </c>
    </row>
    <row r="66" spans="1:35" ht="12.5">
      <c r="A66" t="s">
        <v>125</v>
      </c>
      <c r="B66" t="s">
        <v>46</v>
      </c>
      <c r="C66" t="s">
        <v>12</v>
      </c>
      <c r="E66">
        <v>0.1</v>
      </c>
      <c r="F66" t="s">
        <v>54</v>
      </c>
      <c r="G66">
        <v>1</v>
      </c>
      <c r="H66">
        <v>1</v>
      </c>
      <c r="I66" t="s">
        <v>1925</v>
      </c>
      <c r="J66" t="s">
        <v>1926</v>
      </c>
      <c r="K66" t="s">
        <v>1930</v>
      </c>
      <c r="L66" s="350">
        <v>46231</v>
      </c>
      <c r="M66">
        <v>5</v>
      </c>
      <c r="N66">
        <v>28</v>
      </c>
      <c r="O66" s="351">
        <v>46204</v>
      </c>
      <c r="P66">
        <v>1</v>
      </c>
      <c r="Q66">
        <v>0</v>
      </c>
      <c r="R66">
        <v>383.36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10</v>
      </c>
      <c r="AH66">
        <v>5</v>
      </c>
      <c r="AI66" t="s">
        <v>12</v>
      </c>
    </row>
    <row r="67" spans="1:35" ht="12.5">
      <c r="A67" t="s">
        <v>125</v>
      </c>
      <c r="B67" t="s">
        <v>46</v>
      </c>
      <c r="C67" t="s">
        <v>12</v>
      </c>
      <c r="E67">
        <v>0.1</v>
      </c>
      <c r="F67" t="s">
        <v>54</v>
      </c>
      <c r="G67">
        <v>1</v>
      </c>
      <c r="H67">
        <v>1</v>
      </c>
      <c r="I67" t="s">
        <v>1925</v>
      </c>
      <c r="J67" t="s">
        <v>1926</v>
      </c>
      <c r="K67" t="s">
        <v>1930</v>
      </c>
      <c r="L67" s="350">
        <v>46232</v>
      </c>
      <c r="M67">
        <v>6</v>
      </c>
      <c r="N67">
        <v>29</v>
      </c>
      <c r="O67" s="351">
        <v>46204</v>
      </c>
      <c r="P67">
        <v>1</v>
      </c>
      <c r="Q67">
        <v>1350</v>
      </c>
      <c r="R67">
        <v>383.36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10</v>
      </c>
      <c r="AH67">
        <v>5</v>
      </c>
      <c r="AI67" t="s">
        <v>12</v>
      </c>
    </row>
    <row r="68" spans="1:35" ht="12.5">
      <c r="A68" t="s">
        <v>125</v>
      </c>
      <c r="B68" t="s">
        <v>46</v>
      </c>
      <c r="C68" t="s">
        <v>12</v>
      </c>
      <c r="E68">
        <v>0.1</v>
      </c>
      <c r="F68" t="s">
        <v>54</v>
      </c>
      <c r="G68">
        <v>1</v>
      </c>
      <c r="H68">
        <v>1</v>
      </c>
      <c r="I68" t="s">
        <v>1925</v>
      </c>
      <c r="J68" t="s">
        <v>1926</v>
      </c>
      <c r="K68" t="s">
        <v>1930</v>
      </c>
      <c r="L68" s="350">
        <v>46233</v>
      </c>
      <c r="M68">
        <v>7</v>
      </c>
      <c r="N68">
        <v>30</v>
      </c>
      <c r="O68" s="351">
        <v>46204</v>
      </c>
      <c r="P68">
        <v>1</v>
      </c>
      <c r="Q68">
        <v>0</v>
      </c>
      <c r="R68">
        <v>383.36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10</v>
      </c>
      <c r="AH68">
        <v>5</v>
      </c>
      <c r="AI68" t="s">
        <v>12</v>
      </c>
    </row>
    <row r="69" spans="1:35" ht="12.5">
      <c r="A69" t="s">
        <v>125</v>
      </c>
      <c r="B69" t="s">
        <v>46</v>
      </c>
      <c r="C69" t="s">
        <v>12</v>
      </c>
      <c r="E69">
        <v>0.1</v>
      </c>
      <c r="F69" t="s">
        <v>54</v>
      </c>
      <c r="G69">
        <v>1</v>
      </c>
      <c r="H69">
        <v>1</v>
      </c>
      <c r="I69" t="s">
        <v>1925</v>
      </c>
      <c r="J69" t="s">
        <v>1926</v>
      </c>
      <c r="K69" t="s">
        <v>1930</v>
      </c>
      <c r="L69" s="350">
        <v>46234</v>
      </c>
      <c r="M69">
        <v>8</v>
      </c>
      <c r="N69">
        <v>31</v>
      </c>
      <c r="O69" s="351">
        <v>46204</v>
      </c>
      <c r="P69">
        <v>1</v>
      </c>
      <c r="Q69">
        <v>500</v>
      </c>
      <c r="R69">
        <v>383.36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10</v>
      </c>
      <c r="AH69">
        <v>5</v>
      </c>
      <c r="AI69" t="s">
        <v>12</v>
      </c>
    </row>
    <row r="70" spans="1:35" ht="12.5">
      <c r="A70" t="s">
        <v>125</v>
      </c>
      <c r="B70" t="s">
        <v>46</v>
      </c>
      <c r="C70" t="s">
        <v>12</v>
      </c>
      <c r="E70">
        <v>0.1</v>
      </c>
      <c r="F70" t="s">
        <v>54</v>
      </c>
      <c r="G70">
        <v>1</v>
      </c>
      <c r="H70">
        <v>1</v>
      </c>
      <c r="I70" t="s">
        <v>1925</v>
      </c>
      <c r="J70" t="s">
        <v>1926</v>
      </c>
      <c r="K70" t="s">
        <v>1930</v>
      </c>
      <c r="L70" s="350">
        <v>46235</v>
      </c>
      <c r="M70">
        <v>9</v>
      </c>
      <c r="N70">
        <v>1</v>
      </c>
      <c r="O70" s="351">
        <v>46235</v>
      </c>
      <c r="P70">
        <v>1</v>
      </c>
      <c r="Q70">
        <v>490</v>
      </c>
      <c r="R70">
        <v>383.36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10</v>
      </c>
      <c r="AH70">
        <v>5</v>
      </c>
      <c r="AI70" t="s">
        <v>12</v>
      </c>
    </row>
    <row r="71" spans="1:35" ht="12.5">
      <c r="A71" t="s">
        <v>125</v>
      </c>
      <c r="B71" t="s">
        <v>46</v>
      </c>
      <c r="C71" t="s">
        <v>12</v>
      </c>
      <c r="E71">
        <v>0.1</v>
      </c>
      <c r="F71" t="s">
        <v>54</v>
      </c>
      <c r="G71">
        <v>1</v>
      </c>
      <c r="H71">
        <v>1</v>
      </c>
      <c r="I71" t="s">
        <v>1925</v>
      </c>
      <c r="J71" t="s">
        <v>1926</v>
      </c>
      <c r="K71" t="s">
        <v>1930</v>
      </c>
      <c r="L71" s="350">
        <v>46236</v>
      </c>
      <c r="M71">
        <v>10</v>
      </c>
      <c r="N71">
        <v>2</v>
      </c>
      <c r="O71" s="351">
        <v>46235</v>
      </c>
      <c r="P71">
        <v>1</v>
      </c>
      <c r="Q71">
        <v>0</v>
      </c>
      <c r="R71">
        <v>383.36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10</v>
      </c>
      <c r="AH71">
        <v>5</v>
      </c>
      <c r="AI71" t="s">
        <v>12</v>
      </c>
    </row>
    <row r="72" spans="1:35" ht="12.5">
      <c r="A72" t="s">
        <v>125</v>
      </c>
      <c r="B72" t="s">
        <v>46</v>
      </c>
      <c r="C72" t="s">
        <v>12</v>
      </c>
      <c r="E72">
        <v>0.1</v>
      </c>
      <c r="F72" t="s">
        <v>54</v>
      </c>
      <c r="G72">
        <v>1</v>
      </c>
      <c r="H72">
        <v>1</v>
      </c>
      <c r="I72" t="s">
        <v>1925</v>
      </c>
      <c r="J72" t="s">
        <v>1926</v>
      </c>
      <c r="K72" t="s">
        <v>1930</v>
      </c>
      <c r="L72" s="350">
        <v>46237</v>
      </c>
      <c r="M72">
        <v>11</v>
      </c>
      <c r="N72">
        <v>3</v>
      </c>
      <c r="O72" s="351">
        <v>46235</v>
      </c>
      <c r="P72">
        <v>1</v>
      </c>
      <c r="Q72">
        <v>0</v>
      </c>
      <c r="R72">
        <v>383.36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10</v>
      </c>
      <c r="AH72">
        <v>5</v>
      </c>
      <c r="AI72" t="s">
        <v>12</v>
      </c>
    </row>
    <row r="73" spans="1:35" ht="12.5">
      <c r="A73" t="s">
        <v>125</v>
      </c>
      <c r="B73" t="s">
        <v>46</v>
      </c>
      <c r="C73" t="s">
        <v>12</v>
      </c>
      <c r="E73">
        <v>0.1</v>
      </c>
      <c r="F73" t="s">
        <v>54</v>
      </c>
      <c r="G73">
        <v>1</v>
      </c>
      <c r="H73">
        <v>1</v>
      </c>
      <c r="I73" t="s">
        <v>1925</v>
      </c>
      <c r="J73" t="s">
        <v>1926</v>
      </c>
      <c r="K73" t="s">
        <v>1930</v>
      </c>
      <c r="L73" s="350">
        <v>46238</v>
      </c>
      <c r="M73">
        <v>12</v>
      </c>
      <c r="N73">
        <v>4</v>
      </c>
      <c r="O73" s="351">
        <v>46235</v>
      </c>
      <c r="P73">
        <v>0</v>
      </c>
      <c r="Q73">
        <v>0</v>
      </c>
      <c r="R73">
        <v>383.36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10</v>
      </c>
      <c r="AH73">
        <v>5</v>
      </c>
      <c r="AI73" t="s">
        <v>12</v>
      </c>
    </row>
    <row r="74" spans="1:35" ht="12.5">
      <c r="A74" t="s">
        <v>125</v>
      </c>
      <c r="B74" t="s">
        <v>46</v>
      </c>
      <c r="C74" t="s">
        <v>12</v>
      </c>
      <c r="E74">
        <v>0.1</v>
      </c>
      <c r="F74" t="s">
        <v>54</v>
      </c>
      <c r="G74">
        <v>1</v>
      </c>
      <c r="H74">
        <v>1</v>
      </c>
      <c r="I74" t="s">
        <v>1925</v>
      </c>
      <c r="J74" t="s">
        <v>1926</v>
      </c>
      <c r="K74" t="s">
        <v>1930</v>
      </c>
      <c r="L74" s="350">
        <v>46239</v>
      </c>
      <c r="M74">
        <v>13</v>
      </c>
      <c r="N74">
        <v>5</v>
      </c>
      <c r="O74" s="351">
        <v>46235</v>
      </c>
      <c r="P74">
        <v>0</v>
      </c>
      <c r="Q74">
        <v>0</v>
      </c>
      <c r="R74">
        <v>383.36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10</v>
      </c>
      <c r="AH74">
        <v>5</v>
      </c>
      <c r="AI74" t="s">
        <v>12</v>
      </c>
    </row>
    <row r="75" spans="1:35" ht="12.5">
      <c r="A75" t="s">
        <v>125</v>
      </c>
      <c r="B75" t="s">
        <v>46</v>
      </c>
      <c r="C75" t="s">
        <v>12</v>
      </c>
      <c r="E75">
        <v>0.1</v>
      </c>
      <c r="F75" t="s">
        <v>54</v>
      </c>
      <c r="G75">
        <v>1</v>
      </c>
      <c r="H75">
        <v>1</v>
      </c>
      <c r="I75" t="s">
        <v>1925</v>
      </c>
      <c r="J75" t="s">
        <v>1926</v>
      </c>
      <c r="K75" t="s">
        <v>1930</v>
      </c>
      <c r="L75" s="350">
        <v>46240</v>
      </c>
      <c r="M75">
        <v>14</v>
      </c>
      <c r="N75">
        <v>6</v>
      </c>
      <c r="O75" s="351">
        <v>46235</v>
      </c>
      <c r="P75">
        <v>0</v>
      </c>
      <c r="Q75">
        <v>0</v>
      </c>
      <c r="R75">
        <v>383.36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10</v>
      </c>
      <c r="AH75">
        <v>5</v>
      </c>
      <c r="AI75" t="s">
        <v>12</v>
      </c>
    </row>
    <row r="76" spans="1:35" ht="12.5">
      <c r="A76" t="s">
        <v>125</v>
      </c>
      <c r="B76" t="s">
        <v>46</v>
      </c>
      <c r="C76" t="s">
        <v>12</v>
      </c>
      <c r="E76">
        <v>0.1</v>
      </c>
      <c r="F76" t="s">
        <v>54</v>
      </c>
      <c r="G76">
        <v>1</v>
      </c>
      <c r="H76">
        <v>1</v>
      </c>
      <c r="I76" t="s">
        <v>1925</v>
      </c>
      <c r="J76" t="s">
        <v>1926</v>
      </c>
      <c r="K76" t="s">
        <v>1930</v>
      </c>
      <c r="L76" s="350">
        <v>46241</v>
      </c>
      <c r="M76">
        <v>15</v>
      </c>
      <c r="N76">
        <v>7</v>
      </c>
      <c r="O76" s="351">
        <v>46235</v>
      </c>
      <c r="P76">
        <v>0</v>
      </c>
      <c r="Q76">
        <v>0</v>
      </c>
      <c r="R76">
        <v>383.36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10</v>
      </c>
      <c r="AH76">
        <v>5</v>
      </c>
      <c r="AI76" t="s">
        <v>12</v>
      </c>
    </row>
    <row r="77" spans="1:35" ht="12.5">
      <c r="A77" t="s">
        <v>125</v>
      </c>
      <c r="B77" t="s">
        <v>46</v>
      </c>
      <c r="C77" t="s">
        <v>12</v>
      </c>
      <c r="E77">
        <v>0.1</v>
      </c>
      <c r="F77" t="s">
        <v>54</v>
      </c>
      <c r="G77">
        <v>1</v>
      </c>
      <c r="H77">
        <v>1</v>
      </c>
      <c r="I77" t="s">
        <v>1925</v>
      </c>
      <c r="J77" t="s">
        <v>1926</v>
      </c>
      <c r="K77" t="s">
        <v>1930</v>
      </c>
      <c r="L77" s="350">
        <v>46242</v>
      </c>
      <c r="M77">
        <v>16</v>
      </c>
      <c r="N77">
        <v>8</v>
      </c>
      <c r="O77" s="351">
        <v>46235</v>
      </c>
      <c r="P77">
        <v>0</v>
      </c>
      <c r="Q77">
        <v>0</v>
      </c>
      <c r="R77">
        <v>383.36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10</v>
      </c>
      <c r="AH77">
        <v>5</v>
      </c>
      <c r="AI77" t="s">
        <v>12</v>
      </c>
    </row>
    <row r="78" spans="1:35" ht="12.5">
      <c r="A78" t="s">
        <v>125</v>
      </c>
      <c r="B78" t="s">
        <v>46</v>
      </c>
      <c r="C78" t="s">
        <v>12</v>
      </c>
      <c r="E78">
        <v>0.1</v>
      </c>
      <c r="F78" t="s">
        <v>54</v>
      </c>
      <c r="G78">
        <v>1</v>
      </c>
      <c r="H78">
        <v>1</v>
      </c>
      <c r="I78" t="s">
        <v>1925</v>
      </c>
      <c r="J78" t="s">
        <v>1926</v>
      </c>
      <c r="K78" t="s">
        <v>1930</v>
      </c>
      <c r="L78" s="350">
        <v>46243</v>
      </c>
      <c r="M78">
        <v>17</v>
      </c>
      <c r="N78">
        <v>9</v>
      </c>
      <c r="O78" s="351">
        <v>46235</v>
      </c>
      <c r="P78">
        <v>0</v>
      </c>
      <c r="Q78">
        <v>0</v>
      </c>
      <c r="R78">
        <v>383.36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10</v>
      </c>
      <c r="AH78">
        <v>5</v>
      </c>
      <c r="AI78" t="s">
        <v>12</v>
      </c>
    </row>
    <row r="79" spans="1:35" ht="12.5">
      <c r="A79" t="s">
        <v>125</v>
      </c>
      <c r="B79" t="s">
        <v>46</v>
      </c>
      <c r="C79" t="s">
        <v>12</v>
      </c>
      <c r="E79">
        <v>0.1</v>
      </c>
      <c r="F79" t="s">
        <v>54</v>
      </c>
      <c r="G79">
        <v>1</v>
      </c>
      <c r="H79">
        <v>1</v>
      </c>
      <c r="I79" t="s">
        <v>1925</v>
      </c>
      <c r="J79" t="s">
        <v>1926</v>
      </c>
      <c r="K79" t="s">
        <v>1930</v>
      </c>
      <c r="L79" s="350">
        <v>46244</v>
      </c>
      <c r="M79">
        <v>18</v>
      </c>
      <c r="N79">
        <v>10</v>
      </c>
      <c r="O79" s="351">
        <v>46235</v>
      </c>
      <c r="P79">
        <v>0</v>
      </c>
      <c r="Q79">
        <v>0</v>
      </c>
      <c r="R79">
        <v>383.36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10</v>
      </c>
      <c r="AH79">
        <v>5</v>
      </c>
      <c r="AI79" t="s">
        <v>12</v>
      </c>
    </row>
    <row r="80" spans="1:35" ht="12.5">
      <c r="A80" t="s">
        <v>125</v>
      </c>
      <c r="B80" t="s">
        <v>46</v>
      </c>
      <c r="C80" t="s">
        <v>12</v>
      </c>
      <c r="E80">
        <v>0.1</v>
      </c>
      <c r="F80" t="s">
        <v>54</v>
      </c>
      <c r="G80">
        <v>1</v>
      </c>
      <c r="H80">
        <v>1</v>
      </c>
      <c r="I80" t="s">
        <v>1925</v>
      </c>
      <c r="J80" t="s">
        <v>1926</v>
      </c>
      <c r="K80" t="s">
        <v>1930</v>
      </c>
      <c r="L80" s="350">
        <v>46245</v>
      </c>
      <c r="M80">
        <v>19</v>
      </c>
      <c r="N80">
        <v>11</v>
      </c>
      <c r="O80" s="351">
        <v>46235</v>
      </c>
      <c r="P80">
        <v>0</v>
      </c>
      <c r="Q80">
        <v>0</v>
      </c>
      <c r="R80">
        <v>383.36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10</v>
      </c>
      <c r="AH80">
        <v>5</v>
      </c>
      <c r="AI80" t="s">
        <v>12</v>
      </c>
    </row>
    <row r="81" spans="1:35" ht="12.5">
      <c r="A81" t="s">
        <v>125</v>
      </c>
      <c r="B81" t="s">
        <v>46</v>
      </c>
      <c r="C81" t="s">
        <v>12</v>
      </c>
      <c r="E81">
        <v>0.1</v>
      </c>
      <c r="F81" t="s">
        <v>54</v>
      </c>
      <c r="G81">
        <v>1</v>
      </c>
      <c r="H81">
        <v>1</v>
      </c>
      <c r="I81" t="s">
        <v>1925</v>
      </c>
      <c r="J81" t="s">
        <v>1926</v>
      </c>
      <c r="K81" t="s">
        <v>1930</v>
      </c>
      <c r="L81" s="350">
        <v>46246</v>
      </c>
      <c r="M81">
        <v>20</v>
      </c>
      <c r="N81">
        <v>12</v>
      </c>
      <c r="O81" s="351">
        <v>46235</v>
      </c>
      <c r="P81">
        <v>0</v>
      </c>
      <c r="Q81">
        <v>0</v>
      </c>
      <c r="R81">
        <v>383.36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10</v>
      </c>
      <c r="AH81">
        <v>5</v>
      </c>
      <c r="AI81" t="s">
        <v>12</v>
      </c>
    </row>
    <row r="82" spans="1:35" ht="12.5">
      <c r="A82" t="s">
        <v>125</v>
      </c>
      <c r="B82" t="s">
        <v>46</v>
      </c>
      <c r="C82" t="s">
        <v>12</v>
      </c>
      <c r="E82">
        <v>0.1</v>
      </c>
      <c r="F82" t="s">
        <v>54</v>
      </c>
      <c r="G82">
        <v>1</v>
      </c>
      <c r="H82">
        <v>1</v>
      </c>
      <c r="I82" t="s">
        <v>1925</v>
      </c>
      <c r="J82" t="s">
        <v>1926</v>
      </c>
      <c r="K82" t="s">
        <v>1930</v>
      </c>
      <c r="L82" s="350">
        <v>46247</v>
      </c>
      <c r="M82">
        <v>21</v>
      </c>
      <c r="N82">
        <v>13</v>
      </c>
      <c r="O82" s="351">
        <v>46235</v>
      </c>
      <c r="P82">
        <v>0</v>
      </c>
      <c r="Q82">
        <v>0</v>
      </c>
      <c r="R82">
        <v>383.36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10</v>
      </c>
      <c r="AH82">
        <v>5</v>
      </c>
      <c r="AI82" t="s">
        <v>12</v>
      </c>
    </row>
    <row r="83" spans="1:35" ht="12.5">
      <c r="A83" t="s">
        <v>125</v>
      </c>
      <c r="B83" t="s">
        <v>46</v>
      </c>
      <c r="C83" t="s">
        <v>12</v>
      </c>
      <c r="E83">
        <v>0.1</v>
      </c>
      <c r="F83" t="s">
        <v>54</v>
      </c>
      <c r="G83">
        <v>1</v>
      </c>
      <c r="H83">
        <v>1</v>
      </c>
      <c r="I83" t="s">
        <v>1925</v>
      </c>
      <c r="J83" t="s">
        <v>1926</v>
      </c>
      <c r="K83" t="s">
        <v>1930</v>
      </c>
      <c r="L83" s="350">
        <v>46248</v>
      </c>
      <c r="M83">
        <v>22</v>
      </c>
      <c r="N83">
        <v>14</v>
      </c>
      <c r="O83" s="351">
        <v>46235</v>
      </c>
      <c r="P83">
        <v>0</v>
      </c>
      <c r="Q83">
        <v>0</v>
      </c>
      <c r="R83">
        <v>383.36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10</v>
      </c>
      <c r="AH83">
        <v>5</v>
      </c>
      <c r="AI83" t="s">
        <v>12</v>
      </c>
    </row>
    <row r="84" spans="1:35" ht="12.5">
      <c r="A84" t="s">
        <v>125</v>
      </c>
      <c r="B84" t="s">
        <v>46</v>
      </c>
      <c r="C84" t="s">
        <v>12</v>
      </c>
      <c r="E84">
        <v>0.1</v>
      </c>
      <c r="F84" t="s">
        <v>54</v>
      </c>
      <c r="G84">
        <v>1</v>
      </c>
      <c r="H84">
        <v>1</v>
      </c>
      <c r="I84" t="s">
        <v>1925</v>
      </c>
      <c r="J84" t="s">
        <v>1926</v>
      </c>
      <c r="K84" t="s">
        <v>1930</v>
      </c>
      <c r="L84" s="350">
        <v>46249</v>
      </c>
      <c r="M84">
        <v>23</v>
      </c>
      <c r="N84">
        <v>15</v>
      </c>
      <c r="O84" s="351">
        <v>46235</v>
      </c>
      <c r="P84">
        <v>0</v>
      </c>
      <c r="Q84">
        <v>0</v>
      </c>
      <c r="R84">
        <v>383.36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10</v>
      </c>
      <c r="AH84">
        <v>5</v>
      </c>
      <c r="AI84" t="s">
        <v>12</v>
      </c>
    </row>
    <row r="85" spans="1:35" ht="12.5">
      <c r="A85" t="s">
        <v>125</v>
      </c>
      <c r="B85" t="s">
        <v>46</v>
      </c>
      <c r="C85" t="s">
        <v>12</v>
      </c>
      <c r="E85">
        <v>0.1</v>
      </c>
      <c r="F85" t="s">
        <v>54</v>
      </c>
      <c r="G85">
        <v>1</v>
      </c>
      <c r="H85">
        <v>1</v>
      </c>
      <c r="I85" t="s">
        <v>1925</v>
      </c>
      <c r="J85" t="s">
        <v>1926</v>
      </c>
      <c r="K85" t="s">
        <v>1930</v>
      </c>
      <c r="L85" s="350">
        <v>46250</v>
      </c>
      <c r="M85">
        <v>24</v>
      </c>
      <c r="N85">
        <v>16</v>
      </c>
      <c r="O85" s="351">
        <v>46235</v>
      </c>
      <c r="P85">
        <v>0</v>
      </c>
      <c r="Q85">
        <v>0</v>
      </c>
      <c r="R85">
        <v>383.36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10</v>
      </c>
      <c r="AH85">
        <v>5</v>
      </c>
      <c r="AI85" t="s">
        <v>12</v>
      </c>
    </row>
    <row r="86" spans="1:35" ht="12.5">
      <c r="A86" t="s">
        <v>125</v>
      </c>
      <c r="B86" t="s">
        <v>46</v>
      </c>
      <c r="C86" t="s">
        <v>12</v>
      </c>
      <c r="E86">
        <v>0.1</v>
      </c>
      <c r="F86" t="s">
        <v>54</v>
      </c>
      <c r="G86">
        <v>1</v>
      </c>
      <c r="H86">
        <v>1</v>
      </c>
      <c r="I86" t="s">
        <v>1925</v>
      </c>
      <c r="J86" t="s">
        <v>1926</v>
      </c>
      <c r="K86" t="s">
        <v>1930</v>
      </c>
      <c r="L86" s="350">
        <v>46251</v>
      </c>
      <c r="M86">
        <v>25</v>
      </c>
      <c r="N86">
        <v>17</v>
      </c>
      <c r="O86" s="351">
        <v>46235</v>
      </c>
      <c r="P86">
        <v>0</v>
      </c>
      <c r="Q86">
        <v>0</v>
      </c>
      <c r="R86">
        <v>383.36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10</v>
      </c>
      <c r="AH86">
        <v>5</v>
      </c>
      <c r="AI86" t="s">
        <v>12</v>
      </c>
    </row>
    <row r="87" spans="1:35" ht="12.5">
      <c r="A87" t="s">
        <v>125</v>
      </c>
      <c r="B87" t="s">
        <v>46</v>
      </c>
      <c r="C87" t="s">
        <v>12</v>
      </c>
      <c r="E87">
        <v>0.1</v>
      </c>
      <c r="F87" t="s">
        <v>54</v>
      </c>
      <c r="G87">
        <v>1</v>
      </c>
      <c r="H87">
        <v>1</v>
      </c>
      <c r="I87" t="s">
        <v>1925</v>
      </c>
      <c r="J87" t="s">
        <v>1926</v>
      </c>
      <c r="K87" t="s">
        <v>1930</v>
      </c>
      <c r="L87" s="350">
        <v>46252</v>
      </c>
      <c r="M87">
        <v>26</v>
      </c>
      <c r="N87">
        <v>18</v>
      </c>
      <c r="O87" s="351">
        <v>46235</v>
      </c>
      <c r="P87">
        <v>0</v>
      </c>
      <c r="Q87">
        <v>0</v>
      </c>
      <c r="R87">
        <v>383.36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10</v>
      </c>
      <c r="AH87">
        <v>5</v>
      </c>
      <c r="AI87" t="s">
        <v>12</v>
      </c>
    </row>
    <row r="88" spans="1:35" ht="12.5">
      <c r="A88" t="s">
        <v>125</v>
      </c>
      <c r="B88" t="s">
        <v>46</v>
      </c>
      <c r="C88" t="s">
        <v>12</v>
      </c>
      <c r="E88">
        <v>0.1</v>
      </c>
      <c r="F88" t="s">
        <v>54</v>
      </c>
      <c r="G88">
        <v>1</v>
      </c>
      <c r="H88">
        <v>1</v>
      </c>
      <c r="I88" t="s">
        <v>1925</v>
      </c>
      <c r="J88" t="s">
        <v>1926</v>
      </c>
      <c r="K88" t="s">
        <v>1930</v>
      </c>
      <c r="L88" s="350">
        <v>46253</v>
      </c>
      <c r="M88">
        <v>27</v>
      </c>
      <c r="N88">
        <v>19</v>
      </c>
      <c r="O88" s="351">
        <v>46235</v>
      </c>
      <c r="P88">
        <v>0</v>
      </c>
      <c r="Q88">
        <v>0</v>
      </c>
      <c r="R88">
        <v>383.36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10</v>
      </c>
      <c r="AH88">
        <v>5</v>
      </c>
      <c r="AI88" t="s">
        <v>12</v>
      </c>
    </row>
    <row r="89" spans="1:35" ht="12.5">
      <c r="A89" t="s">
        <v>125</v>
      </c>
      <c r="B89" t="s">
        <v>46</v>
      </c>
      <c r="C89" t="s">
        <v>12</v>
      </c>
      <c r="E89">
        <v>0.1</v>
      </c>
      <c r="F89" t="s">
        <v>54</v>
      </c>
      <c r="G89">
        <v>1</v>
      </c>
      <c r="H89">
        <v>1</v>
      </c>
      <c r="I89" t="s">
        <v>1925</v>
      </c>
      <c r="J89" t="s">
        <v>1926</v>
      </c>
      <c r="K89" t="s">
        <v>1930</v>
      </c>
      <c r="L89" s="350">
        <v>46254</v>
      </c>
      <c r="M89">
        <v>28</v>
      </c>
      <c r="N89">
        <v>20</v>
      </c>
      <c r="O89" s="351">
        <v>46235</v>
      </c>
      <c r="P89">
        <v>0</v>
      </c>
      <c r="Q89">
        <v>0</v>
      </c>
      <c r="R89">
        <v>383.36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10</v>
      </c>
      <c r="AH89">
        <v>5</v>
      </c>
      <c r="AI89" t="s">
        <v>12</v>
      </c>
    </row>
    <row r="90" spans="1:35" ht="12.5">
      <c r="A90" t="s">
        <v>125</v>
      </c>
      <c r="B90" t="s">
        <v>46</v>
      </c>
      <c r="C90" t="s">
        <v>12</v>
      </c>
      <c r="E90">
        <v>0.1</v>
      </c>
      <c r="F90" t="s">
        <v>54</v>
      </c>
      <c r="G90">
        <v>1</v>
      </c>
      <c r="H90">
        <v>1</v>
      </c>
      <c r="I90" t="s">
        <v>1925</v>
      </c>
      <c r="J90" t="s">
        <v>1926</v>
      </c>
      <c r="K90" t="s">
        <v>1930</v>
      </c>
      <c r="L90" s="350">
        <v>46255</v>
      </c>
      <c r="M90">
        <v>29</v>
      </c>
      <c r="N90">
        <v>21</v>
      </c>
      <c r="O90" s="351">
        <v>46235</v>
      </c>
      <c r="P90">
        <v>0</v>
      </c>
      <c r="Q90">
        <v>0</v>
      </c>
      <c r="R90">
        <v>383.36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10</v>
      </c>
      <c r="AH90">
        <v>5</v>
      </c>
      <c r="AI90" t="s">
        <v>12</v>
      </c>
    </row>
    <row r="91" spans="1:35" ht="12.5">
      <c r="A91" t="s">
        <v>125</v>
      </c>
      <c r="B91" t="s">
        <v>46</v>
      </c>
      <c r="C91" t="s">
        <v>12</v>
      </c>
      <c r="E91">
        <v>0.1</v>
      </c>
      <c r="F91" t="s">
        <v>54</v>
      </c>
      <c r="G91">
        <v>1</v>
      </c>
      <c r="H91">
        <v>1</v>
      </c>
      <c r="I91" t="s">
        <v>1925</v>
      </c>
      <c r="J91" t="s">
        <v>1926</v>
      </c>
      <c r="K91" t="s">
        <v>1930</v>
      </c>
      <c r="L91" s="350">
        <v>46256</v>
      </c>
      <c r="M91">
        <v>30</v>
      </c>
      <c r="N91">
        <v>22</v>
      </c>
      <c r="O91" s="351">
        <v>46235</v>
      </c>
      <c r="P91">
        <v>0</v>
      </c>
      <c r="Q91">
        <v>0</v>
      </c>
      <c r="R91">
        <v>383.36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10</v>
      </c>
      <c r="AH91">
        <v>5</v>
      </c>
      <c r="AI91" t="s">
        <v>12</v>
      </c>
    </row>
    <row r="92" spans="1:35" ht="12.5">
      <c r="A92" t="s">
        <v>83</v>
      </c>
      <c r="B92" t="s">
        <v>48</v>
      </c>
      <c r="C92" t="s">
        <v>12</v>
      </c>
      <c r="E92">
        <v>1</v>
      </c>
      <c r="F92" t="s">
        <v>54</v>
      </c>
      <c r="G92">
        <v>1</v>
      </c>
      <c r="H92">
        <v>1</v>
      </c>
      <c r="I92" t="s">
        <v>1931</v>
      </c>
      <c r="J92" t="s">
        <v>1929</v>
      </c>
      <c r="K92" t="s">
        <v>1932</v>
      </c>
      <c r="L92" s="350">
        <v>46227</v>
      </c>
      <c r="M92">
        <v>1</v>
      </c>
      <c r="N92">
        <v>24</v>
      </c>
      <c r="O92" s="351">
        <v>46204</v>
      </c>
      <c r="P92">
        <v>1</v>
      </c>
      <c r="Q92">
        <v>91</v>
      </c>
      <c r="R92">
        <v>463.52</v>
      </c>
      <c r="S92">
        <v>1</v>
      </c>
      <c r="T92">
        <v>11588</v>
      </c>
      <c r="U92">
        <v>2888</v>
      </c>
      <c r="V92">
        <v>8700</v>
      </c>
      <c r="W92">
        <v>607</v>
      </c>
      <c r="X92">
        <v>1.5714532274766999</v>
      </c>
      <c r="Y92">
        <v>7433</v>
      </c>
      <c r="Z92">
        <v>0</v>
      </c>
      <c r="AA92">
        <v>0</v>
      </c>
      <c r="AB92">
        <v>2640</v>
      </c>
      <c r="AC92">
        <v>0</v>
      </c>
      <c r="AD92">
        <v>710</v>
      </c>
      <c r="AE92">
        <v>0</v>
      </c>
      <c r="AF92">
        <v>805</v>
      </c>
      <c r="AG92">
        <v>10</v>
      </c>
      <c r="AH92">
        <v>6</v>
      </c>
      <c r="AI92" t="s">
        <v>12</v>
      </c>
    </row>
    <row r="93" spans="1:35" ht="12.5">
      <c r="A93" t="s">
        <v>83</v>
      </c>
      <c r="B93" t="s">
        <v>48</v>
      </c>
      <c r="C93" t="s">
        <v>12</v>
      </c>
      <c r="E93">
        <v>1</v>
      </c>
      <c r="F93" t="s">
        <v>54</v>
      </c>
      <c r="G93">
        <v>1</v>
      </c>
      <c r="H93">
        <v>1</v>
      </c>
      <c r="I93" t="s">
        <v>1931</v>
      </c>
      <c r="J93" t="s">
        <v>1929</v>
      </c>
      <c r="K93" t="s">
        <v>1932</v>
      </c>
      <c r="L93" s="350">
        <v>46228</v>
      </c>
      <c r="M93">
        <v>2</v>
      </c>
      <c r="N93">
        <v>25</v>
      </c>
      <c r="O93" s="351">
        <v>46204</v>
      </c>
      <c r="P93">
        <v>1</v>
      </c>
      <c r="Q93">
        <v>313</v>
      </c>
      <c r="R93">
        <v>463.52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10</v>
      </c>
      <c r="AH93">
        <v>6</v>
      </c>
      <c r="AI93" t="s">
        <v>12</v>
      </c>
    </row>
    <row r="94" spans="1:35" ht="12.5">
      <c r="A94" t="s">
        <v>83</v>
      </c>
      <c r="B94" t="s">
        <v>48</v>
      </c>
      <c r="C94" t="s">
        <v>12</v>
      </c>
      <c r="E94">
        <v>1</v>
      </c>
      <c r="F94" t="s">
        <v>54</v>
      </c>
      <c r="G94">
        <v>1</v>
      </c>
      <c r="H94">
        <v>1</v>
      </c>
      <c r="I94" t="s">
        <v>1931</v>
      </c>
      <c r="J94" t="s">
        <v>1929</v>
      </c>
      <c r="K94" t="s">
        <v>1932</v>
      </c>
      <c r="L94" s="350">
        <v>46229</v>
      </c>
      <c r="M94">
        <v>3</v>
      </c>
      <c r="N94">
        <v>26</v>
      </c>
      <c r="O94" s="351">
        <v>46204</v>
      </c>
      <c r="P94">
        <v>1</v>
      </c>
      <c r="Q94">
        <v>0</v>
      </c>
      <c r="R94">
        <v>463.52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10</v>
      </c>
      <c r="AH94">
        <v>6</v>
      </c>
      <c r="AI94" t="s">
        <v>12</v>
      </c>
    </row>
    <row r="95" spans="1:35" ht="12.5">
      <c r="A95" t="s">
        <v>83</v>
      </c>
      <c r="B95" t="s">
        <v>48</v>
      </c>
      <c r="C95" t="s">
        <v>12</v>
      </c>
      <c r="E95">
        <v>1</v>
      </c>
      <c r="F95" t="s">
        <v>54</v>
      </c>
      <c r="G95">
        <v>1</v>
      </c>
      <c r="H95">
        <v>1</v>
      </c>
      <c r="I95" t="s">
        <v>1931</v>
      </c>
      <c r="J95" t="s">
        <v>1929</v>
      </c>
      <c r="K95" t="s">
        <v>1932</v>
      </c>
      <c r="L95" s="350">
        <v>46230</v>
      </c>
      <c r="M95">
        <v>4</v>
      </c>
      <c r="N95">
        <v>27</v>
      </c>
      <c r="O95" s="351">
        <v>46204</v>
      </c>
      <c r="P95">
        <v>1</v>
      </c>
      <c r="Q95">
        <v>244</v>
      </c>
      <c r="R95">
        <v>463.52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10</v>
      </c>
      <c r="AH95">
        <v>6</v>
      </c>
      <c r="AI95" t="s">
        <v>12</v>
      </c>
    </row>
    <row r="96" spans="1:35" ht="12.5">
      <c r="A96" t="s">
        <v>83</v>
      </c>
      <c r="B96" t="s">
        <v>48</v>
      </c>
      <c r="C96" t="s">
        <v>12</v>
      </c>
      <c r="E96">
        <v>1</v>
      </c>
      <c r="F96" t="s">
        <v>54</v>
      </c>
      <c r="G96">
        <v>1</v>
      </c>
      <c r="H96">
        <v>1</v>
      </c>
      <c r="I96" t="s">
        <v>1931</v>
      </c>
      <c r="J96" t="s">
        <v>1929</v>
      </c>
      <c r="K96" t="s">
        <v>1932</v>
      </c>
      <c r="L96" s="350">
        <v>46231</v>
      </c>
      <c r="M96">
        <v>5</v>
      </c>
      <c r="N96">
        <v>28</v>
      </c>
      <c r="O96" s="351">
        <v>46204</v>
      </c>
      <c r="P96">
        <v>1</v>
      </c>
      <c r="Q96">
        <v>0</v>
      </c>
      <c r="R96">
        <v>463.52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10</v>
      </c>
      <c r="AH96">
        <v>6</v>
      </c>
      <c r="AI96" t="s">
        <v>12</v>
      </c>
    </row>
    <row r="97" spans="1:35" ht="12.5">
      <c r="A97" t="s">
        <v>83</v>
      </c>
      <c r="B97" t="s">
        <v>48</v>
      </c>
      <c r="C97" t="s">
        <v>12</v>
      </c>
      <c r="E97">
        <v>1</v>
      </c>
      <c r="F97" t="s">
        <v>54</v>
      </c>
      <c r="G97">
        <v>1</v>
      </c>
      <c r="H97">
        <v>1</v>
      </c>
      <c r="I97" t="s">
        <v>1931</v>
      </c>
      <c r="J97" t="s">
        <v>1929</v>
      </c>
      <c r="K97" t="s">
        <v>1932</v>
      </c>
      <c r="L97" s="350">
        <v>46232</v>
      </c>
      <c r="M97">
        <v>6</v>
      </c>
      <c r="N97">
        <v>29</v>
      </c>
      <c r="O97" s="351">
        <v>46204</v>
      </c>
      <c r="P97">
        <v>1</v>
      </c>
      <c r="Q97">
        <v>218</v>
      </c>
      <c r="R97">
        <v>463.52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10</v>
      </c>
      <c r="AH97">
        <v>6</v>
      </c>
      <c r="AI97" t="s">
        <v>12</v>
      </c>
    </row>
    <row r="98" spans="1:35" ht="12.5">
      <c r="A98" t="s">
        <v>83</v>
      </c>
      <c r="B98" t="s">
        <v>48</v>
      </c>
      <c r="C98" t="s">
        <v>12</v>
      </c>
      <c r="E98">
        <v>1</v>
      </c>
      <c r="F98" t="s">
        <v>54</v>
      </c>
      <c r="G98">
        <v>1</v>
      </c>
      <c r="H98">
        <v>1</v>
      </c>
      <c r="I98" t="s">
        <v>1931</v>
      </c>
      <c r="J98" t="s">
        <v>1929</v>
      </c>
      <c r="K98" t="s">
        <v>1932</v>
      </c>
      <c r="L98" s="350">
        <v>46233</v>
      </c>
      <c r="M98">
        <v>7</v>
      </c>
      <c r="N98">
        <v>30</v>
      </c>
      <c r="O98" s="351">
        <v>46204</v>
      </c>
      <c r="P98">
        <v>1</v>
      </c>
      <c r="Q98">
        <v>0</v>
      </c>
      <c r="R98">
        <v>463.52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10</v>
      </c>
      <c r="AH98">
        <v>6</v>
      </c>
      <c r="AI98" t="s">
        <v>12</v>
      </c>
    </row>
    <row r="99" spans="1:35" ht="12.5">
      <c r="A99" t="s">
        <v>83</v>
      </c>
      <c r="B99" t="s">
        <v>48</v>
      </c>
      <c r="C99" t="s">
        <v>12</v>
      </c>
      <c r="E99">
        <v>1</v>
      </c>
      <c r="F99" t="s">
        <v>54</v>
      </c>
      <c r="G99">
        <v>1</v>
      </c>
      <c r="H99">
        <v>1</v>
      </c>
      <c r="I99" t="s">
        <v>1931</v>
      </c>
      <c r="J99" t="s">
        <v>1929</v>
      </c>
      <c r="K99" t="s">
        <v>1932</v>
      </c>
      <c r="L99" s="350">
        <v>46234</v>
      </c>
      <c r="M99">
        <v>8</v>
      </c>
      <c r="N99">
        <v>31</v>
      </c>
      <c r="O99" s="351">
        <v>46204</v>
      </c>
      <c r="P99">
        <v>1</v>
      </c>
      <c r="Q99">
        <v>0</v>
      </c>
      <c r="R99">
        <v>463.52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10</v>
      </c>
      <c r="AH99">
        <v>6</v>
      </c>
      <c r="AI99" t="s">
        <v>12</v>
      </c>
    </row>
    <row r="100" spans="1:35" ht="12.5">
      <c r="A100" t="s">
        <v>83</v>
      </c>
      <c r="B100" t="s">
        <v>48</v>
      </c>
      <c r="C100" t="s">
        <v>12</v>
      </c>
      <c r="E100">
        <v>1</v>
      </c>
      <c r="F100" t="s">
        <v>54</v>
      </c>
      <c r="G100">
        <v>1</v>
      </c>
      <c r="H100">
        <v>1</v>
      </c>
      <c r="I100" t="s">
        <v>1931</v>
      </c>
      <c r="J100" t="s">
        <v>1929</v>
      </c>
      <c r="K100" t="s">
        <v>1932</v>
      </c>
      <c r="L100" s="350">
        <v>46235</v>
      </c>
      <c r="M100">
        <v>9</v>
      </c>
      <c r="N100">
        <v>1</v>
      </c>
      <c r="O100" s="351">
        <v>46235</v>
      </c>
      <c r="P100">
        <v>1</v>
      </c>
      <c r="Q100">
        <v>270</v>
      </c>
      <c r="R100">
        <v>463.52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10</v>
      </c>
      <c r="AH100">
        <v>6</v>
      </c>
      <c r="AI100" t="s">
        <v>12</v>
      </c>
    </row>
    <row r="101" spans="1:35" ht="12.5">
      <c r="A101" t="s">
        <v>83</v>
      </c>
      <c r="B101" t="s">
        <v>48</v>
      </c>
      <c r="C101" t="s">
        <v>12</v>
      </c>
      <c r="E101">
        <v>1</v>
      </c>
      <c r="F101" t="s">
        <v>54</v>
      </c>
      <c r="G101">
        <v>1</v>
      </c>
      <c r="H101">
        <v>1</v>
      </c>
      <c r="I101" t="s">
        <v>1931</v>
      </c>
      <c r="J101" t="s">
        <v>1929</v>
      </c>
      <c r="K101" t="s">
        <v>1932</v>
      </c>
      <c r="L101" s="350">
        <v>46236</v>
      </c>
      <c r="M101">
        <v>10</v>
      </c>
      <c r="N101">
        <v>2</v>
      </c>
      <c r="O101" s="351">
        <v>46235</v>
      </c>
      <c r="P101">
        <v>1</v>
      </c>
      <c r="Q101">
        <v>0</v>
      </c>
      <c r="R101">
        <v>463.52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10</v>
      </c>
      <c r="AH101">
        <v>6</v>
      </c>
      <c r="AI101" t="s">
        <v>12</v>
      </c>
    </row>
    <row r="102" spans="1:35" ht="12.5">
      <c r="A102" t="s">
        <v>83</v>
      </c>
      <c r="B102" t="s">
        <v>48</v>
      </c>
      <c r="C102" t="s">
        <v>12</v>
      </c>
      <c r="E102">
        <v>1</v>
      </c>
      <c r="F102" t="s">
        <v>54</v>
      </c>
      <c r="G102">
        <v>1</v>
      </c>
      <c r="H102">
        <v>1</v>
      </c>
      <c r="I102" t="s">
        <v>1931</v>
      </c>
      <c r="J102" t="s">
        <v>1929</v>
      </c>
      <c r="K102" t="s">
        <v>1932</v>
      </c>
      <c r="L102" s="350">
        <v>46237</v>
      </c>
      <c r="M102">
        <v>11</v>
      </c>
      <c r="N102">
        <v>3</v>
      </c>
      <c r="O102" s="351">
        <v>46235</v>
      </c>
      <c r="P102">
        <v>1</v>
      </c>
      <c r="Q102">
        <v>0</v>
      </c>
      <c r="R102">
        <v>463.52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10</v>
      </c>
      <c r="AH102">
        <v>6</v>
      </c>
      <c r="AI102" t="s">
        <v>12</v>
      </c>
    </row>
    <row r="103" spans="1:35" ht="12.5">
      <c r="A103" t="s">
        <v>83</v>
      </c>
      <c r="B103" t="s">
        <v>48</v>
      </c>
      <c r="C103" t="s">
        <v>12</v>
      </c>
      <c r="E103">
        <v>1</v>
      </c>
      <c r="F103" t="s">
        <v>54</v>
      </c>
      <c r="G103">
        <v>1</v>
      </c>
      <c r="H103">
        <v>1</v>
      </c>
      <c r="I103" t="s">
        <v>1931</v>
      </c>
      <c r="J103" t="s">
        <v>1929</v>
      </c>
      <c r="K103" t="s">
        <v>1932</v>
      </c>
      <c r="L103" s="350">
        <v>46238</v>
      </c>
      <c r="M103">
        <v>12</v>
      </c>
      <c r="N103">
        <v>4</v>
      </c>
      <c r="O103" s="351">
        <v>46235</v>
      </c>
      <c r="P103">
        <v>0</v>
      </c>
      <c r="Q103">
        <v>0</v>
      </c>
      <c r="R103">
        <v>463.52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10</v>
      </c>
      <c r="AH103">
        <v>6</v>
      </c>
      <c r="AI103" t="s">
        <v>12</v>
      </c>
    </row>
    <row r="104" spans="1:35" ht="12.5">
      <c r="A104" t="s">
        <v>83</v>
      </c>
      <c r="B104" t="s">
        <v>48</v>
      </c>
      <c r="C104" t="s">
        <v>12</v>
      </c>
      <c r="E104">
        <v>1</v>
      </c>
      <c r="F104" t="s">
        <v>54</v>
      </c>
      <c r="G104">
        <v>1</v>
      </c>
      <c r="H104">
        <v>1</v>
      </c>
      <c r="I104" t="s">
        <v>1931</v>
      </c>
      <c r="J104" t="s">
        <v>1929</v>
      </c>
      <c r="K104" t="s">
        <v>1932</v>
      </c>
      <c r="L104" s="350">
        <v>46239</v>
      </c>
      <c r="M104">
        <v>13</v>
      </c>
      <c r="N104">
        <v>5</v>
      </c>
      <c r="O104" s="351">
        <v>46235</v>
      </c>
      <c r="P104">
        <v>0</v>
      </c>
      <c r="Q104">
        <v>0</v>
      </c>
      <c r="R104">
        <v>463.52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10</v>
      </c>
      <c r="AH104">
        <v>6</v>
      </c>
      <c r="AI104" t="s">
        <v>12</v>
      </c>
    </row>
    <row r="105" spans="1:35" ht="12.5">
      <c r="A105" t="s">
        <v>83</v>
      </c>
      <c r="B105" t="s">
        <v>48</v>
      </c>
      <c r="C105" t="s">
        <v>12</v>
      </c>
      <c r="E105">
        <v>1</v>
      </c>
      <c r="F105" t="s">
        <v>54</v>
      </c>
      <c r="G105">
        <v>1</v>
      </c>
      <c r="H105">
        <v>1</v>
      </c>
      <c r="I105" t="s">
        <v>1931</v>
      </c>
      <c r="J105" t="s">
        <v>1929</v>
      </c>
      <c r="K105" t="s">
        <v>1932</v>
      </c>
      <c r="L105" s="350">
        <v>46240</v>
      </c>
      <c r="M105">
        <v>14</v>
      </c>
      <c r="N105">
        <v>6</v>
      </c>
      <c r="O105" s="351">
        <v>46235</v>
      </c>
      <c r="P105">
        <v>0</v>
      </c>
      <c r="Q105">
        <v>0</v>
      </c>
      <c r="R105">
        <v>463.52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10</v>
      </c>
      <c r="AH105">
        <v>6</v>
      </c>
      <c r="AI105" t="s">
        <v>12</v>
      </c>
    </row>
    <row r="106" spans="1:35" ht="12.5">
      <c r="A106" t="s">
        <v>83</v>
      </c>
      <c r="B106" t="s">
        <v>48</v>
      </c>
      <c r="C106" t="s">
        <v>12</v>
      </c>
      <c r="E106">
        <v>1</v>
      </c>
      <c r="F106" t="s">
        <v>54</v>
      </c>
      <c r="G106">
        <v>1</v>
      </c>
      <c r="H106">
        <v>1</v>
      </c>
      <c r="I106" t="s">
        <v>1931</v>
      </c>
      <c r="J106" t="s">
        <v>1929</v>
      </c>
      <c r="K106" t="s">
        <v>1932</v>
      </c>
      <c r="L106" s="350">
        <v>46241</v>
      </c>
      <c r="M106">
        <v>15</v>
      </c>
      <c r="N106">
        <v>7</v>
      </c>
      <c r="O106" s="351">
        <v>46235</v>
      </c>
      <c r="P106">
        <v>0</v>
      </c>
      <c r="Q106">
        <v>0</v>
      </c>
      <c r="R106">
        <v>463.52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10</v>
      </c>
      <c r="AH106">
        <v>6</v>
      </c>
      <c r="AI106" t="s">
        <v>12</v>
      </c>
    </row>
    <row r="107" spans="1:35" ht="12.5">
      <c r="A107" t="s">
        <v>83</v>
      </c>
      <c r="B107" t="s">
        <v>48</v>
      </c>
      <c r="C107" t="s">
        <v>12</v>
      </c>
      <c r="E107">
        <v>1</v>
      </c>
      <c r="F107" t="s">
        <v>54</v>
      </c>
      <c r="G107">
        <v>1</v>
      </c>
      <c r="H107">
        <v>1</v>
      </c>
      <c r="I107" t="s">
        <v>1931</v>
      </c>
      <c r="J107" t="s">
        <v>1929</v>
      </c>
      <c r="K107" t="s">
        <v>1932</v>
      </c>
      <c r="L107" s="350">
        <v>46242</v>
      </c>
      <c r="M107">
        <v>16</v>
      </c>
      <c r="N107">
        <v>8</v>
      </c>
      <c r="O107" s="351">
        <v>46235</v>
      </c>
      <c r="P107">
        <v>0</v>
      </c>
      <c r="Q107">
        <v>34</v>
      </c>
      <c r="R107">
        <v>463.52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10</v>
      </c>
      <c r="AH107">
        <v>6</v>
      </c>
      <c r="AI107" t="s">
        <v>12</v>
      </c>
    </row>
    <row r="108" spans="1:35" ht="12.5">
      <c r="A108" t="s">
        <v>83</v>
      </c>
      <c r="B108" t="s">
        <v>48</v>
      </c>
      <c r="C108" t="s">
        <v>12</v>
      </c>
      <c r="E108">
        <v>1</v>
      </c>
      <c r="F108" t="s">
        <v>54</v>
      </c>
      <c r="G108">
        <v>1</v>
      </c>
      <c r="H108">
        <v>1</v>
      </c>
      <c r="I108" t="s">
        <v>1931</v>
      </c>
      <c r="J108" t="s">
        <v>1929</v>
      </c>
      <c r="K108" t="s">
        <v>1932</v>
      </c>
      <c r="L108" s="350">
        <v>46243</v>
      </c>
      <c r="M108">
        <v>17</v>
      </c>
      <c r="N108">
        <v>9</v>
      </c>
      <c r="O108" s="351">
        <v>46235</v>
      </c>
      <c r="P108">
        <v>0</v>
      </c>
      <c r="Q108">
        <v>287</v>
      </c>
      <c r="R108">
        <v>463.52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10</v>
      </c>
      <c r="AH108">
        <v>6</v>
      </c>
      <c r="AI108" t="s">
        <v>12</v>
      </c>
    </row>
    <row r="109" spans="1:35" ht="12.5">
      <c r="A109" t="s">
        <v>83</v>
      </c>
      <c r="B109" t="s">
        <v>48</v>
      </c>
      <c r="C109" t="s">
        <v>12</v>
      </c>
      <c r="E109">
        <v>1</v>
      </c>
      <c r="F109" t="s">
        <v>54</v>
      </c>
      <c r="G109">
        <v>1</v>
      </c>
      <c r="H109">
        <v>1</v>
      </c>
      <c r="I109" t="s">
        <v>1931</v>
      </c>
      <c r="J109" t="s">
        <v>1929</v>
      </c>
      <c r="K109" t="s">
        <v>1932</v>
      </c>
      <c r="L109" s="350">
        <v>46244</v>
      </c>
      <c r="M109">
        <v>18</v>
      </c>
      <c r="N109">
        <v>10</v>
      </c>
      <c r="O109" s="351">
        <v>46235</v>
      </c>
      <c r="P109">
        <v>0</v>
      </c>
      <c r="Q109">
        <v>0</v>
      </c>
      <c r="R109">
        <v>463.52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10</v>
      </c>
      <c r="AH109">
        <v>6</v>
      </c>
      <c r="AI109" t="s">
        <v>12</v>
      </c>
    </row>
    <row r="110" spans="1:35" ht="12.5">
      <c r="A110" t="s">
        <v>83</v>
      </c>
      <c r="B110" t="s">
        <v>48</v>
      </c>
      <c r="C110" t="s">
        <v>12</v>
      </c>
      <c r="E110">
        <v>1</v>
      </c>
      <c r="F110" t="s">
        <v>54</v>
      </c>
      <c r="G110">
        <v>1</v>
      </c>
      <c r="H110">
        <v>1</v>
      </c>
      <c r="I110" t="s">
        <v>1931</v>
      </c>
      <c r="J110" t="s">
        <v>1929</v>
      </c>
      <c r="K110" t="s">
        <v>1932</v>
      </c>
      <c r="L110" s="350">
        <v>46245</v>
      </c>
      <c r="M110">
        <v>19</v>
      </c>
      <c r="N110">
        <v>11</v>
      </c>
      <c r="O110" s="351">
        <v>46235</v>
      </c>
      <c r="P110">
        <v>0</v>
      </c>
      <c r="Q110">
        <v>0</v>
      </c>
      <c r="R110">
        <v>463.52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10</v>
      </c>
      <c r="AH110">
        <v>6</v>
      </c>
      <c r="AI110" t="s">
        <v>12</v>
      </c>
    </row>
    <row r="111" spans="1:35" ht="12.5">
      <c r="A111" t="s">
        <v>83</v>
      </c>
      <c r="B111" t="s">
        <v>48</v>
      </c>
      <c r="C111" t="s">
        <v>12</v>
      </c>
      <c r="E111">
        <v>1</v>
      </c>
      <c r="F111" t="s">
        <v>54</v>
      </c>
      <c r="G111">
        <v>1</v>
      </c>
      <c r="H111">
        <v>1</v>
      </c>
      <c r="I111" t="s">
        <v>1931</v>
      </c>
      <c r="J111" t="s">
        <v>1929</v>
      </c>
      <c r="K111" t="s">
        <v>1932</v>
      </c>
      <c r="L111" s="350">
        <v>46246</v>
      </c>
      <c r="M111">
        <v>20</v>
      </c>
      <c r="N111">
        <v>12</v>
      </c>
      <c r="O111" s="351">
        <v>46235</v>
      </c>
      <c r="P111">
        <v>0</v>
      </c>
      <c r="Q111">
        <v>0</v>
      </c>
      <c r="R111">
        <v>463.52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10</v>
      </c>
      <c r="AH111">
        <v>6</v>
      </c>
      <c r="AI111" t="s">
        <v>12</v>
      </c>
    </row>
    <row r="112" spans="1:35" ht="12.5">
      <c r="A112" t="s">
        <v>83</v>
      </c>
      <c r="B112" t="s">
        <v>48</v>
      </c>
      <c r="C112" t="s">
        <v>12</v>
      </c>
      <c r="E112">
        <v>1</v>
      </c>
      <c r="F112" t="s">
        <v>54</v>
      </c>
      <c r="G112">
        <v>1</v>
      </c>
      <c r="H112">
        <v>1</v>
      </c>
      <c r="I112" t="s">
        <v>1931</v>
      </c>
      <c r="J112" t="s">
        <v>1929</v>
      </c>
      <c r="K112" t="s">
        <v>1932</v>
      </c>
      <c r="L112" s="350">
        <v>46247</v>
      </c>
      <c r="M112">
        <v>21</v>
      </c>
      <c r="N112">
        <v>13</v>
      </c>
      <c r="O112" s="351">
        <v>46235</v>
      </c>
      <c r="P112">
        <v>0</v>
      </c>
      <c r="Q112">
        <v>0</v>
      </c>
      <c r="R112">
        <v>463.52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10</v>
      </c>
      <c r="AH112">
        <v>6</v>
      </c>
      <c r="AI112" t="s">
        <v>12</v>
      </c>
    </row>
    <row r="113" spans="1:35" ht="12.5">
      <c r="A113" t="s">
        <v>83</v>
      </c>
      <c r="B113" t="s">
        <v>48</v>
      </c>
      <c r="C113" t="s">
        <v>12</v>
      </c>
      <c r="E113">
        <v>1</v>
      </c>
      <c r="F113" t="s">
        <v>54</v>
      </c>
      <c r="G113">
        <v>1</v>
      </c>
      <c r="H113">
        <v>1</v>
      </c>
      <c r="I113" t="s">
        <v>1931</v>
      </c>
      <c r="J113" t="s">
        <v>1929</v>
      </c>
      <c r="K113" t="s">
        <v>1932</v>
      </c>
      <c r="L113" s="350">
        <v>46248</v>
      </c>
      <c r="M113">
        <v>22</v>
      </c>
      <c r="N113">
        <v>14</v>
      </c>
      <c r="O113" s="351">
        <v>46235</v>
      </c>
      <c r="P113">
        <v>0</v>
      </c>
      <c r="Q113">
        <v>376</v>
      </c>
      <c r="R113">
        <v>463.52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10</v>
      </c>
      <c r="AH113">
        <v>6</v>
      </c>
      <c r="AI113" t="s">
        <v>12</v>
      </c>
    </row>
    <row r="114" spans="1:35" ht="12.5">
      <c r="A114" t="s">
        <v>83</v>
      </c>
      <c r="B114" t="s">
        <v>48</v>
      </c>
      <c r="C114" t="s">
        <v>12</v>
      </c>
      <c r="E114">
        <v>1</v>
      </c>
      <c r="F114" t="s">
        <v>54</v>
      </c>
      <c r="G114">
        <v>1</v>
      </c>
      <c r="H114">
        <v>1</v>
      </c>
      <c r="I114" t="s">
        <v>1931</v>
      </c>
      <c r="J114" t="s">
        <v>1929</v>
      </c>
      <c r="K114" t="s">
        <v>1932</v>
      </c>
      <c r="L114" s="350">
        <v>46249</v>
      </c>
      <c r="M114">
        <v>23</v>
      </c>
      <c r="N114">
        <v>15</v>
      </c>
      <c r="O114" s="351">
        <v>46235</v>
      </c>
      <c r="P114">
        <v>0</v>
      </c>
      <c r="Q114">
        <v>0</v>
      </c>
      <c r="R114">
        <v>463.52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10</v>
      </c>
      <c r="AH114">
        <v>6</v>
      </c>
      <c r="AI114" t="s">
        <v>12</v>
      </c>
    </row>
    <row r="115" spans="1:35" ht="12.5">
      <c r="A115" t="s">
        <v>83</v>
      </c>
      <c r="B115" t="s">
        <v>48</v>
      </c>
      <c r="C115" t="s">
        <v>12</v>
      </c>
      <c r="E115">
        <v>1</v>
      </c>
      <c r="F115" t="s">
        <v>54</v>
      </c>
      <c r="G115">
        <v>1</v>
      </c>
      <c r="H115">
        <v>1</v>
      </c>
      <c r="I115" t="s">
        <v>1931</v>
      </c>
      <c r="J115" t="s">
        <v>1929</v>
      </c>
      <c r="K115" t="s">
        <v>1932</v>
      </c>
      <c r="L115" s="350">
        <v>46250</v>
      </c>
      <c r="M115">
        <v>24</v>
      </c>
      <c r="N115">
        <v>16</v>
      </c>
      <c r="O115" s="351">
        <v>46235</v>
      </c>
      <c r="P115">
        <v>0</v>
      </c>
      <c r="Q115">
        <v>127</v>
      </c>
      <c r="R115">
        <v>463.52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10</v>
      </c>
      <c r="AH115">
        <v>6</v>
      </c>
      <c r="AI115" t="s">
        <v>12</v>
      </c>
    </row>
    <row r="116" spans="1:35" ht="12.5">
      <c r="A116" t="s">
        <v>83</v>
      </c>
      <c r="B116" t="s">
        <v>48</v>
      </c>
      <c r="C116" t="s">
        <v>12</v>
      </c>
      <c r="E116">
        <v>1</v>
      </c>
      <c r="F116" t="s">
        <v>54</v>
      </c>
      <c r="G116">
        <v>1</v>
      </c>
      <c r="H116">
        <v>1</v>
      </c>
      <c r="I116" t="s">
        <v>1931</v>
      </c>
      <c r="J116" t="s">
        <v>1929</v>
      </c>
      <c r="K116" t="s">
        <v>1932</v>
      </c>
      <c r="L116" s="350">
        <v>46251</v>
      </c>
      <c r="M116">
        <v>25</v>
      </c>
      <c r="N116">
        <v>17</v>
      </c>
      <c r="O116" s="351">
        <v>46235</v>
      </c>
      <c r="P116">
        <v>0</v>
      </c>
      <c r="Q116">
        <v>0</v>
      </c>
      <c r="R116">
        <v>463.52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10</v>
      </c>
      <c r="AH116">
        <v>6</v>
      </c>
      <c r="AI116" t="s">
        <v>12</v>
      </c>
    </row>
    <row r="117" spans="1:35" ht="12.5">
      <c r="A117" t="s">
        <v>83</v>
      </c>
      <c r="B117" t="s">
        <v>48</v>
      </c>
      <c r="C117" t="s">
        <v>12</v>
      </c>
      <c r="E117">
        <v>1</v>
      </c>
      <c r="F117" t="s">
        <v>54</v>
      </c>
      <c r="G117">
        <v>1</v>
      </c>
      <c r="H117">
        <v>1</v>
      </c>
      <c r="I117" t="s">
        <v>1931</v>
      </c>
      <c r="J117" t="s">
        <v>1929</v>
      </c>
      <c r="K117" t="s">
        <v>1932</v>
      </c>
      <c r="L117" s="350">
        <v>46252</v>
      </c>
      <c r="M117">
        <v>26</v>
      </c>
      <c r="N117">
        <v>18</v>
      </c>
      <c r="O117" s="351">
        <v>46235</v>
      </c>
      <c r="P117">
        <v>0</v>
      </c>
      <c r="Q117">
        <v>0</v>
      </c>
      <c r="R117">
        <v>463.52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10</v>
      </c>
      <c r="AH117">
        <v>6</v>
      </c>
      <c r="AI117" t="s">
        <v>12</v>
      </c>
    </row>
    <row r="118" spans="1:35" ht="12.5">
      <c r="A118" t="s">
        <v>83</v>
      </c>
      <c r="B118" t="s">
        <v>48</v>
      </c>
      <c r="C118" t="s">
        <v>12</v>
      </c>
      <c r="E118">
        <v>1</v>
      </c>
      <c r="F118" t="s">
        <v>54</v>
      </c>
      <c r="G118">
        <v>1</v>
      </c>
      <c r="H118">
        <v>1</v>
      </c>
      <c r="I118" t="s">
        <v>1931</v>
      </c>
      <c r="J118" t="s">
        <v>1929</v>
      </c>
      <c r="K118" t="s">
        <v>1932</v>
      </c>
      <c r="L118" s="350">
        <v>46253</v>
      </c>
      <c r="M118">
        <v>27</v>
      </c>
      <c r="N118">
        <v>19</v>
      </c>
      <c r="O118" s="351">
        <v>46235</v>
      </c>
      <c r="P118">
        <v>0</v>
      </c>
      <c r="Q118">
        <v>0</v>
      </c>
      <c r="R118">
        <v>463.52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10</v>
      </c>
      <c r="AH118">
        <v>6</v>
      </c>
      <c r="AI118" t="s">
        <v>12</v>
      </c>
    </row>
    <row r="119" spans="1:35" ht="12.5">
      <c r="A119" t="s">
        <v>83</v>
      </c>
      <c r="B119" t="s">
        <v>48</v>
      </c>
      <c r="C119" t="s">
        <v>12</v>
      </c>
      <c r="E119">
        <v>1</v>
      </c>
      <c r="F119" t="s">
        <v>54</v>
      </c>
      <c r="G119">
        <v>1</v>
      </c>
      <c r="H119">
        <v>1</v>
      </c>
      <c r="I119" t="s">
        <v>1931</v>
      </c>
      <c r="J119" t="s">
        <v>1929</v>
      </c>
      <c r="K119" t="s">
        <v>1932</v>
      </c>
      <c r="L119" s="350">
        <v>46254</v>
      </c>
      <c r="M119">
        <v>28</v>
      </c>
      <c r="N119">
        <v>20</v>
      </c>
      <c r="O119" s="351">
        <v>46235</v>
      </c>
      <c r="P119">
        <v>0</v>
      </c>
      <c r="Q119">
        <v>610</v>
      </c>
      <c r="R119">
        <v>463.52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10</v>
      </c>
      <c r="AH119">
        <v>6</v>
      </c>
      <c r="AI119" t="s">
        <v>12</v>
      </c>
    </row>
    <row r="120" spans="1:35" ht="12.5">
      <c r="A120" t="s">
        <v>83</v>
      </c>
      <c r="B120" t="s">
        <v>48</v>
      </c>
      <c r="C120" t="s">
        <v>12</v>
      </c>
      <c r="E120">
        <v>1</v>
      </c>
      <c r="F120" t="s">
        <v>54</v>
      </c>
      <c r="G120">
        <v>1</v>
      </c>
      <c r="H120">
        <v>1</v>
      </c>
      <c r="I120" t="s">
        <v>1931</v>
      </c>
      <c r="J120" t="s">
        <v>1929</v>
      </c>
      <c r="K120" t="s">
        <v>1932</v>
      </c>
      <c r="L120" s="350">
        <v>46255</v>
      </c>
      <c r="M120">
        <v>29</v>
      </c>
      <c r="N120">
        <v>21</v>
      </c>
      <c r="O120" s="351">
        <v>46235</v>
      </c>
      <c r="P120">
        <v>0</v>
      </c>
      <c r="Q120">
        <v>96</v>
      </c>
      <c r="R120">
        <v>463.52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10</v>
      </c>
      <c r="AH120">
        <v>6</v>
      </c>
      <c r="AI120" t="s">
        <v>12</v>
      </c>
    </row>
    <row r="121" spans="1:35" ht="12.5">
      <c r="A121" t="s">
        <v>83</v>
      </c>
      <c r="B121" t="s">
        <v>48</v>
      </c>
      <c r="C121" t="s">
        <v>12</v>
      </c>
      <c r="E121">
        <v>1</v>
      </c>
      <c r="F121" t="s">
        <v>54</v>
      </c>
      <c r="G121">
        <v>1</v>
      </c>
      <c r="H121">
        <v>1</v>
      </c>
      <c r="I121" t="s">
        <v>1931</v>
      </c>
      <c r="J121" t="s">
        <v>1929</v>
      </c>
      <c r="K121" t="s">
        <v>1932</v>
      </c>
      <c r="L121" s="350">
        <v>46256</v>
      </c>
      <c r="M121">
        <v>30</v>
      </c>
      <c r="N121">
        <v>22</v>
      </c>
      <c r="O121" s="351">
        <v>46235</v>
      </c>
      <c r="P121">
        <v>0</v>
      </c>
      <c r="Q121">
        <v>0</v>
      </c>
      <c r="R121">
        <v>463.52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10</v>
      </c>
      <c r="AH121">
        <v>6</v>
      </c>
      <c r="AI121" t="s">
        <v>12</v>
      </c>
    </row>
    <row r="122" spans="1:35" ht="12.5">
      <c r="A122" t="s">
        <v>77</v>
      </c>
      <c r="B122" t="s">
        <v>29</v>
      </c>
      <c r="C122" t="s">
        <v>12</v>
      </c>
      <c r="E122">
        <v>1</v>
      </c>
      <c r="F122" t="s">
        <v>56</v>
      </c>
      <c r="G122">
        <v>3</v>
      </c>
      <c r="H122">
        <v>0</v>
      </c>
      <c r="I122" t="s">
        <v>1928</v>
      </c>
      <c r="J122" t="s">
        <v>1926</v>
      </c>
      <c r="L122" s="350">
        <v>46227</v>
      </c>
      <c r="M122">
        <v>1</v>
      </c>
      <c r="N122">
        <v>24</v>
      </c>
      <c r="O122" s="351">
        <v>46204</v>
      </c>
      <c r="P122">
        <v>1</v>
      </c>
      <c r="Q122">
        <v>0</v>
      </c>
      <c r="R122">
        <v>23.48</v>
      </c>
      <c r="S122">
        <v>1</v>
      </c>
      <c r="T122">
        <v>587</v>
      </c>
      <c r="U122">
        <v>270</v>
      </c>
      <c r="V122">
        <v>317</v>
      </c>
      <c r="W122">
        <v>1334</v>
      </c>
      <c r="X122">
        <v>68.177172061328804</v>
      </c>
      <c r="Y122">
        <v>587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3</v>
      </c>
      <c r="AH122">
        <v>7</v>
      </c>
      <c r="AI122" t="s">
        <v>12</v>
      </c>
    </row>
    <row r="123" spans="1:35" ht="12.5">
      <c r="A123" t="s">
        <v>77</v>
      </c>
      <c r="B123" t="s">
        <v>29</v>
      </c>
      <c r="C123" t="s">
        <v>12</v>
      </c>
      <c r="E123">
        <v>1</v>
      </c>
      <c r="F123" t="s">
        <v>56</v>
      </c>
      <c r="G123">
        <v>3</v>
      </c>
      <c r="H123">
        <v>0</v>
      </c>
      <c r="I123" t="s">
        <v>1928</v>
      </c>
      <c r="J123" t="s">
        <v>1926</v>
      </c>
      <c r="L123" s="350">
        <v>46228</v>
      </c>
      <c r="M123">
        <v>2</v>
      </c>
      <c r="N123">
        <v>25</v>
      </c>
      <c r="O123" s="351">
        <v>46204</v>
      </c>
      <c r="P123">
        <v>1</v>
      </c>
      <c r="Q123">
        <v>0</v>
      </c>
      <c r="R123">
        <v>23.48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3</v>
      </c>
      <c r="AH123">
        <v>7</v>
      </c>
      <c r="AI123" t="s">
        <v>12</v>
      </c>
    </row>
    <row r="124" spans="1:35" ht="12.5">
      <c r="A124" t="s">
        <v>77</v>
      </c>
      <c r="B124" t="s">
        <v>29</v>
      </c>
      <c r="C124" t="s">
        <v>12</v>
      </c>
      <c r="E124">
        <v>1</v>
      </c>
      <c r="F124" t="s">
        <v>56</v>
      </c>
      <c r="G124">
        <v>3</v>
      </c>
      <c r="H124">
        <v>0</v>
      </c>
      <c r="I124" t="s">
        <v>1928</v>
      </c>
      <c r="J124" t="s">
        <v>1926</v>
      </c>
      <c r="L124" s="350">
        <v>46229</v>
      </c>
      <c r="M124">
        <v>3</v>
      </c>
      <c r="N124">
        <v>26</v>
      </c>
      <c r="O124" s="351">
        <v>46204</v>
      </c>
      <c r="P124">
        <v>1</v>
      </c>
      <c r="Q124">
        <v>0</v>
      </c>
      <c r="R124">
        <v>23.48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3</v>
      </c>
      <c r="AH124">
        <v>7</v>
      </c>
      <c r="AI124" t="s">
        <v>12</v>
      </c>
    </row>
    <row r="125" spans="1:35" ht="12.5">
      <c r="A125" t="s">
        <v>77</v>
      </c>
      <c r="B125" t="s">
        <v>29</v>
      </c>
      <c r="C125" t="s">
        <v>12</v>
      </c>
      <c r="E125">
        <v>1</v>
      </c>
      <c r="F125" t="s">
        <v>56</v>
      </c>
      <c r="G125">
        <v>3</v>
      </c>
      <c r="H125">
        <v>0</v>
      </c>
      <c r="I125" t="s">
        <v>1928</v>
      </c>
      <c r="J125" t="s">
        <v>1926</v>
      </c>
      <c r="L125" s="350">
        <v>46230</v>
      </c>
      <c r="M125">
        <v>4</v>
      </c>
      <c r="N125">
        <v>27</v>
      </c>
      <c r="O125" s="351">
        <v>46204</v>
      </c>
      <c r="P125">
        <v>1</v>
      </c>
      <c r="Q125">
        <v>0</v>
      </c>
      <c r="R125">
        <v>23.48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3</v>
      </c>
      <c r="AH125">
        <v>7</v>
      </c>
      <c r="AI125" t="s">
        <v>12</v>
      </c>
    </row>
    <row r="126" spans="1:35" ht="12.5">
      <c r="A126" t="s">
        <v>77</v>
      </c>
      <c r="B126" t="s">
        <v>29</v>
      </c>
      <c r="C126" t="s">
        <v>12</v>
      </c>
      <c r="E126">
        <v>1</v>
      </c>
      <c r="F126" t="s">
        <v>56</v>
      </c>
      <c r="G126">
        <v>3</v>
      </c>
      <c r="H126">
        <v>0</v>
      </c>
      <c r="I126" t="s">
        <v>1928</v>
      </c>
      <c r="J126" t="s">
        <v>1926</v>
      </c>
      <c r="L126" s="350">
        <v>46231</v>
      </c>
      <c r="M126">
        <v>5</v>
      </c>
      <c r="N126">
        <v>28</v>
      </c>
      <c r="O126" s="351">
        <v>46204</v>
      </c>
      <c r="P126">
        <v>1</v>
      </c>
      <c r="Q126">
        <v>0</v>
      </c>
      <c r="R126">
        <v>23.48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3</v>
      </c>
      <c r="AH126">
        <v>7</v>
      </c>
      <c r="AI126" t="s">
        <v>12</v>
      </c>
    </row>
    <row r="127" spans="1:35" ht="12.5">
      <c r="A127" t="s">
        <v>77</v>
      </c>
      <c r="B127" t="s">
        <v>29</v>
      </c>
      <c r="C127" t="s">
        <v>12</v>
      </c>
      <c r="E127">
        <v>1</v>
      </c>
      <c r="F127" t="s">
        <v>56</v>
      </c>
      <c r="G127">
        <v>3</v>
      </c>
      <c r="H127">
        <v>0</v>
      </c>
      <c r="I127" t="s">
        <v>1928</v>
      </c>
      <c r="J127" t="s">
        <v>1926</v>
      </c>
      <c r="L127" s="350">
        <v>46232</v>
      </c>
      <c r="M127">
        <v>6</v>
      </c>
      <c r="N127">
        <v>29</v>
      </c>
      <c r="O127" s="351">
        <v>46204</v>
      </c>
      <c r="P127">
        <v>1</v>
      </c>
      <c r="Q127">
        <v>0</v>
      </c>
      <c r="R127">
        <v>23.48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3</v>
      </c>
      <c r="AH127">
        <v>7</v>
      </c>
      <c r="AI127" t="s">
        <v>12</v>
      </c>
    </row>
    <row r="128" spans="1:35" ht="12.5">
      <c r="A128" t="s">
        <v>77</v>
      </c>
      <c r="B128" t="s">
        <v>29</v>
      </c>
      <c r="C128" t="s">
        <v>12</v>
      </c>
      <c r="E128">
        <v>1</v>
      </c>
      <c r="F128" t="s">
        <v>56</v>
      </c>
      <c r="G128">
        <v>3</v>
      </c>
      <c r="H128">
        <v>0</v>
      </c>
      <c r="I128" t="s">
        <v>1928</v>
      </c>
      <c r="J128" t="s">
        <v>1926</v>
      </c>
      <c r="L128" s="350">
        <v>46233</v>
      </c>
      <c r="M128">
        <v>7</v>
      </c>
      <c r="N128">
        <v>30</v>
      </c>
      <c r="O128" s="351">
        <v>46204</v>
      </c>
      <c r="P128">
        <v>1</v>
      </c>
      <c r="Q128">
        <v>270</v>
      </c>
      <c r="R128">
        <v>23.48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3</v>
      </c>
      <c r="AH128">
        <v>7</v>
      </c>
      <c r="AI128" t="s">
        <v>12</v>
      </c>
    </row>
    <row r="129" spans="1:35" ht="12.5">
      <c r="A129" t="s">
        <v>77</v>
      </c>
      <c r="B129" t="s">
        <v>29</v>
      </c>
      <c r="C129" t="s">
        <v>12</v>
      </c>
      <c r="E129">
        <v>1</v>
      </c>
      <c r="F129" t="s">
        <v>56</v>
      </c>
      <c r="G129">
        <v>3</v>
      </c>
      <c r="H129">
        <v>0</v>
      </c>
      <c r="I129" t="s">
        <v>1928</v>
      </c>
      <c r="J129" t="s">
        <v>1926</v>
      </c>
      <c r="L129" s="350">
        <v>46234</v>
      </c>
      <c r="M129">
        <v>8</v>
      </c>
      <c r="N129">
        <v>31</v>
      </c>
      <c r="O129" s="351">
        <v>46204</v>
      </c>
      <c r="P129">
        <v>1</v>
      </c>
      <c r="Q129">
        <v>0</v>
      </c>
      <c r="R129">
        <v>23.48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3</v>
      </c>
      <c r="AH129">
        <v>7</v>
      </c>
      <c r="AI129" t="s">
        <v>12</v>
      </c>
    </row>
    <row r="130" spans="1:35" ht="12.5">
      <c r="A130" t="s">
        <v>77</v>
      </c>
      <c r="B130" t="s">
        <v>29</v>
      </c>
      <c r="C130" t="s">
        <v>12</v>
      </c>
      <c r="E130">
        <v>1</v>
      </c>
      <c r="F130" t="s">
        <v>56</v>
      </c>
      <c r="G130">
        <v>3</v>
      </c>
      <c r="H130">
        <v>0</v>
      </c>
      <c r="I130" t="s">
        <v>1928</v>
      </c>
      <c r="J130" t="s">
        <v>1926</v>
      </c>
      <c r="L130" s="350">
        <v>46235</v>
      </c>
      <c r="M130">
        <v>9</v>
      </c>
      <c r="N130">
        <v>1</v>
      </c>
      <c r="O130" s="351">
        <v>46235</v>
      </c>
      <c r="P130">
        <v>1</v>
      </c>
      <c r="Q130">
        <v>0</v>
      </c>
      <c r="R130">
        <v>23.48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3</v>
      </c>
      <c r="AH130">
        <v>7</v>
      </c>
      <c r="AI130" t="s">
        <v>12</v>
      </c>
    </row>
    <row r="131" spans="1:35" ht="12.5">
      <c r="A131" t="s">
        <v>77</v>
      </c>
      <c r="B131" t="s">
        <v>29</v>
      </c>
      <c r="C131" t="s">
        <v>12</v>
      </c>
      <c r="E131">
        <v>1</v>
      </c>
      <c r="F131" t="s">
        <v>56</v>
      </c>
      <c r="G131">
        <v>3</v>
      </c>
      <c r="H131">
        <v>0</v>
      </c>
      <c r="I131" t="s">
        <v>1928</v>
      </c>
      <c r="J131" t="s">
        <v>1926</v>
      </c>
      <c r="L131" s="350">
        <v>46236</v>
      </c>
      <c r="M131">
        <v>10</v>
      </c>
      <c r="N131">
        <v>2</v>
      </c>
      <c r="O131" s="351">
        <v>46235</v>
      </c>
      <c r="P131">
        <v>1</v>
      </c>
      <c r="Q131">
        <v>0</v>
      </c>
      <c r="R131">
        <v>23.48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3</v>
      </c>
      <c r="AH131">
        <v>7</v>
      </c>
      <c r="AI131" t="s">
        <v>12</v>
      </c>
    </row>
    <row r="132" spans="1:35" ht="12.5">
      <c r="A132" t="s">
        <v>77</v>
      </c>
      <c r="B132" t="s">
        <v>29</v>
      </c>
      <c r="C132" t="s">
        <v>12</v>
      </c>
      <c r="E132">
        <v>1</v>
      </c>
      <c r="F132" t="s">
        <v>56</v>
      </c>
      <c r="G132">
        <v>3</v>
      </c>
      <c r="H132">
        <v>0</v>
      </c>
      <c r="I132" t="s">
        <v>1928</v>
      </c>
      <c r="J132" t="s">
        <v>1926</v>
      </c>
      <c r="L132" s="350">
        <v>46237</v>
      </c>
      <c r="M132">
        <v>11</v>
      </c>
      <c r="N132">
        <v>3</v>
      </c>
      <c r="O132" s="351">
        <v>46235</v>
      </c>
      <c r="P132">
        <v>1</v>
      </c>
      <c r="Q132">
        <v>0</v>
      </c>
      <c r="R132">
        <v>23.48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3</v>
      </c>
      <c r="AH132">
        <v>7</v>
      </c>
      <c r="AI132" t="s">
        <v>12</v>
      </c>
    </row>
    <row r="133" spans="1:35" ht="12.5">
      <c r="A133" t="s">
        <v>77</v>
      </c>
      <c r="B133" t="s">
        <v>29</v>
      </c>
      <c r="C133" t="s">
        <v>12</v>
      </c>
      <c r="E133">
        <v>1</v>
      </c>
      <c r="F133" t="s">
        <v>56</v>
      </c>
      <c r="G133">
        <v>3</v>
      </c>
      <c r="H133">
        <v>0</v>
      </c>
      <c r="I133" t="s">
        <v>1928</v>
      </c>
      <c r="J133" t="s">
        <v>1926</v>
      </c>
      <c r="L133" s="350">
        <v>46238</v>
      </c>
      <c r="M133">
        <v>12</v>
      </c>
      <c r="N133">
        <v>4</v>
      </c>
      <c r="O133" s="351">
        <v>46235</v>
      </c>
      <c r="P133">
        <v>0</v>
      </c>
      <c r="Q133">
        <v>0</v>
      </c>
      <c r="R133">
        <v>23.48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3</v>
      </c>
      <c r="AH133">
        <v>7</v>
      </c>
      <c r="AI133" t="s">
        <v>12</v>
      </c>
    </row>
    <row r="134" spans="1:35" ht="12.5">
      <c r="A134" t="s">
        <v>77</v>
      </c>
      <c r="B134" t="s">
        <v>29</v>
      </c>
      <c r="C134" t="s">
        <v>12</v>
      </c>
      <c r="E134">
        <v>1</v>
      </c>
      <c r="F134" t="s">
        <v>56</v>
      </c>
      <c r="G134">
        <v>3</v>
      </c>
      <c r="H134">
        <v>0</v>
      </c>
      <c r="I134" t="s">
        <v>1928</v>
      </c>
      <c r="J134" t="s">
        <v>1926</v>
      </c>
      <c r="L134" s="350">
        <v>46239</v>
      </c>
      <c r="M134">
        <v>13</v>
      </c>
      <c r="N134">
        <v>5</v>
      </c>
      <c r="O134" s="351">
        <v>46235</v>
      </c>
      <c r="P134">
        <v>0</v>
      </c>
      <c r="Q134">
        <v>0</v>
      </c>
      <c r="R134">
        <v>23.48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3</v>
      </c>
      <c r="AH134">
        <v>7</v>
      </c>
      <c r="AI134" t="s">
        <v>12</v>
      </c>
    </row>
    <row r="135" spans="1:35" ht="12.5">
      <c r="A135" t="s">
        <v>77</v>
      </c>
      <c r="B135" t="s">
        <v>29</v>
      </c>
      <c r="C135" t="s">
        <v>12</v>
      </c>
      <c r="E135">
        <v>1</v>
      </c>
      <c r="F135" t="s">
        <v>56</v>
      </c>
      <c r="G135">
        <v>3</v>
      </c>
      <c r="H135">
        <v>0</v>
      </c>
      <c r="I135" t="s">
        <v>1928</v>
      </c>
      <c r="J135" t="s">
        <v>1926</v>
      </c>
      <c r="L135" s="350">
        <v>46240</v>
      </c>
      <c r="M135">
        <v>14</v>
      </c>
      <c r="N135">
        <v>6</v>
      </c>
      <c r="O135" s="351">
        <v>46235</v>
      </c>
      <c r="P135">
        <v>0</v>
      </c>
      <c r="Q135">
        <v>0</v>
      </c>
      <c r="R135">
        <v>23.48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3</v>
      </c>
      <c r="AH135">
        <v>7</v>
      </c>
      <c r="AI135" t="s">
        <v>12</v>
      </c>
    </row>
    <row r="136" spans="1:35" ht="12.5">
      <c r="A136" t="s">
        <v>77</v>
      </c>
      <c r="B136" t="s">
        <v>29</v>
      </c>
      <c r="C136" t="s">
        <v>12</v>
      </c>
      <c r="E136">
        <v>1</v>
      </c>
      <c r="F136" t="s">
        <v>56</v>
      </c>
      <c r="G136">
        <v>3</v>
      </c>
      <c r="H136">
        <v>0</v>
      </c>
      <c r="I136" t="s">
        <v>1928</v>
      </c>
      <c r="J136" t="s">
        <v>1926</v>
      </c>
      <c r="L136" s="350">
        <v>46241</v>
      </c>
      <c r="M136">
        <v>15</v>
      </c>
      <c r="N136">
        <v>7</v>
      </c>
      <c r="O136" s="351">
        <v>46235</v>
      </c>
      <c r="P136">
        <v>0</v>
      </c>
      <c r="Q136">
        <v>0</v>
      </c>
      <c r="R136">
        <v>23.48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3</v>
      </c>
      <c r="AH136">
        <v>7</v>
      </c>
      <c r="AI136" t="s">
        <v>12</v>
      </c>
    </row>
    <row r="137" spans="1:35" ht="12.5">
      <c r="A137" t="s">
        <v>77</v>
      </c>
      <c r="B137" t="s">
        <v>29</v>
      </c>
      <c r="C137" t="s">
        <v>12</v>
      </c>
      <c r="E137">
        <v>1</v>
      </c>
      <c r="F137" t="s">
        <v>56</v>
      </c>
      <c r="G137">
        <v>3</v>
      </c>
      <c r="H137">
        <v>0</v>
      </c>
      <c r="I137" t="s">
        <v>1928</v>
      </c>
      <c r="J137" t="s">
        <v>1926</v>
      </c>
      <c r="L137" s="350">
        <v>46242</v>
      </c>
      <c r="M137">
        <v>16</v>
      </c>
      <c r="N137">
        <v>8</v>
      </c>
      <c r="O137" s="351">
        <v>46235</v>
      </c>
      <c r="P137">
        <v>0</v>
      </c>
      <c r="Q137">
        <v>0</v>
      </c>
      <c r="R137">
        <v>23.48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3</v>
      </c>
      <c r="AH137">
        <v>7</v>
      </c>
      <c r="AI137" t="s">
        <v>12</v>
      </c>
    </row>
    <row r="138" spans="1:35" ht="12.5">
      <c r="A138" t="s">
        <v>77</v>
      </c>
      <c r="B138" t="s">
        <v>29</v>
      </c>
      <c r="C138" t="s">
        <v>12</v>
      </c>
      <c r="E138">
        <v>1</v>
      </c>
      <c r="F138" t="s">
        <v>56</v>
      </c>
      <c r="G138">
        <v>3</v>
      </c>
      <c r="H138">
        <v>0</v>
      </c>
      <c r="I138" t="s">
        <v>1928</v>
      </c>
      <c r="J138" t="s">
        <v>1926</v>
      </c>
      <c r="L138" s="350">
        <v>46243</v>
      </c>
      <c r="M138">
        <v>17</v>
      </c>
      <c r="N138">
        <v>9</v>
      </c>
      <c r="O138" s="351">
        <v>46235</v>
      </c>
      <c r="P138">
        <v>0</v>
      </c>
      <c r="Q138">
        <v>0</v>
      </c>
      <c r="R138">
        <v>23.48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3</v>
      </c>
      <c r="AH138">
        <v>7</v>
      </c>
      <c r="AI138" t="s">
        <v>12</v>
      </c>
    </row>
    <row r="139" spans="1:35" ht="12.5">
      <c r="A139" t="s">
        <v>77</v>
      </c>
      <c r="B139" t="s">
        <v>29</v>
      </c>
      <c r="C139" t="s">
        <v>12</v>
      </c>
      <c r="E139">
        <v>1</v>
      </c>
      <c r="F139" t="s">
        <v>56</v>
      </c>
      <c r="G139">
        <v>3</v>
      </c>
      <c r="H139">
        <v>0</v>
      </c>
      <c r="I139" t="s">
        <v>1928</v>
      </c>
      <c r="J139" t="s">
        <v>1926</v>
      </c>
      <c r="L139" s="350">
        <v>46244</v>
      </c>
      <c r="M139">
        <v>18</v>
      </c>
      <c r="N139">
        <v>10</v>
      </c>
      <c r="O139" s="351">
        <v>46235</v>
      </c>
      <c r="P139">
        <v>0</v>
      </c>
      <c r="Q139">
        <v>0</v>
      </c>
      <c r="R139">
        <v>23.48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3</v>
      </c>
      <c r="AH139">
        <v>7</v>
      </c>
      <c r="AI139" t="s">
        <v>12</v>
      </c>
    </row>
    <row r="140" spans="1:35" ht="12.5">
      <c r="A140" t="s">
        <v>77</v>
      </c>
      <c r="B140" t="s">
        <v>29</v>
      </c>
      <c r="C140" t="s">
        <v>12</v>
      </c>
      <c r="E140">
        <v>1</v>
      </c>
      <c r="F140" t="s">
        <v>56</v>
      </c>
      <c r="G140">
        <v>3</v>
      </c>
      <c r="H140">
        <v>0</v>
      </c>
      <c r="I140" t="s">
        <v>1928</v>
      </c>
      <c r="J140" t="s">
        <v>1926</v>
      </c>
      <c r="L140" s="350">
        <v>46245</v>
      </c>
      <c r="M140">
        <v>19</v>
      </c>
      <c r="N140">
        <v>11</v>
      </c>
      <c r="O140" s="351">
        <v>46235</v>
      </c>
      <c r="P140">
        <v>0</v>
      </c>
      <c r="Q140">
        <v>0</v>
      </c>
      <c r="R140">
        <v>23.48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3</v>
      </c>
      <c r="AH140">
        <v>7</v>
      </c>
      <c r="AI140" t="s">
        <v>12</v>
      </c>
    </row>
    <row r="141" spans="1:35" ht="12.5">
      <c r="A141" t="s">
        <v>77</v>
      </c>
      <c r="B141" t="s">
        <v>29</v>
      </c>
      <c r="C141" t="s">
        <v>12</v>
      </c>
      <c r="E141">
        <v>1</v>
      </c>
      <c r="F141" t="s">
        <v>56</v>
      </c>
      <c r="G141">
        <v>3</v>
      </c>
      <c r="H141">
        <v>0</v>
      </c>
      <c r="I141" t="s">
        <v>1928</v>
      </c>
      <c r="J141" t="s">
        <v>1926</v>
      </c>
      <c r="L141" s="350">
        <v>46246</v>
      </c>
      <c r="M141">
        <v>20</v>
      </c>
      <c r="N141">
        <v>12</v>
      </c>
      <c r="O141" s="351">
        <v>46235</v>
      </c>
      <c r="P141">
        <v>0</v>
      </c>
      <c r="Q141">
        <v>0</v>
      </c>
      <c r="R141">
        <v>23.48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3</v>
      </c>
      <c r="AH141">
        <v>7</v>
      </c>
      <c r="AI141" t="s">
        <v>12</v>
      </c>
    </row>
    <row r="142" spans="1:35" ht="12.5">
      <c r="A142" t="s">
        <v>77</v>
      </c>
      <c r="B142" t="s">
        <v>29</v>
      </c>
      <c r="C142" t="s">
        <v>12</v>
      </c>
      <c r="E142">
        <v>1</v>
      </c>
      <c r="F142" t="s">
        <v>56</v>
      </c>
      <c r="G142">
        <v>3</v>
      </c>
      <c r="H142">
        <v>0</v>
      </c>
      <c r="I142" t="s">
        <v>1928</v>
      </c>
      <c r="J142" t="s">
        <v>1926</v>
      </c>
      <c r="L142" s="350">
        <v>46247</v>
      </c>
      <c r="M142">
        <v>21</v>
      </c>
      <c r="N142">
        <v>13</v>
      </c>
      <c r="O142" s="351">
        <v>46235</v>
      </c>
      <c r="P142">
        <v>0</v>
      </c>
      <c r="Q142">
        <v>0</v>
      </c>
      <c r="R142">
        <v>23.48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3</v>
      </c>
      <c r="AH142">
        <v>7</v>
      </c>
      <c r="AI142" t="s">
        <v>12</v>
      </c>
    </row>
    <row r="143" spans="1:35" ht="12.5">
      <c r="A143" t="s">
        <v>77</v>
      </c>
      <c r="B143" t="s">
        <v>29</v>
      </c>
      <c r="C143" t="s">
        <v>12</v>
      </c>
      <c r="E143">
        <v>1</v>
      </c>
      <c r="F143" t="s">
        <v>56</v>
      </c>
      <c r="G143">
        <v>3</v>
      </c>
      <c r="H143">
        <v>0</v>
      </c>
      <c r="I143" t="s">
        <v>1928</v>
      </c>
      <c r="J143" t="s">
        <v>1926</v>
      </c>
      <c r="L143" s="350">
        <v>46248</v>
      </c>
      <c r="M143">
        <v>22</v>
      </c>
      <c r="N143">
        <v>14</v>
      </c>
      <c r="O143" s="351">
        <v>46235</v>
      </c>
      <c r="P143">
        <v>0</v>
      </c>
      <c r="Q143">
        <v>0</v>
      </c>
      <c r="R143">
        <v>23.48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3</v>
      </c>
      <c r="AH143">
        <v>7</v>
      </c>
      <c r="AI143" t="s">
        <v>12</v>
      </c>
    </row>
    <row r="144" spans="1:35" ht="12.5">
      <c r="A144" t="s">
        <v>77</v>
      </c>
      <c r="B144" t="s">
        <v>29</v>
      </c>
      <c r="C144" t="s">
        <v>12</v>
      </c>
      <c r="E144">
        <v>1</v>
      </c>
      <c r="F144" t="s">
        <v>56</v>
      </c>
      <c r="G144">
        <v>3</v>
      </c>
      <c r="H144">
        <v>0</v>
      </c>
      <c r="I144" t="s">
        <v>1928</v>
      </c>
      <c r="J144" t="s">
        <v>1926</v>
      </c>
      <c r="L144" s="350">
        <v>46249</v>
      </c>
      <c r="M144">
        <v>23</v>
      </c>
      <c r="N144">
        <v>15</v>
      </c>
      <c r="O144" s="351">
        <v>46235</v>
      </c>
      <c r="P144">
        <v>0</v>
      </c>
      <c r="Q144">
        <v>0</v>
      </c>
      <c r="R144">
        <v>23.48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3</v>
      </c>
      <c r="AH144">
        <v>7</v>
      </c>
      <c r="AI144" t="s">
        <v>12</v>
      </c>
    </row>
    <row r="145" spans="1:35" ht="12.5">
      <c r="A145" t="s">
        <v>77</v>
      </c>
      <c r="B145" t="s">
        <v>29</v>
      </c>
      <c r="C145" t="s">
        <v>12</v>
      </c>
      <c r="E145">
        <v>1</v>
      </c>
      <c r="F145" t="s">
        <v>56</v>
      </c>
      <c r="G145">
        <v>3</v>
      </c>
      <c r="H145">
        <v>0</v>
      </c>
      <c r="I145" t="s">
        <v>1928</v>
      </c>
      <c r="J145" t="s">
        <v>1926</v>
      </c>
      <c r="L145" s="350">
        <v>46250</v>
      </c>
      <c r="M145">
        <v>24</v>
      </c>
      <c r="N145">
        <v>16</v>
      </c>
      <c r="O145" s="351">
        <v>46235</v>
      </c>
      <c r="P145">
        <v>0</v>
      </c>
      <c r="Q145">
        <v>0</v>
      </c>
      <c r="R145">
        <v>23.48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3</v>
      </c>
      <c r="AH145">
        <v>7</v>
      </c>
      <c r="AI145" t="s">
        <v>12</v>
      </c>
    </row>
    <row r="146" spans="1:35" ht="12.5">
      <c r="A146" t="s">
        <v>77</v>
      </c>
      <c r="B146" t="s">
        <v>29</v>
      </c>
      <c r="C146" t="s">
        <v>12</v>
      </c>
      <c r="E146">
        <v>1</v>
      </c>
      <c r="F146" t="s">
        <v>56</v>
      </c>
      <c r="G146">
        <v>3</v>
      </c>
      <c r="H146">
        <v>0</v>
      </c>
      <c r="I146" t="s">
        <v>1928</v>
      </c>
      <c r="J146" t="s">
        <v>1926</v>
      </c>
      <c r="L146" s="350">
        <v>46251</v>
      </c>
      <c r="M146">
        <v>25</v>
      </c>
      <c r="N146">
        <v>17</v>
      </c>
      <c r="O146" s="351">
        <v>46235</v>
      </c>
      <c r="P146">
        <v>0</v>
      </c>
      <c r="Q146">
        <v>0</v>
      </c>
      <c r="R146">
        <v>23.48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3</v>
      </c>
      <c r="AH146">
        <v>7</v>
      </c>
      <c r="AI146" t="s">
        <v>12</v>
      </c>
    </row>
    <row r="147" spans="1:35" ht="12.5">
      <c r="A147" t="s">
        <v>77</v>
      </c>
      <c r="B147" t="s">
        <v>29</v>
      </c>
      <c r="C147" t="s">
        <v>12</v>
      </c>
      <c r="E147">
        <v>1</v>
      </c>
      <c r="F147" t="s">
        <v>56</v>
      </c>
      <c r="G147">
        <v>3</v>
      </c>
      <c r="H147">
        <v>0</v>
      </c>
      <c r="I147" t="s">
        <v>1928</v>
      </c>
      <c r="J147" t="s">
        <v>1926</v>
      </c>
      <c r="L147" s="350">
        <v>46252</v>
      </c>
      <c r="M147">
        <v>26</v>
      </c>
      <c r="N147">
        <v>18</v>
      </c>
      <c r="O147" s="351">
        <v>46235</v>
      </c>
      <c r="P147">
        <v>0</v>
      </c>
      <c r="Q147">
        <v>0</v>
      </c>
      <c r="R147">
        <v>23.48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3</v>
      </c>
      <c r="AH147">
        <v>7</v>
      </c>
      <c r="AI147" t="s">
        <v>12</v>
      </c>
    </row>
    <row r="148" spans="1:35" ht="12.5">
      <c r="A148" t="s">
        <v>77</v>
      </c>
      <c r="B148" t="s">
        <v>29</v>
      </c>
      <c r="C148" t="s">
        <v>12</v>
      </c>
      <c r="E148">
        <v>1</v>
      </c>
      <c r="F148" t="s">
        <v>56</v>
      </c>
      <c r="G148">
        <v>3</v>
      </c>
      <c r="H148">
        <v>0</v>
      </c>
      <c r="I148" t="s">
        <v>1928</v>
      </c>
      <c r="J148" t="s">
        <v>1926</v>
      </c>
      <c r="L148" s="350">
        <v>46253</v>
      </c>
      <c r="M148">
        <v>27</v>
      </c>
      <c r="N148">
        <v>19</v>
      </c>
      <c r="O148" s="351">
        <v>46235</v>
      </c>
      <c r="P148">
        <v>0</v>
      </c>
      <c r="Q148">
        <v>0</v>
      </c>
      <c r="R148">
        <v>23.48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3</v>
      </c>
      <c r="AH148">
        <v>7</v>
      </c>
      <c r="AI148" t="s">
        <v>12</v>
      </c>
    </row>
    <row r="149" spans="1:35" ht="12.5">
      <c r="A149" t="s">
        <v>77</v>
      </c>
      <c r="B149" t="s">
        <v>29</v>
      </c>
      <c r="C149" t="s">
        <v>12</v>
      </c>
      <c r="E149">
        <v>1</v>
      </c>
      <c r="F149" t="s">
        <v>56</v>
      </c>
      <c r="G149">
        <v>3</v>
      </c>
      <c r="H149">
        <v>0</v>
      </c>
      <c r="I149" t="s">
        <v>1928</v>
      </c>
      <c r="J149" t="s">
        <v>1926</v>
      </c>
      <c r="L149" s="350">
        <v>46254</v>
      </c>
      <c r="M149">
        <v>28</v>
      </c>
      <c r="N149">
        <v>20</v>
      </c>
      <c r="O149" s="351">
        <v>46235</v>
      </c>
      <c r="P149">
        <v>0</v>
      </c>
      <c r="Q149">
        <v>0</v>
      </c>
      <c r="R149">
        <v>23.48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3</v>
      </c>
      <c r="AH149">
        <v>7</v>
      </c>
      <c r="AI149" t="s">
        <v>12</v>
      </c>
    </row>
    <row r="150" spans="1:35" ht="12.5">
      <c r="A150" t="s">
        <v>77</v>
      </c>
      <c r="B150" t="s">
        <v>29</v>
      </c>
      <c r="C150" t="s">
        <v>12</v>
      </c>
      <c r="E150">
        <v>1</v>
      </c>
      <c r="F150" t="s">
        <v>56</v>
      </c>
      <c r="G150">
        <v>3</v>
      </c>
      <c r="H150">
        <v>0</v>
      </c>
      <c r="I150" t="s">
        <v>1928</v>
      </c>
      <c r="J150" t="s">
        <v>1926</v>
      </c>
      <c r="L150" s="350">
        <v>46255</v>
      </c>
      <c r="M150">
        <v>29</v>
      </c>
      <c r="N150">
        <v>21</v>
      </c>
      <c r="O150" s="351">
        <v>46235</v>
      </c>
      <c r="P150">
        <v>0</v>
      </c>
      <c r="Q150">
        <v>0</v>
      </c>
      <c r="R150">
        <v>23.48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3</v>
      </c>
      <c r="AH150">
        <v>7</v>
      </c>
      <c r="AI150" t="s">
        <v>12</v>
      </c>
    </row>
    <row r="151" spans="1:35" ht="12.5">
      <c r="A151" t="s">
        <v>77</v>
      </c>
      <c r="B151" t="s">
        <v>29</v>
      </c>
      <c r="C151" t="s">
        <v>12</v>
      </c>
      <c r="E151">
        <v>1</v>
      </c>
      <c r="F151" t="s">
        <v>56</v>
      </c>
      <c r="G151">
        <v>3</v>
      </c>
      <c r="H151">
        <v>0</v>
      </c>
      <c r="I151" t="s">
        <v>1928</v>
      </c>
      <c r="J151" t="s">
        <v>1926</v>
      </c>
      <c r="L151" s="350">
        <v>46256</v>
      </c>
      <c r="M151">
        <v>30</v>
      </c>
      <c r="N151">
        <v>22</v>
      </c>
      <c r="O151" s="351">
        <v>46235</v>
      </c>
      <c r="P151">
        <v>0</v>
      </c>
      <c r="Q151">
        <v>0</v>
      </c>
      <c r="R151">
        <v>23.48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3</v>
      </c>
      <c r="AH151">
        <v>7</v>
      </c>
      <c r="AI151" t="s">
        <v>12</v>
      </c>
    </row>
    <row r="152" spans="1:35" ht="12.5">
      <c r="A152" t="s">
        <v>73</v>
      </c>
      <c r="B152" t="s">
        <v>23</v>
      </c>
      <c r="C152" t="s">
        <v>12</v>
      </c>
      <c r="E152">
        <v>0.5</v>
      </c>
      <c r="F152" t="s">
        <v>54</v>
      </c>
      <c r="G152">
        <v>1</v>
      </c>
      <c r="H152">
        <v>1</v>
      </c>
      <c r="I152" t="s">
        <v>1931</v>
      </c>
      <c r="J152" t="s">
        <v>1929</v>
      </c>
      <c r="K152" t="s">
        <v>69</v>
      </c>
      <c r="L152" s="350">
        <v>46227</v>
      </c>
      <c r="M152">
        <v>1</v>
      </c>
      <c r="N152">
        <v>24</v>
      </c>
      <c r="O152" s="351">
        <v>46204</v>
      </c>
      <c r="P152">
        <v>1</v>
      </c>
      <c r="Q152">
        <v>0</v>
      </c>
      <c r="R152">
        <v>295.95999999999998</v>
      </c>
      <c r="S152">
        <v>1</v>
      </c>
      <c r="T152">
        <v>7399</v>
      </c>
      <c r="U152">
        <v>1336</v>
      </c>
      <c r="V152">
        <v>6063</v>
      </c>
      <c r="W152">
        <v>111</v>
      </c>
      <c r="X152">
        <v>0.45006081902959899</v>
      </c>
      <c r="Y152">
        <v>7155</v>
      </c>
      <c r="Z152">
        <v>0</v>
      </c>
      <c r="AA152">
        <v>244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10</v>
      </c>
      <c r="AH152">
        <v>8</v>
      </c>
      <c r="AI152" t="s">
        <v>12</v>
      </c>
    </row>
    <row r="153" spans="1:35" ht="12.5">
      <c r="A153" t="s">
        <v>73</v>
      </c>
      <c r="B153" t="s">
        <v>23</v>
      </c>
      <c r="C153" t="s">
        <v>12</v>
      </c>
      <c r="E153">
        <v>0.5</v>
      </c>
      <c r="F153" t="s">
        <v>54</v>
      </c>
      <c r="G153">
        <v>1</v>
      </c>
      <c r="H153">
        <v>1</v>
      </c>
      <c r="I153" t="s">
        <v>1931</v>
      </c>
      <c r="J153" t="s">
        <v>1929</v>
      </c>
      <c r="K153" t="s">
        <v>69</v>
      </c>
      <c r="L153" s="350">
        <v>46228</v>
      </c>
      <c r="M153">
        <v>2</v>
      </c>
      <c r="N153">
        <v>25</v>
      </c>
      <c r="O153" s="351">
        <v>46204</v>
      </c>
      <c r="P153">
        <v>1</v>
      </c>
      <c r="Q153">
        <v>0</v>
      </c>
      <c r="R153">
        <v>295.95999999999998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10</v>
      </c>
      <c r="AH153">
        <v>8</v>
      </c>
      <c r="AI153" t="s">
        <v>12</v>
      </c>
    </row>
    <row r="154" spans="1:35" ht="12.5">
      <c r="A154" t="s">
        <v>73</v>
      </c>
      <c r="B154" t="s">
        <v>23</v>
      </c>
      <c r="C154" t="s">
        <v>12</v>
      </c>
      <c r="E154">
        <v>0.5</v>
      </c>
      <c r="F154" t="s">
        <v>54</v>
      </c>
      <c r="G154">
        <v>1</v>
      </c>
      <c r="H154">
        <v>1</v>
      </c>
      <c r="I154" t="s">
        <v>1931</v>
      </c>
      <c r="J154" t="s">
        <v>1929</v>
      </c>
      <c r="K154" t="s">
        <v>69</v>
      </c>
      <c r="L154" s="350">
        <v>46229</v>
      </c>
      <c r="M154">
        <v>3</v>
      </c>
      <c r="N154">
        <v>26</v>
      </c>
      <c r="O154" s="351">
        <v>46204</v>
      </c>
      <c r="P154">
        <v>1</v>
      </c>
      <c r="Q154">
        <v>204</v>
      </c>
      <c r="R154">
        <v>295.95999999999998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10</v>
      </c>
      <c r="AH154">
        <v>8</v>
      </c>
      <c r="AI154" t="s">
        <v>12</v>
      </c>
    </row>
    <row r="155" spans="1:35" ht="12.5">
      <c r="A155" t="s">
        <v>73</v>
      </c>
      <c r="B155" t="s">
        <v>23</v>
      </c>
      <c r="C155" t="s">
        <v>12</v>
      </c>
      <c r="E155">
        <v>0.5</v>
      </c>
      <c r="F155" t="s">
        <v>54</v>
      </c>
      <c r="G155">
        <v>1</v>
      </c>
      <c r="H155">
        <v>1</v>
      </c>
      <c r="I155" t="s">
        <v>1931</v>
      </c>
      <c r="J155" t="s">
        <v>1929</v>
      </c>
      <c r="K155" t="s">
        <v>69</v>
      </c>
      <c r="L155" s="350">
        <v>46230</v>
      </c>
      <c r="M155">
        <v>4</v>
      </c>
      <c r="N155">
        <v>27</v>
      </c>
      <c r="O155" s="351">
        <v>46204</v>
      </c>
      <c r="P155">
        <v>1</v>
      </c>
      <c r="Q155">
        <v>0</v>
      </c>
      <c r="R155">
        <v>295.95999999999998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10</v>
      </c>
      <c r="AH155">
        <v>8</v>
      </c>
      <c r="AI155" t="s">
        <v>12</v>
      </c>
    </row>
    <row r="156" spans="1:35" ht="12.5">
      <c r="A156" t="s">
        <v>73</v>
      </c>
      <c r="B156" t="s">
        <v>23</v>
      </c>
      <c r="C156" t="s">
        <v>12</v>
      </c>
      <c r="E156">
        <v>0.5</v>
      </c>
      <c r="F156" t="s">
        <v>54</v>
      </c>
      <c r="G156">
        <v>1</v>
      </c>
      <c r="H156">
        <v>1</v>
      </c>
      <c r="I156" t="s">
        <v>1931</v>
      </c>
      <c r="J156" t="s">
        <v>1929</v>
      </c>
      <c r="K156" t="s">
        <v>69</v>
      </c>
      <c r="L156" s="350">
        <v>46231</v>
      </c>
      <c r="M156">
        <v>5</v>
      </c>
      <c r="N156">
        <v>28</v>
      </c>
      <c r="O156" s="351">
        <v>46204</v>
      </c>
      <c r="P156">
        <v>1</v>
      </c>
      <c r="Q156">
        <v>610</v>
      </c>
      <c r="R156">
        <v>295.95999999999998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10</v>
      </c>
      <c r="AH156">
        <v>8</v>
      </c>
      <c r="AI156" t="s">
        <v>12</v>
      </c>
    </row>
    <row r="157" spans="1:35" ht="12.5">
      <c r="A157" t="s">
        <v>73</v>
      </c>
      <c r="B157" t="s">
        <v>23</v>
      </c>
      <c r="C157" t="s">
        <v>12</v>
      </c>
      <c r="E157">
        <v>0.5</v>
      </c>
      <c r="F157" t="s">
        <v>54</v>
      </c>
      <c r="G157">
        <v>1</v>
      </c>
      <c r="H157">
        <v>1</v>
      </c>
      <c r="I157" t="s">
        <v>1931</v>
      </c>
      <c r="J157" t="s">
        <v>1929</v>
      </c>
      <c r="K157" t="s">
        <v>69</v>
      </c>
      <c r="L157" s="350">
        <v>46232</v>
      </c>
      <c r="M157">
        <v>6</v>
      </c>
      <c r="N157">
        <v>29</v>
      </c>
      <c r="O157" s="351">
        <v>46204</v>
      </c>
      <c r="P157">
        <v>1</v>
      </c>
      <c r="Q157">
        <v>393</v>
      </c>
      <c r="R157">
        <v>295.95999999999998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10</v>
      </c>
      <c r="AH157">
        <v>8</v>
      </c>
      <c r="AI157" t="s">
        <v>12</v>
      </c>
    </row>
    <row r="158" spans="1:35" ht="12.5">
      <c r="A158" t="s">
        <v>73</v>
      </c>
      <c r="B158" t="s">
        <v>23</v>
      </c>
      <c r="C158" t="s">
        <v>12</v>
      </c>
      <c r="E158">
        <v>0.5</v>
      </c>
      <c r="F158" t="s">
        <v>54</v>
      </c>
      <c r="G158">
        <v>1</v>
      </c>
      <c r="H158">
        <v>1</v>
      </c>
      <c r="I158" t="s">
        <v>1931</v>
      </c>
      <c r="J158" t="s">
        <v>1929</v>
      </c>
      <c r="K158" t="s">
        <v>69</v>
      </c>
      <c r="L158" s="350">
        <v>46233</v>
      </c>
      <c r="M158">
        <v>7</v>
      </c>
      <c r="N158">
        <v>30</v>
      </c>
      <c r="O158" s="351">
        <v>46204</v>
      </c>
      <c r="P158">
        <v>1</v>
      </c>
      <c r="Q158">
        <v>129</v>
      </c>
      <c r="R158">
        <v>295.95999999999998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10</v>
      </c>
      <c r="AH158">
        <v>8</v>
      </c>
      <c r="AI158" t="s">
        <v>12</v>
      </c>
    </row>
    <row r="159" spans="1:35" ht="12.5">
      <c r="A159" t="s">
        <v>73</v>
      </c>
      <c r="B159" t="s">
        <v>23</v>
      </c>
      <c r="C159" t="s">
        <v>12</v>
      </c>
      <c r="E159">
        <v>0.5</v>
      </c>
      <c r="F159" t="s">
        <v>54</v>
      </c>
      <c r="G159">
        <v>1</v>
      </c>
      <c r="H159">
        <v>1</v>
      </c>
      <c r="I159" t="s">
        <v>1931</v>
      </c>
      <c r="J159" t="s">
        <v>1929</v>
      </c>
      <c r="K159" t="s">
        <v>69</v>
      </c>
      <c r="L159" s="350">
        <v>46234</v>
      </c>
      <c r="M159">
        <v>8</v>
      </c>
      <c r="N159">
        <v>31</v>
      </c>
      <c r="O159" s="351">
        <v>46204</v>
      </c>
      <c r="P159">
        <v>1</v>
      </c>
      <c r="Q159">
        <v>0</v>
      </c>
      <c r="R159">
        <v>295.95999999999998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10</v>
      </c>
      <c r="AH159">
        <v>8</v>
      </c>
      <c r="AI159" t="s">
        <v>12</v>
      </c>
    </row>
    <row r="160" spans="1:35" ht="12.5">
      <c r="A160" t="s">
        <v>73</v>
      </c>
      <c r="B160" t="s">
        <v>23</v>
      </c>
      <c r="C160" t="s">
        <v>12</v>
      </c>
      <c r="E160">
        <v>0.5</v>
      </c>
      <c r="F160" t="s">
        <v>54</v>
      </c>
      <c r="G160">
        <v>1</v>
      </c>
      <c r="H160">
        <v>1</v>
      </c>
      <c r="I160" t="s">
        <v>1931</v>
      </c>
      <c r="J160" t="s">
        <v>1929</v>
      </c>
      <c r="K160" t="s">
        <v>69</v>
      </c>
      <c r="L160" s="350">
        <v>46235</v>
      </c>
      <c r="M160">
        <v>9</v>
      </c>
      <c r="N160">
        <v>1</v>
      </c>
      <c r="O160" s="351">
        <v>46235</v>
      </c>
      <c r="P160">
        <v>1</v>
      </c>
      <c r="Q160">
        <v>0</v>
      </c>
      <c r="R160">
        <v>295.95999999999998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10</v>
      </c>
      <c r="AH160">
        <v>8</v>
      </c>
      <c r="AI160" t="s">
        <v>12</v>
      </c>
    </row>
    <row r="161" spans="1:35" ht="12.5">
      <c r="A161" t="s">
        <v>73</v>
      </c>
      <c r="B161" t="s">
        <v>23</v>
      </c>
      <c r="C161" t="s">
        <v>12</v>
      </c>
      <c r="E161">
        <v>0.5</v>
      </c>
      <c r="F161" t="s">
        <v>54</v>
      </c>
      <c r="G161">
        <v>1</v>
      </c>
      <c r="H161">
        <v>1</v>
      </c>
      <c r="I161" t="s">
        <v>1931</v>
      </c>
      <c r="J161" t="s">
        <v>1929</v>
      </c>
      <c r="K161" t="s">
        <v>69</v>
      </c>
      <c r="L161" s="350">
        <v>46236</v>
      </c>
      <c r="M161">
        <v>10</v>
      </c>
      <c r="N161">
        <v>2</v>
      </c>
      <c r="O161" s="351">
        <v>46235</v>
      </c>
      <c r="P161">
        <v>1</v>
      </c>
      <c r="Q161">
        <v>0</v>
      </c>
      <c r="R161">
        <v>295.95999999999998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10</v>
      </c>
      <c r="AH161">
        <v>8</v>
      </c>
      <c r="AI161" t="s">
        <v>12</v>
      </c>
    </row>
    <row r="162" spans="1:35" ht="12.5">
      <c r="A162" t="s">
        <v>73</v>
      </c>
      <c r="B162" t="s">
        <v>23</v>
      </c>
      <c r="C162" t="s">
        <v>12</v>
      </c>
      <c r="E162">
        <v>0.5</v>
      </c>
      <c r="F162" t="s">
        <v>54</v>
      </c>
      <c r="G162">
        <v>1</v>
      </c>
      <c r="H162">
        <v>1</v>
      </c>
      <c r="I162" t="s">
        <v>1931</v>
      </c>
      <c r="J162" t="s">
        <v>1929</v>
      </c>
      <c r="K162" t="s">
        <v>69</v>
      </c>
      <c r="L162" s="350">
        <v>46237</v>
      </c>
      <c r="M162">
        <v>11</v>
      </c>
      <c r="N162">
        <v>3</v>
      </c>
      <c r="O162" s="351">
        <v>46235</v>
      </c>
      <c r="P162">
        <v>1</v>
      </c>
      <c r="Q162">
        <v>0</v>
      </c>
      <c r="R162">
        <v>295.95999999999998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10</v>
      </c>
      <c r="AH162">
        <v>8</v>
      </c>
      <c r="AI162" t="s">
        <v>12</v>
      </c>
    </row>
    <row r="163" spans="1:35" ht="12.5">
      <c r="A163" t="s">
        <v>73</v>
      </c>
      <c r="B163" t="s">
        <v>23</v>
      </c>
      <c r="C163" t="s">
        <v>12</v>
      </c>
      <c r="E163">
        <v>0.5</v>
      </c>
      <c r="F163" t="s">
        <v>54</v>
      </c>
      <c r="G163">
        <v>1</v>
      </c>
      <c r="H163">
        <v>1</v>
      </c>
      <c r="I163" t="s">
        <v>1931</v>
      </c>
      <c r="J163" t="s">
        <v>1929</v>
      </c>
      <c r="K163" t="s">
        <v>69</v>
      </c>
      <c r="L163" s="350">
        <v>46238</v>
      </c>
      <c r="M163">
        <v>12</v>
      </c>
      <c r="N163">
        <v>4</v>
      </c>
      <c r="O163" s="351">
        <v>46235</v>
      </c>
      <c r="P163">
        <v>0</v>
      </c>
      <c r="Q163">
        <v>0</v>
      </c>
      <c r="R163">
        <v>295.95999999999998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10</v>
      </c>
      <c r="AH163">
        <v>8</v>
      </c>
      <c r="AI163" t="s">
        <v>12</v>
      </c>
    </row>
    <row r="164" spans="1:35" ht="12.5">
      <c r="A164" t="s">
        <v>73</v>
      </c>
      <c r="B164" t="s">
        <v>23</v>
      </c>
      <c r="C164" t="s">
        <v>12</v>
      </c>
      <c r="E164">
        <v>0.5</v>
      </c>
      <c r="F164" t="s">
        <v>54</v>
      </c>
      <c r="G164">
        <v>1</v>
      </c>
      <c r="H164">
        <v>1</v>
      </c>
      <c r="I164" t="s">
        <v>1931</v>
      </c>
      <c r="J164" t="s">
        <v>1929</v>
      </c>
      <c r="K164" t="s">
        <v>69</v>
      </c>
      <c r="L164" s="350">
        <v>46239</v>
      </c>
      <c r="M164">
        <v>13</v>
      </c>
      <c r="N164">
        <v>5</v>
      </c>
      <c r="O164" s="351">
        <v>46235</v>
      </c>
      <c r="P164">
        <v>0</v>
      </c>
      <c r="Q164">
        <v>0</v>
      </c>
      <c r="R164">
        <v>295.95999999999998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10</v>
      </c>
      <c r="AH164">
        <v>8</v>
      </c>
      <c r="AI164" t="s">
        <v>12</v>
      </c>
    </row>
    <row r="165" spans="1:35" ht="12.5">
      <c r="A165" t="s">
        <v>73</v>
      </c>
      <c r="B165" t="s">
        <v>23</v>
      </c>
      <c r="C165" t="s">
        <v>12</v>
      </c>
      <c r="E165">
        <v>0.5</v>
      </c>
      <c r="F165" t="s">
        <v>54</v>
      </c>
      <c r="G165">
        <v>1</v>
      </c>
      <c r="H165">
        <v>1</v>
      </c>
      <c r="I165" t="s">
        <v>1931</v>
      </c>
      <c r="J165" t="s">
        <v>1929</v>
      </c>
      <c r="K165" t="s">
        <v>69</v>
      </c>
      <c r="L165" s="350">
        <v>46240</v>
      </c>
      <c r="M165">
        <v>14</v>
      </c>
      <c r="N165">
        <v>6</v>
      </c>
      <c r="O165" s="351">
        <v>46235</v>
      </c>
      <c r="P165">
        <v>0</v>
      </c>
      <c r="Q165">
        <v>0</v>
      </c>
      <c r="R165">
        <v>295.95999999999998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10</v>
      </c>
      <c r="AH165">
        <v>8</v>
      </c>
      <c r="AI165" t="s">
        <v>12</v>
      </c>
    </row>
    <row r="166" spans="1:35" ht="12.5">
      <c r="A166" t="s">
        <v>73</v>
      </c>
      <c r="B166" t="s">
        <v>23</v>
      </c>
      <c r="C166" t="s">
        <v>12</v>
      </c>
      <c r="E166">
        <v>0.5</v>
      </c>
      <c r="F166" t="s">
        <v>54</v>
      </c>
      <c r="G166">
        <v>1</v>
      </c>
      <c r="H166">
        <v>1</v>
      </c>
      <c r="I166" t="s">
        <v>1931</v>
      </c>
      <c r="J166" t="s">
        <v>1929</v>
      </c>
      <c r="K166" t="s">
        <v>69</v>
      </c>
      <c r="L166" s="350">
        <v>46241</v>
      </c>
      <c r="M166">
        <v>15</v>
      </c>
      <c r="N166">
        <v>7</v>
      </c>
      <c r="O166" s="351">
        <v>46235</v>
      </c>
      <c r="P166">
        <v>0</v>
      </c>
      <c r="Q166">
        <v>0</v>
      </c>
      <c r="R166">
        <v>295.95999999999998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10</v>
      </c>
      <c r="AH166">
        <v>8</v>
      </c>
      <c r="AI166" t="s">
        <v>12</v>
      </c>
    </row>
    <row r="167" spans="1:35" ht="12.5">
      <c r="A167" t="s">
        <v>73</v>
      </c>
      <c r="B167" t="s">
        <v>23</v>
      </c>
      <c r="C167" t="s">
        <v>12</v>
      </c>
      <c r="E167">
        <v>0.5</v>
      </c>
      <c r="F167" t="s">
        <v>54</v>
      </c>
      <c r="G167">
        <v>1</v>
      </c>
      <c r="H167">
        <v>1</v>
      </c>
      <c r="I167" t="s">
        <v>1931</v>
      </c>
      <c r="J167" t="s">
        <v>1929</v>
      </c>
      <c r="K167" t="s">
        <v>69</v>
      </c>
      <c r="L167" s="350">
        <v>46242</v>
      </c>
      <c r="M167">
        <v>16</v>
      </c>
      <c r="N167">
        <v>8</v>
      </c>
      <c r="O167" s="351">
        <v>46235</v>
      </c>
      <c r="P167">
        <v>0</v>
      </c>
      <c r="Q167">
        <v>0</v>
      </c>
      <c r="R167">
        <v>295.95999999999998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10</v>
      </c>
      <c r="AH167">
        <v>8</v>
      </c>
      <c r="AI167" t="s">
        <v>12</v>
      </c>
    </row>
    <row r="168" spans="1:35" ht="12.5">
      <c r="A168" t="s">
        <v>73</v>
      </c>
      <c r="B168" t="s">
        <v>23</v>
      </c>
      <c r="C168" t="s">
        <v>12</v>
      </c>
      <c r="E168">
        <v>0.5</v>
      </c>
      <c r="F168" t="s">
        <v>54</v>
      </c>
      <c r="G168">
        <v>1</v>
      </c>
      <c r="H168">
        <v>1</v>
      </c>
      <c r="I168" t="s">
        <v>1931</v>
      </c>
      <c r="J168" t="s">
        <v>1929</v>
      </c>
      <c r="K168" t="s">
        <v>69</v>
      </c>
      <c r="L168" s="350">
        <v>46243</v>
      </c>
      <c r="M168">
        <v>17</v>
      </c>
      <c r="N168">
        <v>9</v>
      </c>
      <c r="O168" s="351">
        <v>46235</v>
      </c>
      <c r="P168">
        <v>0</v>
      </c>
      <c r="Q168">
        <v>0</v>
      </c>
      <c r="R168">
        <v>295.95999999999998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10</v>
      </c>
      <c r="AH168">
        <v>8</v>
      </c>
      <c r="AI168" t="s">
        <v>12</v>
      </c>
    </row>
    <row r="169" spans="1:35" ht="12.5">
      <c r="A169" t="s">
        <v>73</v>
      </c>
      <c r="B169" t="s">
        <v>23</v>
      </c>
      <c r="C169" t="s">
        <v>12</v>
      </c>
      <c r="E169">
        <v>0.5</v>
      </c>
      <c r="F169" t="s">
        <v>54</v>
      </c>
      <c r="G169">
        <v>1</v>
      </c>
      <c r="H169">
        <v>1</v>
      </c>
      <c r="I169" t="s">
        <v>1931</v>
      </c>
      <c r="J169" t="s">
        <v>1929</v>
      </c>
      <c r="K169" t="s">
        <v>69</v>
      </c>
      <c r="L169" s="350">
        <v>46244</v>
      </c>
      <c r="M169">
        <v>18</v>
      </c>
      <c r="N169">
        <v>10</v>
      </c>
      <c r="O169" s="351">
        <v>46235</v>
      </c>
      <c r="P169">
        <v>0</v>
      </c>
      <c r="Q169">
        <v>0</v>
      </c>
      <c r="R169">
        <v>295.95999999999998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10</v>
      </c>
      <c r="AH169">
        <v>8</v>
      </c>
      <c r="AI169" t="s">
        <v>12</v>
      </c>
    </row>
    <row r="170" spans="1:35" ht="12.5">
      <c r="A170" t="s">
        <v>73</v>
      </c>
      <c r="B170" t="s">
        <v>23</v>
      </c>
      <c r="C170" t="s">
        <v>12</v>
      </c>
      <c r="E170">
        <v>0.5</v>
      </c>
      <c r="F170" t="s">
        <v>54</v>
      </c>
      <c r="G170">
        <v>1</v>
      </c>
      <c r="H170">
        <v>1</v>
      </c>
      <c r="I170" t="s">
        <v>1931</v>
      </c>
      <c r="J170" t="s">
        <v>1929</v>
      </c>
      <c r="K170" t="s">
        <v>69</v>
      </c>
      <c r="L170" s="350">
        <v>46245</v>
      </c>
      <c r="M170">
        <v>19</v>
      </c>
      <c r="N170">
        <v>11</v>
      </c>
      <c r="O170" s="351">
        <v>46235</v>
      </c>
      <c r="P170">
        <v>0</v>
      </c>
      <c r="Q170">
        <v>0</v>
      </c>
      <c r="R170">
        <v>295.95999999999998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10</v>
      </c>
      <c r="AH170">
        <v>8</v>
      </c>
      <c r="AI170" t="s">
        <v>12</v>
      </c>
    </row>
    <row r="171" spans="1:35" ht="12.5">
      <c r="A171" t="s">
        <v>73</v>
      </c>
      <c r="B171" t="s">
        <v>23</v>
      </c>
      <c r="C171" t="s">
        <v>12</v>
      </c>
      <c r="E171">
        <v>0.5</v>
      </c>
      <c r="F171" t="s">
        <v>54</v>
      </c>
      <c r="G171">
        <v>1</v>
      </c>
      <c r="H171">
        <v>1</v>
      </c>
      <c r="I171" t="s">
        <v>1931</v>
      </c>
      <c r="J171" t="s">
        <v>1929</v>
      </c>
      <c r="K171" t="s">
        <v>69</v>
      </c>
      <c r="L171" s="350">
        <v>46246</v>
      </c>
      <c r="M171">
        <v>20</v>
      </c>
      <c r="N171">
        <v>12</v>
      </c>
      <c r="O171" s="351">
        <v>46235</v>
      </c>
      <c r="P171">
        <v>0</v>
      </c>
      <c r="Q171">
        <v>0</v>
      </c>
      <c r="R171">
        <v>295.95999999999998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10</v>
      </c>
      <c r="AH171">
        <v>8</v>
      </c>
      <c r="AI171" t="s">
        <v>12</v>
      </c>
    </row>
    <row r="172" spans="1:35" ht="12.5">
      <c r="A172" t="s">
        <v>73</v>
      </c>
      <c r="B172" t="s">
        <v>23</v>
      </c>
      <c r="C172" t="s">
        <v>12</v>
      </c>
      <c r="E172">
        <v>0.5</v>
      </c>
      <c r="F172" t="s">
        <v>54</v>
      </c>
      <c r="G172">
        <v>1</v>
      </c>
      <c r="H172">
        <v>1</v>
      </c>
      <c r="I172" t="s">
        <v>1931</v>
      </c>
      <c r="J172" t="s">
        <v>1929</v>
      </c>
      <c r="K172" t="s">
        <v>69</v>
      </c>
      <c r="L172" s="350">
        <v>46247</v>
      </c>
      <c r="M172">
        <v>21</v>
      </c>
      <c r="N172">
        <v>13</v>
      </c>
      <c r="O172" s="351">
        <v>46235</v>
      </c>
      <c r="P172">
        <v>0</v>
      </c>
      <c r="Q172">
        <v>0</v>
      </c>
      <c r="R172">
        <v>295.95999999999998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10</v>
      </c>
      <c r="AH172">
        <v>8</v>
      </c>
      <c r="AI172" t="s">
        <v>12</v>
      </c>
    </row>
    <row r="173" spans="1:35" ht="12.5">
      <c r="A173" t="s">
        <v>73</v>
      </c>
      <c r="B173" t="s">
        <v>23</v>
      </c>
      <c r="C173" t="s">
        <v>12</v>
      </c>
      <c r="E173">
        <v>0.5</v>
      </c>
      <c r="F173" t="s">
        <v>54</v>
      </c>
      <c r="G173">
        <v>1</v>
      </c>
      <c r="H173">
        <v>1</v>
      </c>
      <c r="I173" t="s">
        <v>1931</v>
      </c>
      <c r="J173" t="s">
        <v>1929</v>
      </c>
      <c r="K173" t="s">
        <v>69</v>
      </c>
      <c r="L173" s="350">
        <v>46248</v>
      </c>
      <c r="M173">
        <v>22</v>
      </c>
      <c r="N173">
        <v>14</v>
      </c>
      <c r="O173" s="351">
        <v>46235</v>
      </c>
      <c r="P173">
        <v>0</v>
      </c>
      <c r="Q173">
        <v>0</v>
      </c>
      <c r="R173">
        <v>295.95999999999998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10</v>
      </c>
      <c r="AH173">
        <v>8</v>
      </c>
      <c r="AI173" t="s">
        <v>12</v>
      </c>
    </row>
    <row r="174" spans="1:35" ht="12.5">
      <c r="A174" t="s">
        <v>73</v>
      </c>
      <c r="B174" t="s">
        <v>23</v>
      </c>
      <c r="C174" t="s">
        <v>12</v>
      </c>
      <c r="E174">
        <v>0.5</v>
      </c>
      <c r="F174" t="s">
        <v>54</v>
      </c>
      <c r="G174">
        <v>1</v>
      </c>
      <c r="H174">
        <v>1</v>
      </c>
      <c r="I174" t="s">
        <v>1931</v>
      </c>
      <c r="J174" t="s">
        <v>1929</v>
      </c>
      <c r="K174" t="s">
        <v>69</v>
      </c>
      <c r="L174" s="350">
        <v>46249</v>
      </c>
      <c r="M174">
        <v>23</v>
      </c>
      <c r="N174">
        <v>15</v>
      </c>
      <c r="O174" s="351">
        <v>46235</v>
      </c>
      <c r="P174">
        <v>0</v>
      </c>
      <c r="Q174">
        <v>0</v>
      </c>
      <c r="R174">
        <v>295.95999999999998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10</v>
      </c>
      <c r="AH174">
        <v>8</v>
      </c>
      <c r="AI174" t="s">
        <v>12</v>
      </c>
    </row>
    <row r="175" spans="1:35" ht="12.5">
      <c r="A175" t="s">
        <v>73</v>
      </c>
      <c r="B175" t="s">
        <v>23</v>
      </c>
      <c r="C175" t="s">
        <v>12</v>
      </c>
      <c r="E175">
        <v>0.5</v>
      </c>
      <c r="F175" t="s">
        <v>54</v>
      </c>
      <c r="G175">
        <v>1</v>
      </c>
      <c r="H175">
        <v>1</v>
      </c>
      <c r="I175" t="s">
        <v>1931</v>
      </c>
      <c r="J175" t="s">
        <v>1929</v>
      </c>
      <c r="K175" t="s">
        <v>69</v>
      </c>
      <c r="L175" s="350">
        <v>46250</v>
      </c>
      <c r="M175">
        <v>24</v>
      </c>
      <c r="N175">
        <v>16</v>
      </c>
      <c r="O175" s="351">
        <v>46235</v>
      </c>
      <c r="P175">
        <v>0</v>
      </c>
      <c r="Q175">
        <v>0</v>
      </c>
      <c r="R175">
        <v>295.95999999999998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10</v>
      </c>
      <c r="AH175">
        <v>8</v>
      </c>
      <c r="AI175" t="s">
        <v>12</v>
      </c>
    </row>
    <row r="176" spans="1:35" ht="12.5">
      <c r="A176" t="s">
        <v>73</v>
      </c>
      <c r="B176" t="s">
        <v>23</v>
      </c>
      <c r="C176" t="s">
        <v>12</v>
      </c>
      <c r="E176">
        <v>0.5</v>
      </c>
      <c r="F176" t="s">
        <v>54</v>
      </c>
      <c r="G176">
        <v>1</v>
      </c>
      <c r="H176">
        <v>1</v>
      </c>
      <c r="I176" t="s">
        <v>1931</v>
      </c>
      <c r="J176" t="s">
        <v>1929</v>
      </c>
      <c r="K176" t="s">
        <v>69</v>
      </c>
      <c r="L176" s="350">
        <v>46251</v>
      </c>
      <c r="M176">
        <v>25</v>
      </c>
      <c r="N176">
        <v>17</v>
      </c>
      <c r="O176" s="351">
        <v>46235</v>
      </c>
      <c r="P176">
        <v>0</v>
      </c>
      <c r="Q176">
        <v>0</v>
      </c>
      <c r="R176">
        <v>295.95999999999998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10</v>
      </c>
      <c r="AH176">
        <v>8</v>
      </c>
      <c r="AI176" t="s">
        <v>12</v>
      </c>
    </row>
    <row r="177" spans="1:35" ht="12.5">
      <c r="A177" t="s">
        <v>73</v>
      </c>
      <c r="B177" t="s">
        <v>23</v>
      </c>
      <c r="C177" t="s">
        <v>12</v>
      </c>
      <c r="E177">
        <v>0.5</v>
      </c>
      <c r="F177" t="s">
        <v>54</v>
      </c>
      <c r="G177">
        <v>1</v>
      </c>
      <c r="H177">
        <v>1</v>
      </c>
      <c r="I177" t="s">
        <v>1931</v>
      </c>
      <c r="J177" t="s">
        <v>1929</v>
      </c>
      <c r="K177" t="s">
        <v>69</v>
      </c>
      <c r="L177" s="350">
        <v>46252</v>
      </c>
      <c r="M177">
        <v>26</v>
      </c>
      <c r="N177">
        <v>18</v>
      </c>
      <c r="O177" s="351">
        <v>46235</v>
      </c>
      <c r="P177">
        <v>0</v>
      </c>
      <c r="Q177">
        <v>0</v>
      </c>
      <c r="R177">
        <v>295.95999999999998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10</v>
      </c>
      <c r="AH177">
        <v>8</v>
      </c>
      <c r="AI177" t="s">
        <v>12</v>
      </c>
    </row>
    <row r="178" spans="1:35" ht="12.5">
      <c r="A178" t="s">
        <v>73</v>
      </c>
      <c r="B178" t="s">
        <v>23</v>
      </c>
      <c r="C178" t="s">
        <v>12</v>
      </c>
      <c r="E178">
        <v>0.5</v>
      </c>
      <c r="F178" t="s">
        <v>54</v>
      </c>
      <c r="G178">
        <v>1</v>
      </c>
      <c r="H178">
        <v>1</v>
      </c>
      <c r="I178" t="s">
        <v>1931</v>
      </c>
      <c r="J178" t="s">
        <v>1929</v>
      </c>
      <c r="K178" t="s">
        <v>69</v>
      </c>
      <c r="L178" s="350">
        <v>46253</v>
      </c>
      <c r="M178">
        <v>27</v>
      </c>
      <c r="N178">
        <v>19</v>
      </c>
      <c r="O178" s="351">
        <v>46235</v>
      </c>
      <c r="P178">
        <v>0</v>
      </c>
      <c r="Q178">
        <v>0</v>
      </c>
      <c r="R178">
        <v>295.95999999999998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10</v>
      </c>
      <c r="AH178">
        <v>8</v>
      </c>
      <c r="AI178" t="s">
        <v>12</v>
      </c>
    </row>
    <row r="179" spans="1:35" ht="12.5">
      <c r="A179" t="s">
        <v>73</v>
      </c>
      <c r="B179" t="s">
        <v>23</v>
      </c>
      <c r="C179" t="s">
        <v>12</v>
      </c>
      <c r="E179">
        <v>0.5</v>
      </c>
      <c r="F179" t="s">
        <v>54</v>
      </c>
      <c r="G179">
        <v>1</v>
      </c>
      <c r="H179">
        <v>1</v>
      </c>
      <c r="I179" t="s">
        <v>1931</v>
      </c>
      <c r="J179" t="s">
        <v>1929</v>
      </c>
      <c r="K179" t="s">
        <v>69</v>
      </c>
      <c r="L179" s="350">
        <v>46254</v>
      </c>
      <c r="M179">
        <v>28</v>
      </c>
      <c r="N179">
        <v>20</v>
      </c>
      <c r="O179" s="351">
        <v>46235</v>
      </c>
      <c r="P179">
        <v>0</v>
      </c>
      <c r="Q179">
        <v>0</v>
      </c>
      <c r="R179">
        <v>295.95999999999998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10</v>
      </c>
      <c r="AH179">
        <v>8</v>
      </c>
      <c r="AI179" t="s">
        <v>12</v>
      </c>
    </row>
    <row r="180" spans="1:35" ht="12.5">
      <c r="A180" t="s">
        <v>73</v>
      </c>
      <c r="B180" t="s">
        <v>23</v>
      </c>
      <c r="C180" t="s">
        <v>12</v>
      </c>
      <c r="E180">
        <v>0.5</v>
      </c>
      <c r="F180" t="s">
        <v>54</v>
      </c>
      <c r="G180">
        <v>1</v>
      </c>
      <c r="H180">
        <v>1</v>
      </c>
      <c r="I180" t="s">
        <v>1931</v>
      </c>
      <c r="J180" t="s">
        <v>1929</v>
      </c>
      <c r="K180" t="s">
        <v>69</v>
      </c>
      <c r="L180" s="350">
        <v>46255</v>
      </c>
      <c r="M180">
        <v>29</v>
      </c>
      <c r="N180">
        <v>21</v>
      </c>
      <c r="O180" s="351">
        <v>46235</v>
      </c>
      <c r="P180">
        <v>0</v>
      </c>
      <c r="Q180">
        <v>0</v>
      </c>
      <c r="R180">
        <v>295.95999999999998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10</v>
      </c>
      <c r="AH180">
        <v>8</v>
      </c>
      <c r="AI180" t="s">
        <v>12</v>
      </c>
    </row>
    <row r="181" spans="1:35" ht="12.5">
      <c r="A181" t="s">
        <v>73</v>
      </c>
      <c r="B181" t="s">
        <v>23</v>
      </c>
      <c r="C181" t="s">
        <v>12</v>
      </c>
      <c r="E181">
        <v>0.5</v>
      </c>
      <c r="F181" t="s">
        <v>54</v>
      </c>
      <c r="G181">
        <v>1</v>
      </c>
      <c r="H181">
        <v>1</v>
      </c>
      <c r="I181" t="s">
        <v>1931</v>
      </c>
      <c r="J181" t="s">
        <v>1929</v>
      </c>
      <c r="K181" t="s">
        <v>69</v>
      </c>
      <c r="L181" s="350">
        <v>46256</v>
      </c>
      <c r="M181">
        <v>30</v>
      </c>
      <c r="N181">
        <v>22</v>
      </c>
      <c r="O181" s="351">
        <v>46235</v>
      </c>
      <c r="P181">
        <v>0</v>
      </c>
      <c r="Q181">
        <v>0</v>
      </c>
      <c r="R181">
        <v>295.95999999999998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10</v>
      </c>
      <c r="AH181">
        <v>8</v>
      </c>
      <c r="AI181" t="s">
        <v>12</v>
      </c>
    </row>
    <row r="182" spans="1:35" ht="12.5">
      <c r="A182" t="s">
        <v>74</v>
      </c>
      <c r="B182" t="s">
        <v>24</v>
      </c>
      <c r="C182" t="s">
        <v>12</v>
      </c>
      <c r="E182">
        <v>0.5</v>
      </c>
      <c r="F182" t="s">
        <v>56</v>
      </c>
      <c r="G182">
        <v>3</v>
      </c>
      <c r="H182">
        <v>0</v>
      </c>
      <c r="I182" t="s">
        <v>1928</v>
      </c>
      <c r="J182" t="s">
        <v>1929</v>
      </c>
      <c r="L182" s="350">
        <v>46227</v>
      </c>
      <c r="M182">
        <v>1</v>
      </c>
      <c r="N182">
        <v>24</v>
      </c>
      <c r="O182" s="351">
        <v>46204</v>
      </c>
      <c r="P182">
        <v>1</v>
      </c>
      <c r="Q182">
        <v>0</v>
      </c>
      <c r="R182">
        <v>125.04</v>
      </c>
      <c r="S182">
        <v>1</v>
      </c>
      <c r="T182">
        <v>3126</v>
      </c>
      <c r="U182">
        <v>431</v>
      </c>
      <c r="V182">
        <v>2695</v>
      </c>
      <c r="W182">
        <v>913</v>
      </c>
      <c r="X182">
        <v>8.7619961612284101</v>
      </c>
      <c r="Y182">
        <v>3126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7</v>
      </c>
      <c r="AH182">
        <v>9</v>
      </c>
      <c r="AI182" t="s">
        <v>12</v>
      </c>
    </row>
    <row r="183" spans="1:35" ht="12.5">
      <c r="A183" t="s">
        <v>74</v>
      </c>
      <c r="B183" t="s">
        <v>24</v>
      </c>
      <c r="C183" t="s">
        <v>12</v>
      </c>
      <c r="E183">
        <v>0.5</v>
      </c>
      <c r="F183" t="s">
        <v>56</v>
      </c>
      <c r="G183">
        <v>3</v>
      </c>
      <c r="H183">
        <v>0</v>
      </c>
      <c r="I183" t="s">
        <v>1928</v>
      </c>
      <c r="J183" t="s">
        <v>1929</v>
      </c>
      <c r="L183" s="350">
        <v>46228</v>
      </c>
      <c r="M183">
        <v>2</v>
      </c>
      <c r="N183">
        <v>25</v>
      </c>
      <c r="O183" s="351">
        <v>46204</v>
      </c>
      <c r="P183">
        <v>1</v>
      </c>
      <c r="Q183">
        <v>0</v>
      </c>
      <c r="R183">
        <v>125.04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7</v>
      </c>
      <c r="AH183">
        <v>9</v>
      </c>
      <c r="AI183" t="s">
        <v>12</v>
      </c>
    </row>
    <row r="184" spans="1:35" ht="12.5">
      <c r="A184" t="s">
        <v>74</v>
      </c>
      <c r="B184" t="s">
        <v>24</v>
      </c>
      <c r="C184" t="s">
        <v>12</v>
      </c>
      <c r="E184">
        <v>0.5</v>
      </c>
      <c r="F184" t="s">
        <v>56</v>
      </c>
      <c r="G184">
        <v>3</v>
      </c>
      <c r="H184">
        <v>0</v>
      </c>
      <c r="I184" t="s">
        <v>1928</v>
      </c>
      <c r="J184" t="s">
        <v>1929</v>
      </c>
      <c r="L184" s="350">
        <v>46229</v>
      </c>
      <c r="M184">
        <v>3</v>
      </c>
      <c r="N184">
        <v>26</v>
      </c>
      <c r="O184" s="351">
        <v>46204</v>
      </c>
      <c r="P184">
        <v>1</v>
      </c>
      <c r="Q184">
        <v>0</v>
      </c>
      <c r="R184">
        <v>125.04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7</v>
      </c>
      <c r="AH184">
        <v>9</v>
      </c>
      <c r="AI184" t="s">
        <v>12</v>
      </c>
    </row>
    <row r="185" spans="1:35" ht="12.5">
      <c r="A185" t="s">
        <v>74</v>
      </c>
      <c r="B185" t="s">
        <v>24</v>
      </c>
      <c r="C185" t="s">
        <v>12</v>
      </c>
      <c r="E185">
        <v>0.5</v>
      </c>
      <c r="F185" t="s">
        <v>56</v>
      </c>
      <c r="G185">
        <v>3</v>
      </c>
      <c r="H185">
        <v>0</v>
      </c>
      <c r="I185" t="s">
        <v>1928</v>
      </c>
      <c r="J185" t="s">
        <v>1929</v>
      </c>
      <c r="L185" s="350">
        <v>46230</v>
      </c>
      <c r="M185">
        <v>4</v>
      </c>
      <c r="N185">
        <v>27</v>
      </c>
      <c r="O185" s="351">
        <v>46204</v>
      </c>
      <c r="P185">
        <v>1</v>
      </c>
      <c r="Q185">
        <v>0</v>
      </c>
      <c r="R185">
        <v>125.04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7</v>
      </c>
      <c r="AH185">
        <v>9</v>
      </c>
      <c r="AI185" t="s">
        <v>12</v>
      </c>
    </row>
    <row r="186" spans="1:35" ht="12.5">
      <c r="A186" t="s">
        <v>74</v>
      </c>
      <c r="B186" t="s">
        <v>24</v>
      </c>
      <c r="C186" t="s">
        <v>12</v>
      </c>
      <c r="E186">
        <v>0.5</v>
      </c>
      <c r="F186" t="s">
        <v>56</v>
      </c>
      <c r="G186">
        <v>3</v>
      </c>
      <c r="H186">
        <v>0</v>
      </c>
      <c r="I186" t="s">
        <v>1928</v>
      </c>
      <c r="J186" t="s">
        <v>1929</v>
      </c>
      <c r="L186" s="350">
        <v>46231</v>
      </c>
      <c r="M186">
        <v>5</v>
      </c>
      <c r="N186">
        <v>28</v>
      </c>
      <c r="O186" s="351">
        <v>46204</v>
      </c>
      <c r="P186">
        <v>1</v>
      </c>
      <c r="Q186">
        <v>0</v>
      </c>
      <c r="R186">
        <v>125.04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7</v>
      </c>
      <c r="AH186">
        <v>9</v>
      </c>
      <c r="AI186" t="s">
        <v>12</v>
      </c>
    </row>
    <row r="187" spans="1:35" ht="12.5">
      <c r="A187" t="s">
        <v>74</v>
      </c>
      <c r="B187" t="s">
        <v>24</v>
      </c>
      <c r="C187" t="s">
        <v>12</v>
      </c>
      <c r="E187">
        <v>0.5</v>
      </c>
      <c r="F187" t="s">
        <v>56</v>
      </c>
      <c r="G187">
        <v>3</v>
      </c>
      <c r="H187">
        <v>0</v>
      </c>
      <c r="I187" t="s">
        <v>1928</v>
      </c>
      <c r="J187" t="s">
        <v>1929</v>
      </c>
      <c r="L187" s="350">
        <v>46232</v>
      </c>
      <c r="M187">
        <v>6</v>
      </c>
      <c r="N187">
        <v>29</v>
      </c>
      <c r="O187" s="351">
        <v>46204</v>
      </c>
      <c r="P187">
        <v>1</v>
      </c>
      <c r="Q187">
        <v>221</v>
      </c>
      <c r="R187">
        <v>125.04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7</v>
      </c>
      <c r="AH187">
        <v>9</v>
      </c>
      <c r="AI187" t="s">
        <v>12</v>
      </c>
    </row>
    <row r="188" spans="1:35" ht="12.5">
      <c r="A188" t="s">
        <v>74</v>
      </c>
      <c r="B188" t="s">
        <v>24</v>
      </c>
      <c r="C188" t="s">
        <v>12</v>
      </c>
      <c r="E188">
        <v>0.5</v>
      </c>
      <c r="F188" t="s">
        <v>56</v>
      </c>
      <c r="G188">
        <v>3</v>
      </c>
      <c r="H188">
        <v>0</v>
      </c>
      <c r="I188" t="s">
        <v>1928</v>
      </c>
      <c r="J188" t="s">
        <v>1929</v>
      </c>
      <c r="L188" s="350">
        <v>46233</v>
      </c>
      <c r="M188">
        <v>7</v>
      </c>
      <c r="N188">
        <v>30</v>
      </c>
      <c r="O188" s="351">
        <v>46204</v>
      </c>
      <c r="P188">
        <v>1</v>
      </c>
      <c r="Q188">
        <v>210</v>
      </c>
      <c r="R188">
        <v>125.04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7</v>
      </c>
      <c r="AH188">
        <v>9</v>
      </c>
      <c r="AI188" t="s">
        <v>12</v>
      </c>
    </row>
    <row r="189" spans="1:35" ht="12.5">
      <c r="A189" t="s">
        <v>74</v>
      </c>
      <c r="B189" t="s">
        <v>24</v>
      </c>
      <c r="C189" t="s">
        <v>12</v>
      </c>
      <c r="E189">
        <v>0.5</v>
      </c>
      <c r="F189" t="s">
        <v>56</v>
      </c>
      <c r="G189">
        <v>3</v>
      </c>
      <c r="H189">
        <v>0</v>
      </c>
      <c r="I189" t="s">
        <v>1928</v>
      </c>
      <c r="J189" t="s">
        <v>1929</v>
      </c>
      <c r="L189" s="350">
        <v>46234</v>
      </c>
      <c r="M189">
        <v>8</v>
      </c>
      <c r="N189">
        <v>31</v>
      </c>
      <c r="O189" s="351">
        <v>46204</v>
      </c>
      <c r="P189">
        <v>1</v>
      </c>
      <c r="Q189">
        <v>0</v>
      </c>
      <c r="R189">
        <v>125.04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7</v>
      </c>
      <c r="AH189">
        <v>9</v>
      </c>
      <c r="AI189" t="s">
        <v>12</v>
      </c>
    </row>
    <row r="190" spans="1:35" ht="12.5">
      <c r="A190" t="s">
        <v>74</v>
      </c>
      <c r="B190" t="s">
        <v>24</v>
      </c>
      <c r="C190" t="s">
        <v>12</v>
      </c>
      <c r="E190">
        <v>0.5</v>
      </c>
      <c r="F190" t="s">
        <v>56</v>
      </c>
      <c r="G190">
        <v>3</v>
      </c>
      <c r="H190">
        <v>0</v>
      </c>
      <c r="I190" t="s">
        <v>1928</v>
      </c>
      <c r="J190" t="s">
        <v>1929</v>
      </c>
      <c r="L190" s="350">
        <v>46235</v>
      </c>
      <c r="M190">
        <v>9</v>
      </c>
      <c r="N190">
        <v>1</v>
      </c>
      <c r="O190" s="351">
        <v>46235</v>
      </c>
      <c r="P190">
        <v>1</v>
      </c>
      <c r="Q190">
        <v>0</v>
      </c>
      <c r="R190">
        <v>125.04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7</v>
      </c>
      <c r="AH190">
        <v>9</v>
      </c>
      <c r="AI190" t="s">
        <v>12</v>
      </c>
    </row>
    <row r="191" spans="1:35" ht="12.5">
      <c r="A191" t="s">
        <v>74</v>
      </c>
      <c r="B191" t="s">
        <v>24</v>
      </c>
      <c r="C191" t="s">
        <v>12</v>
      </c>
      <c r="E191">
        <v>0.5</v>
      </c>
      <c r="F191" t="s">
        <v>56</v>
      </c>
      <c r="G191">
        <v>3</v>
      </c>
      <c r="H191">
        <v>0</v>
      </c>
      <c r="I191" t="s">
        <v>1928</v>
      </c>
      <c r="J191" t="s">
        <v>1929</v>
      </c>
      <c r="L191" s="350">
        <v>46236</v>
      </c>
      <c r="M191">
        <v>10</v>
      </c>
      <c r="N191">
        <v>2</v>
      </c>
      <c r="O191" s="351">
        <v>46235</v>
      </c>
      <c r="P191">
        <v>1</v>
      </c>
      <c r="Q191">
        <v>0</v>
      </c>
      <c r="R191">
        <v>125.04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7</v>
      </c>
      <c r="AH191">
        <v>9</v>
      </c>
      <c r="AI191" t="s">
        <v>12</v>
      </c>
    </row>
    <row r="192" spans="1:35" ht="12.5">
      <c r="A192" t="s">
        <v>74</v>
      </c>
      <c r="B192" t="s">
        <v>24</v>
      </c>
      <c r="C192" t="s">
        <v>12</v>
      </c>
      <c r="E192">
        <v>0.5</v>
      </c>
      <c r="F192" t="s">
        <v>56</v>
      </c>
      <c r="G192">
        <v>3</v>
      </c>
      <c r="H192">
        <v>0</v>
      </c>
      <c r="I192" t="s">
        <v>1928</v>
      </c>
      <c r="J192" t="s">
        <v>1929</v>
      </c>
      <c r="L192" s="350">
        <v>46237</v>
      </c>
      <c r="M192">
        <v>11</v>
      </c>
      <c r="N192">
        <v>3</v>
      </c>
      <c r="O192" s="351">
        <v>46235</v>
      </c>
      <c r="P192">
        <v>1</v>
      </c>
      <c r="Q192">
        <v>0</v>
      </c>
      <c r="R192">
        <v>125.04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7</v>
      </c>
      <c r="AH192">
        <v>9</v>
      </c>
      <c r="AI192" t="s">
        <v>12</v>
      </c>
    </row>
    <row r="193" spans="1:35" ht="12.5">
      <c r="A193" t="s">
        <v>74</v>
      </c>
      <c r="B193" t="s">
        <v>24</v>
      </c>
      <c r="C193" t="s">
        <v>12</v>
      </c>
      <c r="E193">
        <v>0.5</v>
      </c>
      <c r="F193" t="s">
        <v>56</v>
      </c>
      <c r="G193">
        <v>3</v>
      </c>
      <c r="H193">
        <v>0</v>
      </c>
      <c r="I193" t="s">
        <v>1928</v>
      </c>
      <c r="J193" t="s">
        <v>1929</v>
      </c>
      <c r="L193" s="350">
        <v>46238</v>
      </c>
      <c r="M193">
        <v>12</v>
      </c>
      <c r="N193">
        <v>4</v>
      </c>
      <c r="O193" s="351">
        <v>46235</v>
      </c>
      <c r="P193">
        <v>0</v>
      </c>
      <c r="Q193">
        <v>0</v>
      </c>
      <c r="R193">
        <v>125.04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7</v>
      </c>
      <c r="AH193">
        <v>9</v>
      </c>
      <c r="AI193" t="s">
        <v>12</v>
      </c>
    </row>
    <row r="194" spans="1:35" ht="12.5">
      <c r="A194" t="s">
        <v>74</v>
      </c>
      <c r="B194" t="s">
        <v>24</v>
      </c>
      <c r="C194" t="s">
        <v>12</v>
      </c>
      <c r="E194">
        <v>0.5</v>
      </c>
      <c r="F194" t="s">
        <v>56</v>
      </c>
      <c r="G194">
        <v>3</v>
      </c>
      <c r="H194">
        <v>0</v>
      </c>
      <c r="I194" t="s">
        <v>1928</v>
      </c>
      <c r="J194" t="s">
        <v>1929</v>
      </c>
      <c r="L194" s="350">
        <v>46239</v>
      </c>
      <c r="M194">
        <v>13</v>
      </c>
      <c r="N194">
        <v>5</v>
      </c>
      <c r="O194" s="351">
        <v>46235</v>
      </c>
      <c r="P194">
        <v>0</v>
      </c>
      <c r="Q194">
        <v>0</v>
      </c>
      <c r="R194">
        <v>125.04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7</v>
      </c>
      <c r="AH194">
        <v>9</v>
      </c>
      <c r="AI194" t="s">
        <v>12</v>
      </c>
    </row>
    <row r="195" spans="1:35" ht="12.5">
      <c r="A195" t="s">
        <v>74</v>
      </c>
      <c r="B195" t="s">
        <v>24</v>
      </c>
      <c r="C195" t="s">
        <v>12</v>
      </c>
      <c r="E195">
        <v>0.5</v>
      </c>
      <c r="F195" t="s">
        <v>56</v>
      </c>
      <c r="G195">
        <v>3</v>
      </c>
      <c r="H195">
        <v>0</v>
      </c>
      <c r="I195" t="s">
        <v>1928</v>
      </c>
      <c r="J195" t="s">
        <v>1929</v>
      </c>
      <c r="L195" s="350">
        <v>46240</v>
      </c>
      <c r="M195">
        <v>14</v>
      </c>
      <c r="N195">
        <v>6</v>
      </c>
      <c r="O195" s="351">
        <v>46235</v>
      </c>
      <c r="P195">
        <v>0</v>
      </c>
      <c r="Q195">
        <v>0</v>
      </c>
      <c r="R195">
        <v>125.04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7</v>
      </c>
      <c r="AH195">
        <v>9</v>
      </c>
      <c r="AI195" t="s">
        <v>12</v>
      </c>
    </row>
    <row r="196" spans="1:35" ht="12.5">
      <c r="A196" t="s">
        <v>74</v>
      </c>
      <c r="B196" t="s">
        <v>24</v>
      </c>
      <c r="C196" t="s">
        <v>12</v>
      </c>
      <c r="E196">
        <v>0.5</v>
      </c>
      <c r="F196" t="s">
        <v>56</v>
      </c>
      <c r="G196">
        <v>3</v>
      </c>
      <c r="H196">
        <v>0</v>
      </c>
      <c r="I196" t="s">
        <v>1928</v>
      </c>
      <c r="J196" t="s">
        <v>1929</v>
      </c>
      <c r="L196" s="350">
        <v>46241</v>
      </c>
      <c r="M196">
        <v>15</v>
      </c>
      <c r="N196">
        <v>7</v>
      </c>
      <c r="O196" s="351">
        <v>46235</v>
      </c>
      <c r="P196">
        <v>0</v>
      </c>
      <c r="Q196">
        <v>0</v>
      </c>
      <c r="R196">
        <v>125.04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7</v>
      </c>
      <c r="AH196">
        <v>9</v>
      </c>
      <c r="AI196" t="s">
        <v>12</v>
      </c>
    </row>
    <row r="197" spans="1:35" ht="12.5">
      <c r="A197" t="s">
        <v>74</v>
      </c>
      <c r="B197" t="s">
        <v>24</v>
      </c>
      <c r="C197" t="s">
        <v>12</v>
      </c>
      <c r="E197">
        <v>0.5</v>
      </c>
      <c r="F197" t="s">
        <v>56</v>
      </c>
      <c r="G197">
        <v>3</v>
      </c>
      <c r="H197">
        <v>0</v>
      </c>
      <c r="I197" t="s">
        <v>1928</v>
      </c>
      <c r="J197" t="s">
        <v>1929</v>
      </c>
      <c r="L197" s="350">
        <v>46242</v>
      </c>
      <c r="M197">
        <v>16</v>
      </c>
      <c r="N197">
        <v>8</v>
      </c>
      <c r="O197" s="351">
        <v>46235</v>
      </c>
      <c r="P197">
        <v>0</v>
      </c>
      <c r="Q197">
        <v>0</v>
      </c>
      <c r="R197">
        <v>125.04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7</v>
      </c>
      <c r="AH197">
        <v>9</v>
      </c>
      <c r="AI197" t="s">
        <v>12</v>
      </c>
    </row>
    <row r="198" spans="1:35" ht="12.5">
      <c r="A198" t="s">
        <v>74</v>
      </c>
      <c r="B198" t="s">
        <v>24</v>
      </c>
      <c r="C198" t="s">
        <v>12</v>
      </c>
      <c r="E198">
        <v>0.5</v>
      </c>
      <c r="F198" t="s">
        <v>56</v>
      </c>
      <c r="G198">
        <v>3</v>
      </c>
      <c r="H198">
        <v>0</v>
      </c>
      <c r="I198" t="s">
        <v>1928</v>
      </c>
      <c r="J198" t="s">
        <v>1929</v>
      </c>
      <c r="L198" s="350">
        <v>46243</v>
      </c>
      <c r="M198">
        <v>17</v>
      </c>
      <c r="N198">
        <v>9</v>
      </c>
      <c r="O198" s="351">
        <v>46235</v>
      </c>
      <c r="P198">
        <v>0</v>
      </c>
      <c r="Q198">
        <v>0</v>
      </c>
      <c r="R198">
        <v>125.04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7</v>
      </c>
      <c r="AH198">
        <v>9</v>
      </c>
      <c r="AI198" t="s">
        <v>12</v>
      </c>
    </row>
    <row r="199" spans="1:35" ht="12.5">
      <c r="A199" t="s">
        <v>74</v>
      </c>
      <c r="B199" t="s">
        <v>24</v>
      </c>
      <c r="C199" t="s">
        <v>12</v>
      </c>
      <c r="E199">
        <v>0.5</v>
      </c>
      <c r="F199" t="s">
        <v>56</v>
      </c>
      <c r="G199">
        <v>3</v>
      </c>
      <c r="H199">
        <v>0</v>
      </c>
      <c r="I199" t="s">
        <v>1928</v>
      </c>
      <c r="J199" t="s">
        <v>1929</v>
      </c>
      <c r="L199" s="350">
        <v>46244</v>
      </c>
      <c r="M199">
        <v>18</v>
      </c>
      <c r="N199">
        <v>10</v>
      </c>
      <c r="O199" s="351">
        <v>46235</v>
      </c>
      <c r="P199">
        <v>0</v>
      </c>
      <c r="Q199">
        <v>0</v>
      </c>
      <c r="R199">
        <v>125.04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7</v>
      </c>
      <c r="AH199">
        <v>9</v>
      </c>
      <c r="AI199" t="s">
        <v>12</v>
      </c>
    </row>
    <row r="200" spans="1:35" ht="12.5">
      <c r="A200" t="s">
        <v>74</v>
      </c>
      <c r="B200" t="s">
        <v>24</v>
      </c>
      <c r="C200" t="s">
        <v>12</v>
      </c>
      <c r="E200">
        <v>0.5</v>
      </c>
      <c r="F200" t="s">
        <v>56</v>
      </c>
      <c r="G200">
        <v>3</v>
      </c>
      <c r="H200">
        <v>0</v>
      </c>
      <c r="I200" t="s">
        <v>1928</v>
      </c>
      <c r="J200" t="s">
        <v>1929</v>
      </c>
      <c r="L200" s="350">
        <v>46245</v>
      </c>
      <c r="M200">
        <v>19</v>
      </c>
      <c r="N200">
        <v>11</v>
      </c>
      <c r="O200" s="351">
        <v>46235</v>
      </c>
      <c r="P200">
        <v>0</v>
      </c>
      <c r="Q200">
        <v>0</v>
      </c>
      <c r="R200">
        <v>125.04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7</v>
      </c>
      <c r="AH200">
        <v>9</v>
      </c>
      <c r="AI200" t="s">
        <v>12</v>
      </c>
    </row>
    <row r="201" spans="1:35" ht="12.5">
      <c r="A201" t="s">
        <v>74</v>
      </c>
      <c r="B201" t="s">
        <v>24</v>
      </c>
      <c r="C201" t="s">
        <v>12</v>
      </c>
      <c r="E201">
        <v>0.5</v>
      </c>
      <c r="F201" t="s">
        <v>56</v>
      </c>
      <c r="G201">
        <v>3</v>
      </c>
      <c r="H201">
        <v>0</v>
      </c>
      <c r="I201" t="s">
        <v>1928</v>
      </c>
      <c r="J201" t="s">
        <v>1929</v>
      </c>
      <c r="L201" s="350">
        <v>46246</v>
      </c>
      <c r="M201">
        <v>20</v>
      </c>
      <c r="N201">
        <v>12</v>
      </c>
      <c r="O201" s="351">
        <v>46235</v>
      </c>
      <c r="P201">
        <v>0</v>
      </c>
      <c r="Q201">
        <v>0</v>
      </c>
      <c r="R201">
        <v>125.04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7</v>
      </c>
      <c r="AH201">
        <v>9</v>
      </c>
      <c r="AI201" t="s">
        <v>12</v>
      </c>
    </row>
    <row r="202" spans="1:35" ht="12.5">
      <c r="A202" t="s">
        <v>74</v>
      </c>
      <c r="B202" t="s">
        <v>24</v>
      </c>
      <c r="C202" t="s">
        <v>12</v>
      </c>
      <c r="E202">
        <v>0.5</v>
      </c>
      <c r="F202" t="s">
        <v>56</v>
      </c>
      <c r="G202">
        <v>3</v>
      </c>
      <c r="H202">
        <v>0</v>
      </c>
      <c r="I202" t="s">
        <v>1928</v>
      </c>
      <c r="J202" t="s">
        <v>1929</v>
      </c>
      <c r="L202" s="350">
        <v>46247</v>
      </c>
      <c r="M202">
        <v>21</v>
      </c>
      <c r="N202">
        <v>13</v>
      </c>
      <c r="O202" s="351">
        <v>46235</v>
      </c>
      <c r="P202">
        <v>0</v>
      </c>
      <c r="Q202">
        <v>0</v>
      </c>
      <c r="R202">
        <v>125.04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7</v>
      </c>
      <c r="AH202">
        <v>9</v>
      </c>
      <c r="AI202" t="s">
        <v>12</v>
      </c>
    </row>
    <row r="203" spans="1:35" ht="12.5">
      <c r="A203" t="s">
        <v>74</v>
      </c>
      <c r="B203" t="s">
        <v>24</v>
      </c>
      <c r="C203" t="s">
        <v>12</v>
      </c>
      <c r="E203">
        <v>0.5</v>
      </c>
      <c r="F203" t="s">
        <v>56</v>
      </c>
      <c r="G203">
        <v>3</v>
      </c>
      <c r="H203">
        <v>0</v>
      </c>
      <c r="I203" t="s">
        <v>1928</v>
      </c>
      <c r="J203" t="s">
        <v>1929</v>
      </c>
      <c r="L203" s="350">
        <v>46248</v>
      </c>
      <c r="M203">
        <v>22</v>
      </c>
      <c r="N203">
        <v>14</v>
      </c>
      <c r="O203" s="351">
        <v>46235</v>
      </c>
      <c r="P203">
        <v>0</v>
      </c>
      <c r="Q203">
        <v>0</v>
      </c>
      <c r="R203">
        <v>125.04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7</v>
      </c>
      <c r="AH203">
        <v>9</v>
      </c>
      <c r="AI203" t="s">
        <v>12</v>
      </c>
    </row>
    <row r="204" spans="1:35" ht="12.5">
      <c r="A204" t="s">
        <v>74</v>
      </c>
      <c r="B204" t="s">
        <v>24</v>
      </c>
      <c r="C204" t="s">
        <v>12</v>
      </c>
      <c r="E204">
        <v>0.5</v>
      </c>
      <c r="F204" t="s">
        <v>56</v>
      </c>
      <c r="G204">
        <v>3</v>
      </c>
      <c r="H204">
        <v>0</v>
      </c>
      <c r="I204" t="s">
        <v>1928</v>
      </c>
      <c r="J204" t="s">
        <v>1929</v>
      </c>
      <c r="L204" s="350">
        <v>46249</v>
      </c>
      <c r="M204">
        <v>23</v>
      </c>
      <c r="N204">
        <v>15</v>
      </c>
      <c r="O204" s="351">
        <v>46235</v>
      </c>
      <c r="P204">
        <v>0</v>
      </c>
      <c r="Q204">
        <v>0</v>
      </c>
      <c r="R204">
        <v>125.04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7</v>
      </c>
      <c r="AH204">
        <v>9</v>
      </c>
      <c r="AI204" t="s">
        <v>12</v>
      </c>
    </row>
    <row r="205" spans="1:35" ht="12.5">
      <c r="A205" t="s">
        <v>74</v>
      </c>
      <c r="B205" t="s">
        <v>24</v>
      </c>
      <c r="C205" t="s">
        <v>12</v>
      </c>
      <c r="E205">
        <v>0.5</v>
      </c>
      <c r="F205" t="s">
        <v>56</v>
      </c>
      <c r="G205">
        <v>3</v>
      </c>
      <c r="H205">
        <v>0</v>
      </c>
      <c r="I205" t="s">
        <v>1928</v>
      </c>
      <c r="J205" t="s">
        <v>1929</v>
      </c>
      <c r="L205" s="350">
        <v>46250</v>
      </c>
      <c r="M205">
        <v>24</v>
      </c>
      <c r="N205">
        <v>16</v>
      </c>
      <c r="O205" s="351">
        <v>46235</v>
      </c>
      <c r="P205">
        <v>0</v>
      </c>
      <c r="Q205">
        <v>0</v>
      </c>
      <c r="R205">
        <v>125.04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7</v>
      </c>
      <c r="AH205">
        <v>9</v>
      </c>
      <c r="AI205" t="s">
        <v>12</v>
      </c>
    </row>
    <row r="206" spans="1:35" ht="12.5">
      <c r="A206" t="s">
        <v>74</v>
      </c>
      <c r="B206" t="s">
        <v>24</v>
      </c>
      <c r="C206" t="s">
        <v>12</v>
      </c>
      <c r="E206">
        <v>0.5</v>
      </c>
      <c r="F206" t="s">
        <v>56</v>
      </c>
      <c r="G206">
        <v>3</v>
      </c>
      <c r="H206">
        <v>0</v>
      </c>
      <c r="I206" t="s">
        <v>1928</v>
      </c>
      <c r="J206" t="s">
        <v>1929</v>
      </c>
      <c r="L206" s="350">
        <v>46251</v>
      </c>
      <c r="M206">
        <v>25</v>
      </c>
      <c r="N206">
        <v>17</v>
      </c>
      <c r="O206" s="351">
        <v>46235</v>
      </c>
      <c r="P206">
        <v>0</v>
      </c>
      <c r="Q206">
        <v>0</v>
      </c>
      <c r="R206">
        <v>125.04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7</v>
      </c>
      <c r="AH206">
        <v>9</v>
      </c>
      <c r="AI206" t="s">
        <v>12</v>
      </c>
    </row>
    <row r="207" spans="1:35" ht="12.5">
      <c r="A207" t="s">
        <v>74</v>
      </c>
      <c r="B207" t="s">
        <v>24</v>
      </c>
      <c r="C207" t="s">
        <v>12</v>
      </c>
      <c r="E207">
        <v>0.5</v>
      </c>
      <c r="F207" t="s">
        <v>56</v>
      </c>
      <c r="G207">
        <v>3</v>
      </c>
      <c r="H207">
        <v>0</v>
      </c>
      <c r="I207" t="s">
        <v>1928</v>
      </c>
      <c r="J207" t="s">
        <v>1929</v>
      </c>
      <c r="L207" s="350">
        <v>46252</v>
      </c>
      <c r="M207">
        <v>26</v>
      </c>
      <c r="N207">
        <v>18</v>
      </c>
      <c r="O207" s="351">
        <v>46235</v>
      </c>
      <c r="P207">
        <v>0</v>
      </c>
      <c r="Q207">
        <v>0</v>
      </c>
      <c r="R207">
        <v>125.04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7</v>
      </c>
      <c r="AH207">
        <v>9</v>
      </c>
      <c r="AI207" t="s">
        <v>12</v>
      </c>
    </row>
    <row r="208" spans="1:35" ht="12.5">
      <c r="A208" t="s">
        <v>74</v>
      </c>
      <c r="B208" t="s">
        <v>24</v>
      </c>
      <c r="C208" t="s">
        <v>12</v>
      </c>
      <c r="E208">
        <v>0.5</v>
      </c>
      <c r="F208" t="s">
        <v>56</v>
      </c>
      <c r="G208">
        <v>3</v>
      </c>
      <c r="H208">
        <v>0</v>
      </c>
      <c r="I208" t="s">
        <v>1928</v>
      </c>
      <c r="J208" t="s">
        <v>1929</v>
      </c>
      <c r="L208" s="350">
        <v>46253</v>
      </c>
      <c r="M208">
        <v>27</v>
      </c>
      <c r="N208">
        <v>19</v>
      </c>
      <c r="O208" s="351">
        <v>46235</v>
      </c>
      <c r="P208">
        <v>0</v>
      </c>
      <c r="Q208">
        <v>0</v>
      </c>
      <c r="R208">
        <v>125.04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7</v>
      </c>
      <c r="AH208">
        <v>9</v>
      </c>
      <c r="AI208" t="s">
        <v>12</v>
      </c>
    </row>
    <row r="209" spans="1:35" ht="12.5">
      <c r="A209" t="s">
        <v>74</v>
      </c>
      <c r="B209" t="s">
        <v>24</v>
      </c>
      <c r="C209" t="s">
        <v>12</v>
      </c>
      <c r="E209">
        <v>0.5</v>
      </c>
      <c r="F209" t="s">
        <v>56</v>
      </c>
      <c r="G209">
        <v>3</v>
      </c>
      <c r="H209">
        <v>0</v>
      </c>
      <c r="I209" t="s">
        <v>1928</v>
      </c>
      <c r="J209" t="s">
        <v>1929</v>
      </c>
      <c r="L209" s="350">
        <v>46254</v>
      </c>
      <c r="M209">
        <v>28</v>
      </c>
      <c r="N209">
        <v>20</v>
      </c>
      <c r="O209" s="351">
        <v>46235</v>
      </c>
      <c r="P209">
        <v>0</v>
      </c>
      <c r="Q209">
        <v>0</v>
      </c>
      <c r="R209">
        <v>125.04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7</v>
      </c>
      <c r="AH209">
        <v>9</v>
      </c>
      <c r="AI209" t="s">
        <v>12</v>
      </c>
    </row>
    <row r="210" spans="1:35" ht="12.5">
      <c r="A210" t="s">
        <v>74</v>
      </c>
      <c r="B210" t="s">
        <v>24</v>
      </c>
      <c r="C210" t="s">
        <v>12</v>
      </c>
      <c r="E210">
        <v>0.5</v>
      </c>
      <c r="F210" t="s">
        <v>56</v>
      </c>
      <c r="G210">
        <v>3</v>
      </c>
      <c r="H210">
        <v>0</v>
      </c>
      <c r="I210" t="s">
        <v>1928</v>
      </c>
      <c r="J210" t="s">
        <v>1929</v>
      </c>
      <c r="L210" s="350">
        <v>46255</v>
      </c>
      <c r="M210">
        <v>29</v>
      </c>
      <c r="N210">
        <v>21</v>
      </c>
      <c r="O210" s="351">
        <v>46235</v>
      </c>
      <c r="P210">
        <v>0</v>
      </c>
      <c r="Q210">
        <v>0</v>
      </c>
      <c r="R210">
        <v>125.04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7</v>
      </c>
      <c r="AH210">
        <v>9</v>
      </c>
      <c r="AI210" t="s">
        <v>12</v>
      </c>
    </row>
    <row r="211" spans="1:35" ht="12.5">
      <c r="A211" t="s">
        <v>74</v>
      </c>
      <c r="B211" t="s">
        <v>24</v>
      </c>
      <c r="C211" t="s">
        <v>12</v>
      </c>
      <c r="E211">
        <v>0.5</v>
      </c>
      <c r="F211" t="s">
        <v>56</v>
      </c>
      <c r="G211">
        <v>3</v>
      </c>
      <c r="H211">
        <v>0</v>
      </c>
      <c r="I211" t="s">
        <v>1928</v>
      </c>
      <c r="J211" t="s">
        <v>1929</v>
      </c>
      <c r="L211" s="350">
        <v>46256</v>
      </c>
      <c r="M211">
        <v>30</v>
      </c>
      <c r="N211">
        <v>22</v>
      </c>
      <c r="O211" s="351">
        <v>46235</v>
      </c>
      <c r="P211">
        <v>0</v>
      </c>
      <c r="Q211">
        <v>0</v>
      </c>
      <c r="R211">
        <v>125.04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7</v>
      </c>
      <c r="AH211">
        <v>9</v>
      </c>
      <c r="AI211" t="s">
        <v>12</v>
      </c>
    </row>
    <row r="212" spans="1:35" ht="12.5">
      <c r="A212" t="s">
        <v>76</v>
      </c>
      <c r="B212" t="s">
        <v>26</v>
      </c>
      <c r="C212" t="s">
        <v>12</v>
      </c>
      <c r="E212">
        <v>0.5</v>
      </c>
      <c r="F212" t="s">
        <v>1933</v>
      </c>
      <c r="G212">
        <v>2</v>
      </c>
      <c r="H212">
        <v>0</v>
      </c>
      <c r="I212" t="s">
        <v>1928</v>
      </c>
      <c r="J212" t="s">
        <v>1926</v>
      </c>
      <c r="K212" t="s">
        <v>69</v>
      </c>
      <c r="L212" s="350">
        <v>46227</v>
      </c>
      <c r="M212">
        <v>1</v>
      </c>
      <c r="N212">
        <v>24</v>
      </c>
      <c r="O212" s="351">
        <v>46204</v>
      </c>
      <c r="P212">
        <v>1</v>
      </c>
      <c r="Q212">
        <v>80</v>
      </c>
      <c r="R212">
        <v>129.19999999999999</v>
      </c>
      <c r="S212">
        <v>1</v>
      </c>
      <c r="T212">
        <v>3230</v>
      </c>
      <c r="U212">
        <v>934</v>
      </c>
      <c r="V212">
        <v>2296</v>
      </c>
      <c r="W212">
        <v>1445</v>
      </c>
      <c r="X212">
        <v>13.421052631578901</v>
      </c>
      <c r="Y212">
        <v>2620</v>
      </c>
      <c r="Z212">
        <v>0</v>
      </c>
      <c r="AA212">
        <v>610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5</v>
      </c>
      <c r="AH212">
        <v>10</v>
      </c>
      <c r="AI212" t="s">
        <v>12</v>
      </c>
    </row>
    <row r="213" spans="1:35" ht="12.5">
      <c r="A213" t="s">
        <v>76</v>
      </c>
      <c r="B213" t="s">
        <v>26</v>
      </c>
      <c r="C213" t="s">
        <v>12</v>
      </c>
      <c r="E213">
        <v>0.5</v>
      </c>
      <c r="F213" t="s">
        <v>1933</v>
      </c>
      <c r="G213">
        <v>2</v>
      </c>
      <c r="H213">
        <v>0</v>
      </c>
      <c r="I213" t="s">
        <v>1928</v>
      </c>
      <c r="J213" t="s">
        <v>1926</v>
      </c>
      <c r="K213" t="s">
        <v>69</v>
      </c>
      <c r="L213" s="350">
        <v>46228</v>
      </c>
      <c r="M213">
        <v>2</v>
      </c>
      <c r="N213">
        <v>25</v>
      </c>
      <c r="O213" s="351">
        <v>46204</v>
      </c>
      <c r="P213">
        <v>1</v>
      </c>
      <c r="Q213">
        <v>494</v>
      </c>
      <c r="R213">
        <v>129.19999999999999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5</v>
      </c>
      <c r="AH213">
        <v>10</v>
      </c>
      <c r="AI213" t="s">
        <v>12</v>
      </c>
    </row>
    <row r="214" spans="1:35" ht="12.5">
      <c r="A214" t="s">
        <v>76</v>
      </c>
      <c r="B214" t="s">
        <v>26</v>
      </c>
      <c r="C214" t="s">
        <v>12</v>
      </c>
      <c r="E214">
        <v>0.5</v>
      </c>
      <c r="F214" t="s">
        <v>1933</v>
      </c>
      <c r="G214">
        <v>2</v>
      </c>
      <c r="H214">
        <v>0</v>
      </c>
      <c r="I214" t="s">
        <v>1928</v>
      </c>
      <c r="J214" t="s">
        <v>1926</v>
      </c>
      <c r="K214" t="s">
        <v>69</v>
      </c>
      <c r="L214" s="350">
        <v>46229</v>
      </c>
      <c r="M214">
        <v>3</v>
      </c>
      <c r="N214">
        <v>26</v>
      </c>
      <c r="O214" s="351">
        <v>46204</v>
      </c>
      <c r="P214">
        <v>1</v>
      </c>
      <c r="Q214">
        <v>240</v>
      </c>
      <c r="R214">
        <v>129.19999999999999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5</v>
      </c>
      <c r="AH214">
        <v>10</v>
      </c>
      <c r="AI214" t="s">
        <v>12</v>
      </c>
    </row>
    <row r="215" spans="1:35" ht="12.5">
      <c r="A215" t="s">
        <v>76</v>
      </c>
      <c r="B215" t="s">
        <v>26</v>
      </c>
      <c r="C215" t="s">
        <v>12</v>
      </c>
      <c r="E215">
        <v>0.5</v>
      </c>
      <c r="F215" t="s">
        <v>1933</v>
      </c>
      <c r="G215">
        <v>2</v>
      </c>
      <c r="H215">
        <v>0</v>
      </c>
      <c r="I215" t="s">
        <v>1928</v>
      </c>
      <c r="J215" t="s">
        <v>1926</v>
      </c>
      <c r="K215" t="s">
        <v>69</v>
      </c>
      <c r="L215" s="350">
        <v>46230</v>
      </c>
      <c r="M215">
        <v>4</v>
      </c>
      <c r="N215">
        <v>27</v>
      </c>
      <c r="O215" s="351">
        <v>46204</v>
      </c>
      <c r="P215">
        <v>1</v>
      </c>
      <c r="Q215">
        <v>0</v>
      </c>
      <c r="R215">
        <v>129.19999999999999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5</v>
      </c>
      <c r="AH215">
        <v>10</v>
      </c>
      <c r="AI215" t="s">
        <v>12</v>
      </c>
    </row>
    <row r="216" spans="1:35" ht="12.5">
      <c r="A216" t="s">
        <v>76</v>
      </c>
      <c r="B216" t="s">
        <v>26</v>
      </c>
      <c r="C216" t="s">
        <v>12</v>
      </c>
      <c r="E216">
        <v>0.5</v>
      </c>
      <c r="F216" t="s">
        <v>1933</v>
      </c>
      <c r="G216">
        <v>2</v>
      </c>
      <c r="H216">
        <v>0</v>
      </c>
      <c r="I216" t="s">
        <v>1928</v>
      </c>
      <c r="J216" t="s">
        <v>1926</v>
      </c>
      <c r="K216" t="s">
        <v>69</v>
      </c>
      <c r="L216" s="350">
        <v>46231</v>
      </c>
      <c r="M216">
        <v>5</v>
      </c>
      <c r="N216">
        <v>28</v>
      </c>
      <c r="O216" s="351">
        <v>46204</v>
      </c>
      <c r="P216">
        <v>1</v>
      </c>
      <c r="Q216">
        <v>0</v>
      </c>
      <c r="R216">
        <v>129.19999999999999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5</v>
      </c>
      <c r="AH216">
        <v>10</v>
      </c>
      <c r="AI216" t="s">
        <v>12</v>
      </c>
    </row>
    <row r="217" spans="1:35" ht="12.5">
      <c r="A217" t="s">
        <v>76</v>
      </c>
      <c r="B217" t="s">
        <v>26</v>
      </c>
      <c r="C217" t="s">
        <v>12</v>
      </c>
      <c r="E217">
        <v>0.5</v>
      </c>
      <c r="F217" t="s">
        <v>1933</v>
      </c>
      <c r="G217">
        <v>2</v>
      </c>
      <c r="H217">
        <v>0</v>
      </c>
      <c r="I217" t="s">
        <v>1928</v>
      </c>
      <c r="J217" t="s">
        <v>1926</v>
      </c>
      <c r="K217" t="s">
        <v>69</v>
      </c>
      <c r="L217" s="350">
        <v>46232</v>
      </c>
      <c r="M217">
        <v>6</v>
      </c>
      <c r="N217">
        <v>29</v>
      </c>
      <c r="O217" s="351">
        <v>46204</v>
      </c>
      <c r="P217">
        <v>1</v>
      </c>
      <c r="Q217">
        <v>0</v>
      </c>
      <c r="R217">
        <v>129.19999999999999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5</v>
      </c>
      <c r="AH217">
        <v>10</v>
      </c>
      <c r="AI217" t="s">
        <v>12</v>
      </c>
    </row>
    <row r="218" spans="1:35" ht="12.5">
      <c r="A218" t="s">
        <v>76</v>
      </c>
      <c r="B218" t="s">
        <v>26</v>
      </c>
      <c r="C218" t="s">
        <v>12</v>
      </c>
      <c r="E218">
        <v>0.5</v>
      </c>
      <c r="F218" t="s">
        <v>1933</v>
      </c>
      <c r="G218">
        <v>2</v>
      </c>
      <c r="H218">
        <v>0</v>
      </c>
      <c r="I218" t="s">
        <v>1928</v>
      </c>
      <c r="J218" t="s">
        <v>1926</v>
      </c>
      <c r="K218" t="s">
        <v>69</v>
      </c>
      <c r="L218" s="350">
        <v>46233</v>
      </c>
      <c r="M218">
        <v>7</v>
      </c>
      <c r="N218">
        <v>30</v>
      </c>
      <c r="O218" s="351">
        <v>46204</v>
      </c>
      <c r="P218">
        <v>1</v>
      </c>
      <c r="Q218">
        <v>120</v>
      </c>
      <c r="R218">
        <v>129.19999999999999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5</v>
      </c>
      <c r="AH218">
        <v>10</v>
      </c>
      <c r="AI218" t="s">
        <v>12</v>
      </c>
    </row>
    <row r="219" spans="1:35" ht="12.5">
      <c r="A219" t="s">
        <v>76</v>
      </c>
      <c r="B219" t="s">
        <v>26</v>
      </c>
      <c r="C219" t="s">
        <v>12</v>
      </c>
      <c r="E219">
        <v>0.5</v>
      </c>
      <c r="F219" t="s">
        <v>1933</v>
      </c>
      <c r="G219">
        <v>2</v>
      </c>
      <c r="H219">
        <v>0</v>
      </c>
      <c r="I219" t="s">
        <v>1928</v>
      </c>
      <c r="J219" t="s">
        <v>1926</v>
      </c>
      <c r="K219" t="s">
        <v>69</v>
      </c>
      <c r="L219" s="350">
        <v>46234</v>
      </c>
      <c r="M219">
        <v>8</v>
      </c>
      <c r="N219">
        <v>31</v>
      </c>
      <c r="O219" s="351">
        <v>46204</v>
      </c>
      <c r="P219">
        <v>1</v>
      </c>
      <c r="Q219">
        <v>0</v>
      </c>
      <c r="R219">
        <v>129.19999999999999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5</v>
      </c>
      <c r="AH219">
        <v>10</v>
      </c>
      <c r="AI219" t="s">
        <v>12</v>
      </c>
    </row>
    <row r="220" spans="1:35" ht="12.5">
      <c r="A220" t="s">
        <v>76</v>
      </c>
      <c r="B220" t="s">
        <v>26</v>
      </c>
      <c r="C220" t="s">
        <v>12</v>
      </c>
      <c r="E220">
        <v>0.5</v>
      </c>
      <c r="F220" t="s">
        <v>1933</v>
      </c>
      <c r="G220">
        <v>2</v>
      </c>
      <c r="H220">
        <v>0</v>
      </c>
      <c r="I220" t="s">
        <v>1928</v>
      </c>
      <c r="J220" t="s">
        <v>1926</v>
      </c>
      <c r="K220" t="s">
        <v>69</v>
      </c>
      <c r="L220" s="350">
        <v>46235</v>
      </c>
      <c r="M220">
        <v>9</v>
      </c>
      <c r="N220">
        <v>1</v>
      </c>
      <c r="O220" s="351">
        <v>46235</v>
      </c>
      <c r="P220">
        <v>1</v>
      </c>
      <c r="Q220">
        <v>0</v>
      </c>
      <c r="R220">
        <v>129.19999999999999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5</v>
      </c>
      <c r="AH220">
        <v>10</v>
      </c>
      <c r="AI220" t="s">
        <v>12</v>
      </c>
    </row>
    <row r="221" spans="1:35" ht="12.5">
      <c r="A221" t="s">
        <v>76</v>
      </c>
      <c r="B221" t="s">
        <v>26</v>
      </c>
      <c r="C221" t="s">
        <v>12</v>
      </c>
      <c r="E221">
        <v>0.5</v>
      </c>
      <c r="F221" t="s">
        <v>1933</v>
      </c>
      <c r="G221">
        <v>2</v>
      </c>
      <c r="H221">
        <v>0</v>
      </c>
      <c r="I221" t="s">
        <v>1928</v>
      </c>
      <c r="J221" t="s">
        <v>1926</v>
      </c>
      <c r="K221" t="s">
        <v>69</v>
      </c>
      <c r="L221" s="350">
        <v>46236</v>
      </c>
      <c r="M221">
        <v>10</v>
      </c>
      <c r="N221">
        <v>2</v>
      </c>
      <c r="O221" s="351">
        <v>46235</v>
      </c>
      <c r="P221">
        <v>1</v>
      </c>
      <c r="Q221">
        <v>0</v>
      </c>
      <c r="R221">
        <v>129.19999999999999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5</v>
      </c>
      <c r="AH221">
        <v>10</v>
      </c>
      <c r="AI221" t="s">
        <v>12</v>
      </c>
    </row>
    <row r="222" spans="1:35" ht="12.5">
      <c r="A222" t="s">
        <v>76</v>
      </c>
      <c r="B222" t="s">
        <v>26</v>
      </c>
      <c r="C222" t="s">
        <v>12</v>
      </c>
      <c r="E222">
        <v>0.5</v>
      </c>
      <c r="F222" t="s">
        <v>1933</v>
      </c>
      <c r="G222">
        <v>2</v>
      </c>
      <c r="H222">
        <v>0</v>
      </c>
      <c r="I222" t="s">
        <v>1928</v>
      </c>
      <c r="J222" t="s">
        <v>1926</v>
      </c>
      <c r="K222" t="s">
        <v>69</v>
      </c>
      <c r="L222" s="350">
        <v>46237</v>
      </c>
      <c r="M222">
        <v>11</v>
      </c>
      <c r="N222">
        <v>3</v>
      </c>
      <c r="O222" s="351">
        <v>46235</v>
      </c>
      <c r="P222">
        <v>1</v>
      </c>
      <c r="Q222">
        <v>0</v>
      </c>
      <c r="R222">
        <v>129.19999999999999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5</v>
      </c>
      <c r="AH222">
        <v>10</v>
      </c>
      <c r="AI222" t="s">
        <v>12</v>
      </c>
    </row>
    <row r="223" spans="1:35" ht="12.5">
      <c r="A223" t="s">
        <v>76</v>
      </c>
      <c r="B223" t="s">
        <v>26</v>
      </c>
      <c r="C223" t="s">
        <v>12</v>
      </c>
      <c r="E223">
        <v>0.5</v>
      </c>
      <c r="F223" t="s">
        <v>1933</v>
      </c>
      <c r="G223">
        <v>2</v>
      </c>
      <c r="H223">
        <v>0</v>
      </c>
      <c r="I223" t="s">
        <v>1928</v>
      </c>
      <c r="J223" t="s">
        <v>1926</v>
      </c>
      <c r="K223" t="s">
        <v>69</v>
      </c>
      <c r="L223" s="350">
        <v>46238</v>
      </c>
      <c r="M223">
        <v>12</v>
      </c>
      <c r="N223">
        <v>4</v>
      </c>
      <c r="O223" s="351">
        <v>46235</v>
      </c>
      <c r="P223">
        <v>0</v>
      </c>
      <c r="Q223">
        <v>0</v>
      </c>
      <c r="R223">
        <v>129.19999999999999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5</v>
      </c>
      <c r="AH223">
        <v>10</v>
      </c>
      <c r="AI223" t="s">
        <v>12</v>
      </c>
    </row>
    <row r="224" spans="1:35" ht="12.5">
      <c r="A224" t="s">
        <v>76</v>
      </c>
      <c r="B224" t="s">
        <v>26</v>
      </c>
      <c r="C224" t="s">
        <v>12</v>
      </c>
      <c r="E224">
        <v>0.5</v>
      </c>
      <c r="F224" t="s">
        <v>1933</v>
      </c>
      <c r="G224">
        <v>2</v>
      </c>
      <c r="H224">
        <v>0</v>
      </c>
      <c r="I224" t="s">
        <v>1928</v>
      </c>
      <c r="J224" t="s">
        <v>1926</v>
      </c>
      <c r="K224" t="s">
        <v>69</v>
      </c>
      <c r="L224" s="350">
        <v>46239</v>
      </c>
      <c r="M224">
        <v>13</v>
      </c>
      <c r="N224">
        <v>5</v>
      </c>
      <c r="O224" s="351">
        <v>46235</v>
      </c>
      <c r="P224">
        <v>0</v>
      </c>
      <c r="Q224">
        <v>0</v>
      </c>
      <c r="R224">
        <v>129.19999999999999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5</v>
      </c>
      <c r="AH224">
        <v>10</v>
      </c>
      <c r="AI224" t="s">
        <v>12</v>
      </c>
    </row>
    <row r="225" spans="1:35" ht="12.5">
      <c r="A225" t="s">
        <v>76</v>
      </c>
      <c r="B225" t="s">
        <v>26</v>
      </c>
      <c r="C225" t="s">
        <v>12</v>
      </c>
      <c r="E225">
        <v>0.5</v>
      </c>
      <c r="F225" t="s">
        <v>1933</v>
      </c>
      <c r="G225">
        <v>2</v>
      </c>
      <c r="H225">
        <v>0</v>
      </c>
      <c r="I225" t="s">
        <v>1928</v>
      </c>
      <c r="J225" t="s">
        <v>1926</v>
      </c>
      <c r="K225" t="s">
        <v>69</v>
      </c>
      <c r="L225" s="350">
        <v>46240</v>
      </c>
      <c r="M225">
        <v>14</v>
      </c>
      <c r="N225">
        <v>6</v>
      </c>
      <c r="O225" s="351">
        <v>46235</v>
      </c>
      <c r="P225">
        <v>0</v>
      </c>
      <c r="Q225">
        <v>0</v>
      </c>
      <c r="R225">
        <v>129.19999999999999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5</v>
      </c>
      <c r="AH225">
        <v>10</v>
      </c>
      <c r="AI225" t="s">
        <v>12</v>
      </c>
    </row>
    <row r="226" spans="1:35" ht="12.5">
      <c r="A226" t="s">
        <v>76</v>
      </c>
      <c r="B226" t="s">
        <v>26</v>
      </c>
      <c r="C226" t="s">
        <v>12</v>
      </c>
      <c r="E226">
        <v>0.5</v>
      </c>
      <c r="F226" t="s">
        <v>1933</v>
      </c>
      <c r="G226">
        <v>2</v>
      </c>
      <c r="H226">
        <v>0</v>
      </c>
      <c r="I226" t="s">
        <v>1928</v>
      </c>
      <c r="J226" t="s">
        <v>1926</v>
      </c>
      <c r="K226" t="s">
        <v>69</v>
      </c>
      <c r="L226" s="350">
        <v>46241</v>
      </c>
      <c r="M226">
        <v>15</v>
      </c>
      <c r="N226">
        <v>7</v>
      </c>
      <c r="O226" s="351">
        <v>46235</v>
      </c>
      <c r="P226">
        <v>0</v>
      </c>
      <c r="Q226">
        <v>0</v>
      </c>
      <c r="R226">
        <v>129.19999999999999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5</v>
      </c>
      <c r="AH226">
        <v>10</v>
      </c>
      <c r="AI226" t="s">
        <v>12</v>
      </c>
    </row>
    <row r="227" spans="1:35" ht="12.5">
      <c r="A227" t="s">
        <v>76</v>
      </c>
      <c r="B227" t="s">
        <v>26</v>
      </c>
      <c r="C227" t="s">
        <v>12</v>
      </c>
      <c r="E227">
        <v>0.5</v>
      </c>
      <c r="F227" t="s">
        <v>1933</v>
      </c>
      <c r="G227">
        <v>2</v>
      </c>
      <c r="H227">
        <v>0</v>
      </c>
      <c r="I227" t="s">
        <v>1928</v>
      </c>
      <c r="J227" t="s">
        <v>1926</v>
      </c>
      <c r="K227" t="s">
        <v>69</v>
      </c>
      <c r="L227" s="350">
        <v>46242</v>
      </c>
      <c r="M227">
        <v>16</v>
      </c>
      <c r="N227">
        <v>8</v>
      </c>
      <c r="O227" s="351">
        <v>46235</v>
      </c>
      <c r="P227">
        <v>0</v>
      </c>
      <c r="Q227">
        <v>0</v>
      </c>
      <c r="R227">
        <v>129.19999999999999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5</v>
      </c>
      <c r="AH227">
        <v>10</v>
      </c>
      <c r="AI227" t="s">
        <v>12</v>
      </c>
    </row>
    <row r="228" spans="1:35" ht="12.5">
      <c r="A228" t="s">
        <v>76</v>
      </c>
      <c r="B228" t="s">
        <v>26</v>
      </c>
      <c r="C228" t="s">
        <v>12</v>
      </c>
      <c r="E228">
        <v>0.5</v>
      </c>
      <c r="F228" t="s">
        <v>1933</v>
      </c>
      <c r="G228">
        <v>2</v>
      </c>
      <c r="H228">
        <v>0</v>
      </c>
      <c r="I228" t="s">
        <v>1928</v>
      </c>
      <c r="J228" t="s">
        <v>1926</v>
      </c>
      <c r="K228" t="s">
        <v>69</v>
      </c>
      <c r="L228" s="350">
        <v>46243</v>
      </c>
      <c r="M228">
        <v>17</v>
      </c>
      <c r="N228">
        <v>9</v>
      </c>
      <c r="O228" s="351">
        <v>46235</v>
      </c>
      <c r="P228">
        <v>0</v>
      </c>
      <c r="Q228">
        <v>0</v>
      </c>
      <c r="R228">
        <v>129.19999999999999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5</v>
      </c>
      <c r="AH228">
        <v>10</v>
      </c>
      <c r="AI228" t="s">
        <v>12</v>
      </c>
    </row>
    <row r="229" spans="1:35" ht="12.5">
      <c r="A229" t="s">
        <v>76</v>
      </c>
      <c r="B229" t="s">
        <v>26</v>
      </c>
      <c r="C229" t="s">
        <v>12</v>
      </c>
      <c r="E229">
        <v>0.5</v>
      </c>
      <c r="F229" t="s">
        <v>1933</v>
      </c>
      <c r="G229">
        <v>2</v>
      </c>
      <c r="H229">
        <v>0</v>
      </c>
      <c r="I229" t="s">
        <v>1928</v>
      </c>
      <c r="J229" t="s">
        <v>1926</v>
      </c>
      <c r="K229" t="s">
        <v>69</v>
      </c>
      <c r="L229" s="350">
        <v>46244</v>
      </c>
      <c r="M229">
        <v>18</v>
      </c>
      <c r="N229">
        <v>10</v>
      </c>
      <c r="O229" s="351">
        <v>46235</v>
      </c>
      <c r="P229">
        <v>0</v>
      </c>
      <c r="Q229">
        <v>0</v>
      </c>
      <c r="R229">
        <v>129.19999999999999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5</v>
      </c>
      <c r="AH229">
        <v>10</v>
      </c>
      <c r="AI229" t="s">
        <v>12</v>
      </c>
    </row>
    <row r="230" spans="1:35" ht="12.5">
      <c r="A230" t="s">
        <v>76</v>
      </c>
      <c r="B230" t="s">
        <v>26</v>
      </c>
      <c r="C230" t="s">
        <v>12</v>
      </c>
      <c r="E230">
        <v>0.5</v>
      </c>
      <c r="F230" t="s">
        <v>1933</v>
      </c>
      <c r="G230">
        <v>2</v>
      </c>
      <c r="H230">
        <v>0</v>
      </c>
      <c r="I230" t="s">
        <v>1928</v>
      </c>
      <c r="J230" t="s">
        <v>1926</v>
      </c>
      <c r="K230" t="s">
        <v>69</v>
      </c>
      <c r="L230" s="350">
        <v>46245</v>
      </c>
      <c r="M230">
        <v>19</v>
      </c>
      <c r="N230">
        <v>11</v>
      </c>
      <c r="O230" s="351">
        <v>46235</v>
      </c>
      <c r="P230">
        <v>0</v>
      </c>
      <c r="Q230">
        <v>0</v>
      </c>
      <c r="R230">
        <v>129.19999999999999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5</v>
      </c>
      <c r="AH230">
        <v>10</v>
      </c>
      <c r="AI230" t="s">
        <v>12</v>
      </c>
    </row>
    <row r="231" spans="1:35" ht="12.5">
      <c r="A231" t="s">
        <v>76</v>
      </c>
      <c r="B231" t="s">
        <v>26</v>
      </c>
      <c r="C231" t="s">
        <v>12</v>
      </c>
      <c r="E231">
        <v>0.5</v>
      </c>
      <c r="F231" t="s">
        <v>1933</v>
      </c>
      <c r="G231">
        <v>2</v>
      </c>
      <c r="H231">
        <v>0</v>
      </c>
      <c r="I231" t="s">
        <v>1928</v>
      </c>
      <c r="J231" t="s">
        <v>1926</v>
      </c>
      <c r="K231" t="s">
        <v>69</v>
      </c>
      <c r="L231" s="350">
        <v>46246</v>
      </c>
      <c r="M231">
        <v>20</v>
      </c>
      <c r="N231">
        <v>12</v>
      </c>
      <c r="O231" s="351">
        <v>46235</v>
      </c>
      <c r="P231">
        <v>0</v>
      </c>
      <c r="Q231">
        <v>0</v>
      </c>
      <c r="R231">
        <v>129.19999999999999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5</v>
      </c>
      <c r="AH231">
        <v>10</v>
      </c>
      <c r="AI231" t="s">
        <v>12</v>
      </c>
    </row>
    <row r="232" spans="1:35" ht="12.5">
      <c r="A232" t="s">
        <v>76</v>
      </c>
      <c r="B232" t="s">
        <v>26</v>
      </c>
      <c r="C232" t="s">
        <v>12</v>
      </c>
      <c r="E232">
        <v>0.5</v>
      </c>
      <c r="F232" t="s">
        <v>1933</v>
      </c>
      <c r="G232">
        <v>2</v>
      </c>
      <c r="H232">
        <v>0</v>
      </c>
      <c r="I232" t="s">
        <v>1928</v>
      </c>
      <c r="J232" t="s">
        <v>1926</v>
      </c>
      <c r="K232" t="s">
        <v>69</v>
      </c>
      <c r="L232" s="350">
        <v>46247</v>
      </c>
      <c r="M232">
        <v>21</v>
      </c>
      <c r="N232">
        <v>13</v>
      </c>
      <c r="O232" s="351">
        <v>46235</v>
      </c>
      <c r="P232">
        <v>0</v>
      </c>
      <c r="Q232">
        <v>0</v>
      </c>
      <c r="R232">
        <v>129.19999999999999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5</v>
      </c>
      <c r="AH232">
        <v>10</v>
      </c>
      <c r="AI232" t="s">
        <v>12</v>
      </c>
    </row>
    <row r="233" spans="1:35" ht="12.5">
      <c r="A233" t="s">
        <v>76</v>
      </c>
      <c r="B233" t="s">
        <v>26</v>
      </c>
      <c r="C233" t="s">
        <v>12</v>
      </c>
      <c r="E233">
        <v>0.5</v>
      </c>
      <c r="F233" t="s">
        <v>1933</v>
      </c>
      <c r="G233">
        <v>2</v>
      </c>
      <c r="H233">
        <v>0</v>
      </c>
      <c r="I233" t="s">
        <v>1928</v>
      </c>
      <c r="J233" t="s">
        <v>1926</v>
      </c>
      <c r="K233" t="s">
        <v>69</v>
      </c>
      <c r="L233" s="350">
        <v>46248</v>
      </c>
      <c r="M233">
        <v>22</v>
      </c>
      <c r="N233">
        <v>14</v>
      </c>
      <c r="O233" s="351">
        <v>46235</v>
      </c>
      <c r="P233">
        <v>0</v>
      </c>
      <c r="Q233">
        <v>0</v>
      </c>
      <c r="R233">
        <v>129.19999999999999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5</v>
      </c>
      <c r="AH233">
        <v>10</v>
      </c>
      <c r="AI233" t="s">
        <v>12</v>
      </c>
    </row>
    <row r="234" spans="1:35" ht="12.5">
      <c r="A234" t="s">
        <v>76</v>
      </c>
      <c r="B234" t="s">
        <v>26</v>
      </c>
      <c r="C234" t="s">
        <v>12</v>
      </c>
      <c r="E234">
        <v>0.5</v>
      </c>
      <c r="F234" t="s">
        <v>1933</v>
      </c>
      <c r="G234">
        <v>2</v>
      </c>
      <c r="H234">
        <v>0</v>
      </c>
      <c r="I234" t="s">
        <v>1928</v>
      </c>
      <c r="J234" t="s">
        <v>1926</v>
      </c>
      <c r="K234" t="s">
        <v>69</v>
      </c>
      <c r="L234" s="350">
        <v>46249</v>
      </c>
      <c r="M234">
        <v>23</v>
      </c>
      <c r="N234">
        <v>15</v>
      </c>
      <c r="O234" s="351">
        <v>46235</v>
      </c>
      <c r="P234">
        <v>0</v>
      </c>
      <c r="Q234">
        <v>0</v>
      </c>
      <c r="R234">
        <v>129.19999999999999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5</v>
      </c>
      <c r="AH234">
        <v>10</v>
      </c>
      <c r="AI234" t="s">
        <v>12</v>
      </c>
    </row>
    <row r="235" spans="1:35" ht="12.5">
      <c r="A235" t="s">
        <v>76</v>
      </c>
      <c r="B235" t="s">
        <v>26</v>
      </c>
      <c r="C235" t="s">
        <v>12</v>
      </c>
      <c r="E235">
        <v>0.5</v>
      </c>
      <c r="F235" t="s">
        <v>1933</v>
      </c>
      <c r="G235">
        <v>2</v>
      </c>
      <c r="H235">
        <v>0</v>
      </c>
      <c r="I235" t="s">
        <v>1928</v>
      </c>
      <c r="J235" t="s">
        <v>1926</v>
      </c>
      <c r="K235" t="s">
        <v>69</v>
      </c>
      <c r="L235" s="350">
        <v>46250</v>
      </c>
      <c r="M235">
        <v>24</v>
      </c>
      <c r="N235">
        <v>16</v>
      </c>
      <c r="O235" s="351">
        <v>46235</v>
      </c>
      <c r="P235">
        <v>0</v>
      </c>
      <c r="Q235">
        <v>0</v>
      </c>
      <c r="R235">
        <v>129.19999999999999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5</v>
      </c>
      <c r="AH235">
        <v>10</v>
      </c>
      <c r="AI235" t="s">
        <v>12</v>
      </c>
    </row>
    <row r="236" spans="1:35" ht="12.5">
      <c r="A236" t="s">
        <v>76</v>
      </c>
      <c r="B236" t="s">
        <v>26</v>
      </c>
      <c r="C236" t="s">
        <v>12</v>
      </c>
      <c r="E236">
        <v>0.5</v>
      </c>
      <c r="F236" t="s">
        <v>1933</v>
      </c>
      <c r="G236">
        <v>2</v>
      </c>
      <c r="H236">
        <v>0</v>
      </c>
      <c r="I236" t="s">
        <v>1928</v>
      </c>
      <c r="J236" t="s">
        <v>1926</v>
      </c>
      <c r="K236" t="s">
        <v>69</v>
      </c>
      <c r="L236" s="350">
        <v>46251</v>
      </c>
      <c r="M236">
        <v>25</v>
      </c>
      <c r="N236">
        <v>17</v>
      </c>
      <c r="O236" s="351">
        <v>46235</v>
      </c>
      <c r="P236">
        <v>0</v>
      </c>
      <c r="Q236">
        <v>0</v>
      </c>
      <c r="R236">
        <v>129.19999999999999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5</v>
      </c>
      <c r="AH236">
        <v>10</v>
      </c>
      <c r="AI236" t="s">
        <v>12</v>
      </c>
    </row>
    <row r="237" spans="1:35" ht="12.5">
      <c r="A237" t="s">
        <v>76</v>
      </c>
      <c r="B237" t="s">
        <v>26</v>
      </c>
      <c r="C237" t="s">
        <v>12</v>
      </c>
      <c r="E237">
        <v>0.5</v>
      </c>
      <c r="F237" t="s">
        <v>1933</v>
      </c>
      <c r="G237">
        <v>2</v>
      </c>
      <c r="H237">
        <v>0</v>
      </c>
      <c r="I237" t="s">
        <v>1928</v>
      </c>
      <c r="J237" t="s">
        <v>1926</v>
      </c>
      <c r="K237" t="s">
        <v>69</v>
      </c>
      <c r="L237" s="350">
        <v>46252</v>
      </c>
      <c r="M237">
        <v>26</v>
      </c>
      <c r="N237">
        <v>18</v>
      </c>
      <c r="O237" s="351">
        <v>46235</v>
      </c>
      <c r="P237">
        <v>0</v>
      </c>
      <c r="Q237">
        <v>0</v>
      </c>
      <c r="R237">
        <v>129.19999999999999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5</v>
      </c>
      <c r="AH237">
        <v>10</v>
      </c>
      <c r="AI237" t="s">
        <v>12</v>
      </c>
    </row>
    <row r="238" spans="1:35" ht="12.5">
      <c r="A238" t="s">
        <v>76</v>
      </c>
      <c r="B238" t="s">
        <v>26</v>
      </c>
      <c r="C238" t="s">
        <v>12</v>
      </c>
      <c r="E238">
        <v>0.5</v>
      </c>
      <c r="F238" t="s">
        <v>1933</v>
      </c>
      <c r="G238">
        <v>2</v>
      </c>
      <c r="H238">
        <v>0</v>
      </c>
      <c r="I238" t="s">
        <v>1928</v>
      </c>
      <c r="J238" t="s">
        <v>1926</v>
      </c>
      <c r="K238" t="s">
        <v>69</v>
      </c>
      <c r="L238" s="350">
        <v>46253</v>
      </c>
      <c r="M238">
        <v>27</v>
      </c>
      <c r="N238">
        <v>19</v>
      </c>
      <c r="O238" s="351">
        <v>46235</v>
      </c>
      <c r="P238">
        <v>0</v>
      </c>
      <c r="Q238">
        <v>0</v>
      </c>
      <c r="R238">
        <v>129.19999999999999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5</v>
      </c>
      <c r="AH238">
        <v>10</v>
      </c>
      <c r="AI238" t="s">
        <v>12</v>
      </c>
    </row>
    <row r="239" spans="1:35" ht="12.5">
      <c r="A239" t="s">
        <v>76</v>
      </c>
      <c r="B239" t="s">
        <v>26</v>
      </c>
      <c r="C239" t="s">
        <v>12</v>
      </c>
      <c r="E239">
        <v>0.5</v>
      </c>
      <c r="F239" t="s">
        <v>1933</v>
      </c>
      <c r="G239">
        <v>2</v>
      </c>
      <c r="H239">
        <v>0</v>
      </c>
      <c r="I239" t="s">
        <v>1928</v>
      </c>
      <c r="J239" t="s">
        <v>1926</v>
      </c>
      <c r="K239" t="s">
        <v>69</v>
      </c>
      <c r="L239" s="350">
        <v>46254</v>
      </c>
      <c r="M239">
        <v>28</v>
      </c>
      <c r="N239">
        <v>20</v>
      </c>
      <c r="O239" s="351">
        <v>46235</v>
      </c>
      <c r="P239">
        <v>0</v>
      </c>
      <c r="Q239">
        <v>0</v>
      </c>
      <c r="R239">
        <v>129.19999999999999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5</v>
      </c>
      <c r="AH239">
        <v>10</v>
      </c>
      <c r="AI239" t="s">
        <v>12</v>
      </c>
    </row>
    <row r="240" spans="1:35" ht="12.5">
      <c r="A240" t="s">
        <v>76</v>
      </c>
      <c r="B240" t="s">
        <v>26</v>
      </c>
      <c r="C240" t="s">
        <v>12</v>
      </c>
      <c r="E240">
        <v>0.5</v>
      </c>
      <c r="F240" t="s">
        <v>1933</v>
      </c>
      <c r="G240">
        <v>2</v>
      </c>
      <c r="H240">
        <v>0</v>
      </c>
      <c r="I240" t="s">
        <v>1928</v>
      </c>
      <c r="J240" t="s">
        <v>1926</v>
      </c>
      <c r="K240" t="s">
        <v>69</v>
      </c>
      <c r="L240" s="350">
        <v>46255</v>
      </c>
      <c r="M240">
        <v>29</v>
      </c>
      <c r="N240">
        <v>21</v>
      </c>
      <c r="O240" s="351">
        <v>46235</v>
      </c>
      <c r="P240">
        <v>0</v>
      </c>
      <c r="Q240">
        <v>0</v>
      </c>
      <c r="R240">
        <v>129.19999999999999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5</v>
      </c>
      <c r="AH240">
        <v>10</v>
      </c>
      <c r="AI240" t="s">
        <v>12</v>
      </c>
    </row>
    <row r="241" spans="1:35" ht="12.5">
      <c r="A241" t="s">
        <v>76</v>
      </c>
      <c r="B241" t="s">
        <v>26</v>
      </c>
      <c r="C241" t="s">
        <v>12</v>
      </c>
      <c r="E241">
        <v>0.5</v>
      </c>
      <c r="F241" t="s">
        <v>1933</v>
      </c>
      <c r="G241">
        <v>2</v>
      </c>
      <c r="H241">
        <v>0</v>
      </c>
      <c r="I241" t="s">
        <v>1928</v>
      </c>
      <c r="J241" t="s">
        <v>1926</v>
      </c>
      <c r="K241" t="s">
        <v>69</v>
      </c>
      <c r="L241" s="350">
        <v>46256</v>
      </c>
      <c r="M241">
        <v>30</v>
      </c>
      <c r="N241">
        <v>22</v>
      </c>
      <c r="O241" s="351">
        <v>46235</v>
      </c>
      <c r="P241">
        <v>0</v>
      </c>
      <c r="Q241">
        <v>0</v>
      </c>
      <c r="R241">
        <v>129.19999999999999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5</v>
      </c>
      <c r="AH241">
        <v>10</v>
      </c>
      <c r="AI241" t="s">
        <v>12</v>
      </c>
    </row>
    <row r="242" spans="1:35" ht="12.5">
      <c r="A242" t="s">
        <v>80</v>
      </c>
      <c r="B242" t="s">
        <v>40</v>
      </c>
      <c r="C242" t="s">
        <v>12</v>
      </c>
      <c r="E242">
        <v>5</v>
      </c>
      <c r="F242" t="s">
        <v>56</v>
      </c>
      <c r="G242">
        <v>3</v>
      </c>
      <c r="H242">
        <v>0</v>
      </c>
      <c r="I242" t="s">
        <v>1925</v>
      </c>
      <c r="J242" t="s">
        <v>1926</v>
      </c>
      <c r="K242" t="s">
        <v>1934</v>
      </c>
      <c r="L242" s="350">
        <v>46227</v>
      </c>
      <c r="M242">
        <v>1</v>
      </c>
      <c r="N242">
        <v>24</v>
      </c>
      <c r="O242" s="351">
        <v>46204</v>
      </c>
      <c r="P242">
        <v>1</v>
      </c>
      <c r="Q242">
        <v>0</v>
      </c>
      <c r="R242">
        <v>45.76</v>
      </c>
      <c r="S242">
        <v>1</v>
      </c>
      <c r="T242">
        <v>1144</v>
      </c>
      <c r="U242">
        <v>299</v>
      </c>
      <c r="V242">
        <v>845</v>
      </c>
      <c r="W242">
        <v>252</v>
      </c>
      <c r="X242">
        <v>6.6083916083916101</v>
      </c>
      <c r="Y242">
        <v>742</v>
      </c>
      <c r="Z242">
        <v>0</v>
      </c>
      <c r="AA242">
        <v>300</v>
      </c>
      <c r="AB242">
        <v>0</v>
      </c>
      <c r="AC242">
        <v>0</v>
      </c>
      <c r="AD242">
        <v>0</v>
      </c>
      <c r="AE242">
        <v>0</v>
      </c>
      <c r="AF242">
        <v>102</v>
      </c>
      <c r="AG242">
        <v>7</v>
      </c>
      <c r="AH242">
        <v>11</v>
      </c>
      <c r="AI242" t="s">
        <v>12</v>
      </c>
    </row>
    <row r="243" spans="1:35" ht="12.5">
      <c r="A243" t="s">
        <v>80</v>
      </c>
      <c r="B243" t="s">
        <v>40</v>
      </c>
      <c r="C243" t="s">
        <v>12</v>
      </c>
      <c r="E243">
        <v>5</v>
      </c>
      <c r="F243" t="s">
        <v>56</v>
      </c>
      <c r="G243">
        <v>3</v>
      </c>
      <c r="H243">
        <v>0</v>
      </c>
      <c r="I243" t="s">
        <v>1925</v>
      </c>
      <c r="J243" t="s">
        <v>1926</v>
      </c>
      <c r="K243" t="s">
        <v>1934</v>
      </c>
      <c r="L243" s="350">
        <v>46228</v>
      </c>
      <c r="M243">
        <v>2</v>
      </c>
      <c r="N243">
        <v>25</v>
      </c>
      <c r="O243" s="351">
        <v>46204</v>
      </c>
      <c r="P243">
        <v>1</v>
      </c>
      <c r="Q243">
        <v>171</v>
      </c>
      <c r="R243">
        <v>45.76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7</v>
      </c>
      <c r="AH243">
        <v>11</v>
      </c>
      <c r="AI243" t="s">
        <v>12</v>
      </c>
    </row>
    <row r="244" spans="1:35" ht="12.5">
      <c r="A244" t="s">
        <v>80</v>
      </c>
      <c r="B244" t="s">
        <v>40</v>
      </c>
      <c r="C244" t="s">
        <v>12</v>
      </c>
      <c r="E244">
        <v>5</v>
      </c>
      <c r="F244" t="s">
        <v>56</v>
      </c>
      <c r="G244">
        <v>3</v>
      </c>
      <c r="H244">
        <v>0</v>
      </c>
      <c r="I244" t="s">
        <v>1925</v>
      </c>
      <c r="J244" t="s">
        <v>1926</v>
      </c>
      <c r="K244" t="s">
        <v>1934</v>
      </c>
      <c r="L244" s="350">
        <v>46229</v>
      </c>
      <c r="M244">
        <v>3</v>
      </c>
      <c r="N244">
        <v>26</v>
      </c>
      <c r="O244" s="351">
        <v>46204</v>
      </c>
      <c r="P244">
        <v>1</v>
      </c>
      <c r="Q244">
        <v>0</v>
      </c>
      <c r="R244">
        <v>45.76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7</v>
      </c>
      <c r="AH244">
        <v>11</v>
      </c>
      <c r="AI244" t="s">
        <v>12</v>
      </c>
    </row>
    <row r="245" spans="1:35" ht="12.5">
      <c r="A245" t="s">
        <v>80</v>
      </c>
      <c r="B245" t="s">
        <v>40</v>
      </c>
      <c r="C245" t="s">
        <v>12</v>
      </c>
      <c r="E245">
        <v>5</v>
      </c>
      <c r="F245" t="s">
        <v>56</v>
      </c>
      <c r="G245">
        <v>3</v>
      </c>
      <c r="H245">
        <v>0</v>
      </c>
      <c r="I245" t="s">
        <v>1925</v>
      </c>
      <c r="J245" t="s">
        <v>1926</v>
      </c>
      <c r="K245" t="s">
        <v>1934</v>
      </c>
      <c r="L245" s="350">
        <v>46230</v>
      </c>
      <c r="M245">
        <v>4</v>
      </c>
      <c r="N245">
        <v>27</v>
      </c>
      <c r="O245" s="351">
        <v>46204</v>
      </c>
      <c r="P245">
        <v>1</v>
      </c>
      <c r="Q245">
        <v>34</v>
      </c>
      <c r="R245">
        <v>45.76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7</v>
      </c>
      <c r="AH245">
        <v>11</v>
      </c>
      <c r="AI245" t="s">
        <v>12</v>
      </c>
    </row>
    <row r="246" spans="1:35" ht="12.5">
      <c r="A246" t="s">
        <v>80</v>
      </c>
      <c r="B246" t="s">
        <v>40</v>
      </c>
      <c r="C246" t="s">
        <v>12</v>
      </c>
      <c r="E246">
        <v>5</v>
      </c>
      <c r="F246" t="s">
        <v>56</v>
      </c>
      <c r="G246">
        <v>3</v>
      </c>
      <c r="H246">
        <v>0</v>
      </c>
      <c r="I246" t="s">
        <v>1925</v>
      </c>
      <c r="J246" t="s">
        <v>1926</v>
      </c>
      <c r="K246" t="s">
        <v>1934</v>
      </c>
      <c r="L246" s="350">
        <v>46231</v>
      </c>
      <c r="M246">
        <v>5</v>
      </c>
      <c r="N246">
        <v>28</v>
      </c>
      <c r="O246" s="351">
        <v>46204</v>
      </c>
      <c r="P246">
        <v>1</v>
      </c>
      <c r="Q246">
        <v>0</v>
      </c>
      <c r="R246">
        <v>45.76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7</v>
      </c>
      <c r="AH246">
        <v>11</v>
      </c>
      <c r="AI246" t="s">
        <v>12</v>
      </c>
    </row>
    <row r="247" spans="1:35" ht="12.5">
      <c r="A247" t="s">
        <v>80</v>
      </c>
      <c r="B247" t="s">
        <v>40</v>
      </c>
      <c r="C247" t="s">
        <v>12</v>
      </c>
      <c r="E247">
        <v>5</v>
      </c>
      <c r="F247" t="s">
        <v>56</v>
      </c>
      <c r="G247">
        <v>3</v>
      </c>
      <c r="H247">
        <v>0</v>
      </c>
      <c r="I247" t="s">
        <v>1925</v>
      </c>
      <c r="J247" t="s">
        <v>1926</v>
      </c>
      <c r="K247" t="s">
        <v>1934</v>
      </c>
      <c r="L247" s="350">
        <v>46232</v>
      </c>
      <c r="M247">
        <v>6</v>
      </c>
      <c r="N247">
        <v>29</v>
      </c>
      <c r="O247" s="351">
        <v>46204</v>
      </c>
      <c r="P247">
        <v>1</v>
      </c>
      <c r="Q247">
        <v>0</v>
      </c>
      <c r="R247">
        <v>45.76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7</v>
      </c>
      <c r="AH247">
        <v>11</v>
      </c>
      <c r="AI247" t="s">
        <v>12</v>
      </c>
    </row>
    <row r="248" spans="1:35" ht="12.5">
      <c r="A248" t="s">
        <v>80</v>
      </c>
      <c r="B248" t="s">
        <v>40</v>
      </c>
      <c r="C248" t="s">
        <v>12</v>
      </c>
      <c r="E248">
        <v>5</v>
      </c>
      <c r="F248" t="s">
        <v>56</v>
      </c>
      <c r="G248">
        <v>3</v>
      </c>
      <c r="H248">
        <v>0</v>
      </c>
      <c r="I248" t="s">
        <v>1925</v>
      </c>
      <c r="J248" t="s">
        <v>1926</v>
      </c>
      <c r="K248" t="s">
        <v>1934</v>
      </c>
      <c r="L248" s="350">
        <v>46233</v>
      </c>
      <c r="M248">
        <v>7</v>
      </c>
      <c r="N248">
        <v>30</v>
      </c>
      <c r="O248" s="351">
        <v>46204</v>
      </c>
      <c r="P248">
        <v>1</v>
      </c>
      <c r="Q248">
        <v>0</v>
      </c>
      <c r="R248">
        <v>45.76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7</v>
      </c>
      <c r="AH248">
        <v>11</v>
      </c>
      <c r="AI248" t="s">
        <v>12</v>
      </c>
    </row>
    <row r="249" spans="1:35" ht="12.5">
      <c r="A249" t="s">
        <v>80</v>
      </c>
      <c r="B249" t="s">
        <v>40</v>
      </c>
      <c r="C249" t="s">
        <v>12</v>
      </c>
      <c r="E249">
        <v>5</v>
      </c>
      <c r="F249" t="s">
        <v>56</v>
      </c>
      <c r="G249">
        <v>3</v>
      </c>
      <c r="H249">
        <v>0</v>
      </c>
      <c r="I249" t="s">
        <v>1925</v>
      </c>
      <c r="J249" t="s">
        <v>1926</v>
      </c>
      <c r="K249" t="s">
        <v>1934</v>
      </c>
      <c r="L249" s="350">
        <v>46234</v>
      </c>
      <c r="M249">
        <v>8</v>
      </c>
      <c r="N249">
        <v>31</v>
      </c>
      <c r="O249" s="351">
        <v>46204</v>
      </c>
      <c r="P249">
        <v>1</v>
      </c>
      <c r="Q249">
        <v>0</v>
      </c>
      <c r="R249">
        <v>45.76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7</v>
      </c>
      <c r="AH249">
        <v>11</v>
      </c>
      <c r="AI249" t="s">
        <v>12</v>
      </c>
    </row>
    <row r="250" spans="1:35" ht="12.5">
      <c r="A250" t="s">
        <v>80</v>
      </c>
      <c r="B250" t="s">
        <v>40</v>
      </c>
      <c r="C250" t="s">
        <v>12</v>
      </c>
      <c r="E250">
        <v>5</v>
      </c>
      <c r="F250" t="s">
        <v>56</v>
      </c>
      <c r="G250">
        <v>3</v>
      </c>
      <c r="H250">
        <v>0</v>
      </c>
      <c r="I250" t="s">
        <v>1925</v>
      </c>
      <c r="J250" t="s">
        <v>1926</v>
      </c>
      <c r="K250" t="s">
        <v>1934</v>
      </c>
      <c r="L250" s="350">
        <v>46235</v>
      </c>
      <c r="M250">
        <v>9</v>
      </c>
      <c r="N250">
        <v>1</v>
      </c>
      <c r="O250" s="351">
        <v>46235</v>
      </c>
      <c r="P250">
        <v>1</v>
      </c>
      <c r="Q250">
        <v>94</v>
      </c>
      <c r="R250">
        <v>45.76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7</v>
      </c>
      <c r="AH250">
        <v>11</v>
      </c>
      <c r="AI250" t="s">
        <v>12</v>
      </c>
    </row>
    <row r="251" spans="1:35" ht="12.5">
      <c r="A251" t="s">
        <v>80</v>
      </c>
      <c r="B251" t="s">
        <v>40</v>
      </c>
      <c r="C251" t="s">
        <v>12</v>
      </c>
      <c r="E251">
        <v>5</v>
      </c>
      <c r="F251" t="s">
        <v>56</v>
      </c>
      <c r="G251">
        <v>3</v>
      </c>
      <c r="H251">
        <v>0</v>
      </c>
      <c r="I251" t="s">
        <v>1925</v>
      </c>
      <c r="J251" t="s">
        <v>1926</v>
      </c>
      <c r="K251" t="s">
        <v>1934</v>
      </c>
      <c r="L251" s="350">
        <v>46236</v>
      </c>
      <c r="M251">
        <v>10</v>
      </c>
      <c r="N251">
        <v>2</v>
      </c>
      <c r="O251" s="351">
        <v>46235</v>
      </c>
      <c r="P251">
        <v>1</v>
      </c>
      <c r="Q251">
        <v>0</v>
      </c>
      <c r="R251">
        <v>45.76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7</v>
      </c>
      <c r="AH251">
        <v>11</v>
      </c>
      <c r="AI251" t="s">
        <v>12</v>
      </c>
    </row>
    <row r="252" spans="1:35" ht="12.5">
      <c r="A252" t="s">
        <v>80</v>
      </c>
      <c r="B252" t="s">
        <v>40</v>
      </c>
      <c r="C252" t="s">
        <v>12</v>
      </c>
      <c r="E252">
        <v>5</v>
      </c>
      <c r="F252" t="s">
        <v>56</v>
      </c>
      <c r="G252">
        <v>3</v>
      </c>
      <c r="H252">
        <v>0</v>
      </c>
      <c r="I252" t="s">
        <v>1925</v>
      </c>
      <c r="J252" t="s">
        <v>1926</v>
      </c>
      <c r="K252" t="s">
        <v>1934</v>
      </c>
      <c r="L252" s="350">
        <v>46237</v>
      </c>
      <c r="M252">
        <v>11</v>
      </c>
      <c r="N252">
        <v>3</v>
      </c>
      <c r="O252" s="351">
        <v>46235</v>
      </c>
      <c r="P252">
        <v>1</v>
      </c>
      <c r="Q252">
        <v>0</v>
      </c>
      <c r="R252">
        <v>45.76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7</v>
      </c>
      <c r="AH252">
        <v>11</v>
      </c>
      <c r="AI252" t="s">
        <v>12</v>
      </c>
    </row>
    <row r="253" spans="1:35" ht="12.5">
      <c r="A253" t="s">
        <v>80</v>
      </c>
      <c r="B253" t="s">
        <v>40</v>
      </c>
      <c r="C253" t="s">
        <v>12</v>
      </c>
      <c r="E253">
        <v>5</v>
      </c>
      <c r="F253" t="s">
        <v>56</v>
      </c>
      <c r="G253">
        <v>3</v>
      </c>
      <c r="H253">
        <v>0</v>
      </c>
      <c r="I253" t="s">
        <v>1925</v>
      </c>
      <c r="J253" t="s">
        <v>1926</v>
      </c>
      <c r="K253" t="s">
        <v>1934</v>
      </c>
      <c r="L253" s="350">
        <v>46238</v>
      </c>
      <c r="M253">
        <v>12</v>
      </c>
      <c r="N253">
        <v>4</v>
      </c>
      <c r="O253" s="351">
        <v>46235</v>
      </c>
      <c r="P253">
        <v>0</v>
      </c>
      <c r="Q253">
        <v>0</v>
      </c>
      <c r="R253">
        <v>45.76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7</v>
      </c>
      <c r="AH253">
        <v>11</v>
      </c>
      <c r="AI253" t="s">
        <v>12</v>
      </c>
    </row>
    <row r="254" spans="1:35" ht="12.5">
      <c r="A254" t="s">
        <v>80</v>
      </c>
      <c r="B254" t="s">
        <v>40</v>
      </c>
      <c r="C254" t="s">
        <v>12</v>
      </c>
      <c r="E254">
        <v>5</v>
      </c>
      <c r="F254" t="s">
        <v>56</v>
      </c>
      <c r="G254">
        <v>3</v>
      </c>
      <c r="H254">
        <v>0</v>
      </c>
      <c r="I254" t="s">
        <v>1925</v>
      </c>
      <c r="J254" t="s">
        <v>1926</v>
      </c>
      <c r="K254" t="s">
        <v>1934</v>
      </c>
      <c r="L254" s="350">
        <v>46239</v>
      </c>
      <c r="M254">
        <v>13</v>
      </c>
      <c r="N254">
        <v>5</v>
      </c>
      <c r="O254" s="351">
        <v>46235</v>
      </c>
      <c r="P254">
        <v>0</v>
      </c>
      <c r="Q254">
        <v>0</v>
      </c>
      <c r="R254">
        <v>45.76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7</v>
      </c>
      <c r="AH254">
        <v>11</v>
      </c>
      <c r="AI254" t="s">
        <v>12</v>
      </c>
    </row>
    <row r="255" spans="1:35" ht="12.5">
      <c r="A255" t="s">
        <v>80</v>
      </c>
      <c r="B255" t="s">
        <v>40</v>
      </c>
      <c r="C255" t="s">
        <v>12</v>
      </c>
      <c r="E255">
        <v>5</v>
      </c>
      <c r="F255" t="s">
        <v>56</v>
      </c>
      <c r="G255">
        <v>3</v>
      </c>
      <c r="H255">
        <v>0</v>
      </c>
      <c r="I255" t="s">
        <v>1925</v>
      </c>
      <c r="J255" t="s">
        <v>1926</v>
      </c>
      <c r="K255" t="s">
        <v>1934</v>
      </c>
      <c r="L255" s="350">
        <v>46240</v>
      </c>
      <c r="M255">
        <v>14</v>
      </c>
      <c r="N255">
        <v>6</v>
      </c>
      <c r="O255" s="351">
        <v>46235</v>
      </c>
      <c r="P255">
        <v>0</v>
      </c>
      <c r="Q255">
        <v>0</v>
      </c>
      <c r="R255">
        <v>45.76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7</v>
      </c>
      <c r="AH255">
        <v>11</v>
      </c>
      <c r="AI255" t="s">
        <v>12</v>
      </c>
    </row>
    <row r="256" spans="1:35" ht="12.5">
      <c r="A256" t="s">
        <v>80</v>
      </c>
      <c r="B256" t="s">
        <v>40</v>
      </c>
      <c r="C256" t="s">
        <v>12</v>
      </c>
      <c r="E256">
        <v>5</v>
      </c>
      <c r="F256" t="s">
        <v>56</v>
      </c>
      <c r="G256">
        <v>3</v>
      </c>
      <c r="H256">
        <v>0</v>
      </c>
      <c r="I256" t="s">
        <v>1925</v>
      </c>
      <c r="J256" t="s">
        <v>1926</v>
      </c>
      <c r="K256" t="s">
        <v>1934</v>
      </c>
      <c r="L256" s="350">
        <v>46241</v>
      </c>
      <c r="M256">
        <v>15</v>
      </c>
      <c r="N256">
        <v>7</v>
      </c>
      <c r="O256" s="351">
        <v>46235</v>
      </c>
      <c r="P256">
        <v>0</v>
      </c>
      <c r="Q256">
        <v>0</v>
      </c>
      <c r="R256">
        <v>45.76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7</v>
      </c>
      <c r="AH256">
        <v>11</v>
      </c>
      <c r="AI256" t="s">
        <v>12</v>
      </c>
    </row>
    <row r="257" spans="1:35" ht="12.5">
      <c r="A257" t="s">
        <v>80</v>
      </c>
      <c r="B257" t="s">
        <v>40</v>
      </c>
      <c r="C257" t="s">
        <v>12</v>
      </c>
      <c r="E257">
        <v>5</v>
      </c>
      <c r="F257" t="s">
        <v>56</v>
      </c>
      <c r="G257">
        <v>3</v>
      </c>
      <c r="H257">
        <v>0</v>
      </c>
      <c r="I257" t="s">
        <v>1925</v>
      </c>
      <c r="J257" t="s">
        <v>1926</v>
      </c>
      <c r="K257" t="s">
        <v>1934</v>
      </c>
      <c r="L257" s="350">
        <v>46242</v>
      </c>
      <c r="M257">
        <v>16</v>
      </c>
      <c r="N257">
        <v>8</v>
      </c>
      <c r="O257" s="351">
        <v>46235</v>
      </c>
      <c r="P257">
        <v>0</v>
      </c>
      <c r="Q257">
        <v>0</v>
      </c>
      <c r="R257">
        <v>45.76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7</v>
      </c>
      <c r="AH257">
        <v>11</v>
      </c>
      <c r="AI257" t="s">
        <v>12</v>
      </c>
    </row>
    <row r="258" spans="1:35" ht="12.5">
      <c r="A258" t="s">
        <v>80</v>
      </c>
      <c r="B258" t="s">
        <v>40</v>
      </c>
      <c r="C258" t="s">
        <v>12</v>
      </c>
      <c r="E258">
        <v>5</v>
      </c>
      <c r="F258" t="s">
        <v>56</v>
      </c>
      <c r="G258">
        <v>3</v>
      </c>
      <c r="H258">
        <v>0</v>
      </c>
      <c r="I258" t="s">
        <v>1925</v>
      </c>
      <c r="J258" t="s">
        <v>1926</v>
      </c>
      <c r="K258" t="s">
        <v>1934</v>
      </c>
      <c r="L258" s="350">
        <v>46243</v>
      </c>
      <c r="M258">
        <v>17</v>
      </c>
      <c r="N258">
        <v>9</v>
      </c>
      <c r="O258" s="351">
        <v>46235</v>
      </c>
      <c r="P258">
        <v>0</v>
      </c>
      <c r="Q258">
        <v>0</v>
      </c>
      <c r="R258">
        <v>45.76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7</v>
      </c>
      <c r="AH258">
        <v>11</v>
      </c>
      <c r="AI258" t="s">
        <v>12</v>
      </c>
    </row>
    <row r="259" spans="1:35" ht="12.5">
      <c r="A259" t="s">
        <v>80</v>
      </c>
      <c r="B259" t="s">
        <v>40</v>
      </c>
      <c r="C259" t="s">
        <v>12</v>
      </c>
      <c r="E259">
        <v>5</v>
      </c>
      <c r="F259" t="s">
        <v>56</v>
      </c>
      <c r="G259">
        <v>3</v>
      </c>
      <c r="H259">
        <v>0</v>
      </c>
      <c r="I259" t="s">
        <v>1925</v>
      </c>
      <c r="J259" t="s">
        <v>1926</v>
      </c>
      <c r="K259" t="s">
        <v>1934</v>
      </c>
      <c r="L259" s="350">
        <v>46244</v>
      </c>
      <c r="M259">
        <v>18</v>
      </c>
      <c r="N259">
        <v>10</v>
      </c>
      <c r="O259" s="351">
        <v>46235</v>
      </c>
      <c r="P259">
        <v>0</v>
      </c>
      <c r="Q259">
        <v>0</v>
      </c>
      <c r="R259">
        <v>45.76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7</v>
      </c>
      <c r="AH259">
        <v>11</v>
      </c>
      <c r="AI259" t="s">
        <v>12</v>
      </c>
    </row>
    <row r="260" spans="1:35" ht="12.5">
      <c r="A260" t="s">
        <v>80</v>
      </c>
      <c r="B260" t="s">
        <v>40</v>
      </c>
      <c r="C260" t="s">
        <v>12</v>
      </c>
      <c r="E260">
        <v>5</v>
      </c>
      <c r="F260" t="s">
        <v>56</v>
      </c>
      <c r="G260">
        <v>3</v>
      </c>
      <c r="H260">
        <v>0</v>
      </c>
      <c r="I260" t="s">
        <v>1925</v>
      </c>
      <c r="J260" t="s">
        <v>1926</v>
      </c>
      <c r="K260" t="s">
        <v>1934</v>
      </c>
      <c r="L260" s="350">
        <v>46245</v>
      </c>
      <c r="M260">
        <v>19</v>
      </c>
      <c r="N260">
        <v>11</v>
      </c>
      <c r="O260" s="351">
        <v>46235</v>
      </c>
      <c r="P260">
        <v>0</v>
      </c>
      <c r="Q260">
        <v>0</v>
      </c>
      <c r="R260">
        <v>45.76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7</v>
      </c>
      <c r="AH260">
        <v>11</v>
      </c>
      <c r="AI260" t="s">
        <v>12</v>
      </c>
    </row>
    <row r="261" spans="1:35" ht="12.5">
      <c r="A261" t="s">
        <v>80</v>
      </c>
      <c r="B261" t="s">
        <v>40</v>
      </c>
      <c r="C261" t="s">
        <v>12</v>
      </c>
      <c r="E261">
        <v>5</v>
      </c>
      <c r="F261" t="s">
        <v>56</v>
      </c>
      <c r="G261">
        <v>3</v>
      </c>
      <c r="H261">
        <v>0</v>
      </c>
      <c r="I261" t="s">
        <v>1925</v>
      </c>
      <c r="J261" t="s">
        <v>1926</v>
      </c>
      <c r="K261" t="s">
        <v>1934</v>
      </c>
      <c r="L261" s="350">
        <v>46246</v>
      </c>
      <c r="M261">
        <v>20</v>
      </c>
      <c r="N261">
        <v>12</v>
      </c>
      <c r="O261" s="351">
        <v>46235</v>
      </c>
      <c r="P261">
        <v>0</v>
      </c>
      <c r="Q261">
        <v>0</v>
      </c>
      <c r="R261">
        <v>45.76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7</v>
      </c>
      <c r="AH261">
        <v>11</v>
      </c>
      <c r="AI261" t="s">
        <v>12</v>
      </c>
    </row>
    <row r="262" spans="1:35" ht="12.5">
      <c r="A262" t="s">
        <v>80</v>
      </c>
      <c r="B262" t="s">
        <v>40</v>
      </c>
      <c r="C262" t="s">
        <v>12</v>
      </c>
      <c r="E262">
        <v>5</v>
      </c>
      <c r="F262" t="s">
        <v>56</v>
      </c>
      <c r="G262">
        <v>3</v>
      </c>
      <c r="H262">
        <v>0</v>
      </c>
      <c r="I262" t="s">
        <v>1925</v>
      </c>
      <c r="J262" t="s">
        <v>1926</v>
      </c>
      <c r="K262" t="s">
        <v>1934</v>
      </c>
      <c r="L262" s="350">
        <v>46247</v>
      </c>
      <c r="M262">
        <v>21</v>
      </c>
      <c r="N262">
        <v>13</v>
      </c>
      <c r="O262" s="351">
        <v>46235</v>
      </c>
      <c r="P262">
        <v>0</v>
      </c>
      <c r="Q262">
        <v>0</v>
      </c>
      <c r="R262">
        <v>45.76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7</v>
      </c>
      <c r="AH262">
        <v>11</v>
      </c>
      <c r="AI262" t="s">
        <v>12</v>
      </c>
    </row>
    <row r="263" spans="1:35" ht="12.5">
      <c r="A263" t="s">
        <v>80</v>
      </c>
      <c r="B263" t="s">
        <v>40</v>
      </c>
      <c r="C263" t="s">
        <v>12</v>
      </c>
      <c r="E263">
        <v>5</v>
      </c>
      <c r="F263" t="s">
        <v>56</v>
      </c>
      <c r="G263">
        <v>3</v>
      </c>
      <c r="H263">
        <v>0</v>
      </c>
      <c r="I263" t="s">
        <v>1925</v>
      </c>
      <c r="J263" t="s">
        <v>1926</v>
      </c>
      <c r="K263" t="s">
        <v>1934</v>
      </c>
      <c r="L263" s="350">
        <v>46248</v>
      </c>
      <c r="M263">
        <v>22</v>
      </c>
      <c r="N263">
        <v>14</v>
      </c>
      <c r="O263" s="351">
        <v>46235</v>
      </c>
      <c r="P263">
        <v>0</v>
      </c>
      <c r="Q263">
        <v>0</v>
      </c>
      <c r="R263">
        <v>45.76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7</v>
      </c>
      <c r="AH263">
        <v>11</v>
      </c>
      <c r="AI263" t="s">
        <v>12</v>
      </c>
    </row>
    <row r="264" spans="1:35" ht="12.5">
      <c r="A264" t="s">
        <v>80</v>
      </c>
      <c r="B264" t="s">
        <v>40</v>
      </c>
      <c r="C264" t="s">
        <v>12</v>
      </c>
      <c r="E264">
        <v>5</v>
      </c>
      <c r="F264" t="s">
        <v>56</v>
      </c>
      <c r="G264">
        <v>3</v>
      </c>
      <c r="H264">
        <v>0</v>
      </c>
      <c r="I264" t="s">
        <v>1925</v>
      </c>
      <c r="J264" t="s">
        <v>1926</v>
      </c>
      <c r="K264" t="s">
        <v>1934</v>
      </c>
      <c r="L264" s="350">
        <v>46249</v>
      </c>
      <c r="M264">
        <v>23</v>
      </c>
      <c r="N264">
        <v>15</v>
      </c>
      <c r="O264" s="351">
        <v>46235</v>
      </c>
      <c r="P264">
        <v>0</v>
      </c>
      <c r="Q264">
        <v>0</v>
      </c>
      <c r="R264">
        <v>45.76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7</v>
      </c>
      <c r="AH264">
        <v>11</v>
      </c>
      <c r="AI264" t="s">
        <v>12</v>
      </c>
    </row>
    <row r="265" spans="1:35" ht="12.5">
      <c r="A265" t="s">
        <v>80</v>
      </c>
      <c r="B265" t="s">
        <v>40</v>
      </c>
      <c r="C265" t="s">
        <v>12</v>
      </c>
      <c r="E265">
        <v>5</v>
      </c>
      <c r="F265" t="s">
        <v>56</v>
      </c>
      <c r="G265">
        <v>3</v>
      </c>
      <c r="H265">
        <v>0</v>
      </c>
      <c r="I265" t="s">
        <v>1925</v>
      </c>
      <c r="J265" t="s">
        <v>1926</v>
      </c>
      <c r="K265" t="s">
        <v>1934</v>
      </c>
      <c r="L265" s="350">
        <v>46250</v>
      </c>
      <c r="M265">
        <v>24</v>
      </c>
      <c r="N265">
        <v>16</v>
      </c>
      <c r="O265" s="351">
        <v>46235</v>
      </c>
      <c r="P265">
        <v>0</v>
      </c>
      <c r="Q265">
        <v>0</v>
      </c>
      <c r="R265">
        <v>45.76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7</v>
      </c>
      <c r="AH265">
        <v>11</v>
      </c>
      <c r="AI265" t="s">
        <v>12</v>
      </c>
    </row>
    <row r="266" spans="1:35" ht="12.5">
      <c r="A266" t="s">
        <v>80</v>
      </c>
      <c r="B266" t="s">
        <v>40</v>
      </c>
      <c r="C266" t="s">
        <v>12</v>
      </c>
      <c r="E266">
        <v>5</v>
      </c>
      <c r="F266" t="s">
        <v>56</v>
      </c>
      <c r="G266">
        <v>3</v>
      </c>
      <c r="H266">
        <v>0</v>
      </c>
      <c r="I266" t="s">
        <v>1925</v>
      </c>
      <c r="J266" t="s">
        <v>1926</v>
      </c>
      <c r="K266" t="s">
        <v>1934</v>
      </c>
      <c r="L266" s="350">
        <v>46251</v>
      </c>
      <c r="M266">
        <v>25</v>
      </c>
      <c r="N266">
        <v>17</v>
      </c>
      <c r="O266" s="351">
        <v>46235</v>
      </c>
      <c r="P266">
        <v>0</v>
      </c>
      <c r="Q266">
        <v>0</v>
      </c>
      <c r="R266">
        <v>45.76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7</v>
      </c>
      <c r="AH266">
        <v>11</v>
      </c>
      <c r="AI266" t="s">
        <v>12</v>
      </c>
    </row>
    <row r="267" spans="1:35" ht="12.5">
      <c r="A267" t="s">
        <v>80</v>
      </c>
      <c r="B267" t="s">
        <v>40</v>
      </c>
      <c r="C267" t="s">
        <v>12</v>
      </c>
      <c r="E267">
        <v>5</v>
      </c>
      <c r="F267" t="s">
        <v>56</v>
      </c>
      <c r="G267">
        <v>3</v>
      </c>
      <c r="H267">
        <v>0</v>
      </c>
      <c r="I267" t="s">
        <v>1925</v>
      </c>
      <c r="J267" t="s">
        <v>1926</v>
      </c>
      <c r="K267" t="s">
        <v>1934</v>
      </c>
      <c r="L267" s="350">
        <v>46252</v>
      </c>
      <c r="M267">
        <v>26</v>
      </c>
      <c r="N267">
        <v>18</v>
      </c>
      <c r="O267" s="351">
        <v>46235</v>
      </c>
      <c r="P267">
        <v>0</v>
      </c>
      <c r="Q267">
        <v>0</v>
      </c>
      <c r="R267">
        <v>45.76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7</v>
      </c>
      <c r="AH267">
        <v>11</v>
      </c>
      <c r="AI267" t="s">
        <v>12</v>
      </c>
    </row>
    <row r="268" spans="1:35" ht="12.5">
      <c r="A268" t="s">
        <v>80</v>
      </c>
      <c r="B268" t="s">
        <v>40</v>
      </c>
      <c r="C268" t="s">
        <v>12</v>
      </c>
      <c r="E268">
        <v>5</v>
      </c>
      <c r="F268" t="s">
        <v>56</v>
      </c>
      <c r="G268">
        <v>3</v>
      </c>
      <c r="H268">
        <v>0</v>
      </c>
      <c r="I268" t="s">
        <v>1925</v>
      </c>
      <c r="J268" t="s">
        <v>1926</v>
      </c>
      <c r="K268" t="s">
        <v>1934</v>
      </c>
      <c r="L268" s="350">
        <v>46253</v>
      </c>
      <c r="M268">
        <v>27</v>
      </c>
      <c r="N268">
        <v>19</v>
      </c>
      <c r="O268" s="351">
        <v>46235</v>
      </c>
      <c r="P268">
        <v>0</v>
      </c>
      <c r="Q268">
        <v>0</v>
      </c>
      <c r="R268">
        <v>45.76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7</v>
      </c>
      <c r="AH268">
        <v>11</v>
      </c>
      <c r="AI268" t="s">
        <v>12</v>
      </c>
    </row>
    <row r="269" spans="1:35" ht="12.5">
      <c r="A269" t="s">
        <v>80</v>
      </c>
      <c r="B269" t="s">
        <v>40</v>
      </c>
      <c r="C269" t="s">
        <v>12</v>
      </c>
      <c r="E269">
        <v>5</v>
      </c>
      <c r="F269" t="s">
        <v>56</v>
      </c>
      <c r="G269">
        <v>3</v>
      </c>
      <c r="H269">
        <v>0</v>
      </c>
      <c r="I269" t="s">
        <v>1925</v>
      </c>
      <c r="J269" t="s">
        <v>1926</v>
      </c>
      <c r="K269" t="s">
        <v>1934</v>
      </c>
      <c r="L269" s="350">
        <v>46254</v>
      </c>
      <c r="M269">
        <v>28</v>
      </c>
      <c r="N269">
        <v>20</v>
      </c>
      <c r="O269" s="351">
        <v>46235</v>
      </c>
      <c r="P269">
        <v>0</v>
      </c>
      <c r="Q269">
        <v>0</v>
      </c>
      <c r="R269">
        <v>45.76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7</v>
      </c>
      <c r="AH269">
        <v>11</v>
      </c>
      <c r="AI269" t="s">
        <v>12</v>
      </c>
    </row>
    <row r="270" spans="1:35" ht="12.5">
      <c r="A270" t="s">
        <v>80</v>
      </c>
      <c r="B270" t="s">
        <v>40</v>
      </c>
      <c r="C270" t="s">
        <v>12</v>
      </c>
      <c r="E270">
        <v>5</v>
      </c>
      <c r="F270" t="s">
        <v>56</v>
      </c>
      <c r="G270">
        <v>3</v>
      </c>
      <c r="H270">
        <v>0</v>
      </c>
      <c r="I270" t="s">
        <v>1925</v>
      </c>
      <c r="J270" t="s">
        <v>1926</v>
      </c>
      <c r="K270" t="s">
        <v>1934</v>
      </c>
      <c r="L270" s="350">
        <v>46255</v>
      </c>
      <c r="M270">
        <v>29</v>
      </c>
      <c r="N270">
        <v>21</v>
      </c>
      <c r="O270" s="351">
        <v>46235</v>
      </c>
      <c r="P270">
        <v>0</v>
      </c>
      <c r="Q270">
        <v>0</v>
      </c>
      <c r="R270">
        <v>45.76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7</v>
      </c>
      <c r="AH270">
        <v>11</v>
      </c>
      <c r="AI270" t="s">
        <v>12</v>
      </c>
    </row>
    <row r="271" spans="1:35" ht="12.5">
      <c r="A271" t="s">
        <v>80</v>
      </c>
      <c r="B271" t="s">
        <v>40</v>
      </c>
      <c r="C271" t="s">
        <v>12</v>
      </c>
      <c r="E271">
        <v>5</v>
      </c>
      <c r="F271" t="s">
        <v>56</v>
      </c>
      <c r="G271">
        <v>3</v>
      </c>
      <c r="H271">
        <v>0</v>
      </c>
      <c r="I271" t="s">
        <v>1925</v>
      </c>
      <c r="J271" t="s">
        <v>1926</v>
      </c>
      <c r="K271" t="s">
        <v>1934</v>
      </c>
      <c r="L271" s="350">
        <v>46256</v>
      </c>
      <c r="M271">
        <v>30</v>
      </c>
      <c r="N271">
        <v>22</v>
      </c>
      <c r="O271" s="351">
        <v>46235</v>
      </c>
      <c r="P271">
        <v>0</v>
      </c>
      <c r="Q271">
        <v>0</v>
      </c>
      <c r="R271">
        <v>45.76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7</v>
      </c>
      <c r="AH271">
        <v>11</v>
      </c>
      <c r="AI271" t="s">
        <v>12</v>
      </c>
    </row>
    <row r="272" spans="1:35" ht="12.5">
      <c r="A272" t="s">
        <v>75</v>
      </c>
      <c r="B272" t="s">
        <v>25</v>
      </c>
      <c r="C272" t="s">
        <v>12</v>
      </c>
      <c r="E272">
        <v>0.1</v>
      </c>
      <c r="F272" t="s">
        <v>54</v>
      </c>
      <c r="G272">
        <v>1</v>
      </c>
      <c r="H272">
        <v>1</v>
      </c>
      <c r="I272" t="s">
        <v>1931</v>
      </c>
      <c r="J272" t="s">
        <v>1926</v>
      </c>
      <c r="K272">
        <v>0</v>
      </c>
      <c r="L272" s="350">
        <v>46227</v>
      </c>
      <c r="M272">
        <v>1</v>
      </c>
      <c r="N272">
        <v>24</v>
      </c>
      <c r="O272" s="351">
        <v>46204</v>
      </c>
      <c r="P272">
        <v>1</v>
      </c>
      <c r="Q272">
        <v>0</v>
      </c>
      <c r="R272">
        <v>46.36</v>
      </c>
      <c r="S272">
        <v>1</v>
      </c>
      <c r="T272">
        <v>1159</v>
      </c>
      <c r="U272">
        <v>579</v>
      </c>
      <c r="V272">
        <v>580</v>
      </c>
      <c r="W272">
        <v>61</v>
      </c>
      <c r="X272">
        <v>1.57894736842105</v>
      </c>
      <c r="Y272">
        <v>659</v>
      </c>
      <c r="Z272">
        <v>0</v>
      </c>
      <c r="AA272">
        <v>0</v>
      </c>
      <c r="AB272">
        <v>0</v>
      </c>
      <c r="AC272">
        <v>500</v>
      </c>
      <c r="AD272">
        <v>0</v>
      </c>
      <c r="AE272">
        <v>0</v>
      </c>
      <c r="AF272">
        <v>0</v>
      </c>
      <c r="AG272">
        <v>10</v>
      </c>
      <c r="AH272">
        <v>12</v>
      </c>
      <c r="AI272" t="s">
        <v>12</v>
      </c>
    </row>
    <row r="273" spans="1:35" ht="12.5">
      <c r="A273" t="s">
        <v>75</v>
      </c>
      <c r="B273" t="s">
        <v>25</v>
      </c>
      <c r="C273" t="s">
        <v>12</v>
      </c>
      <c r="E273">
        <v>0.1</v>
      </c>
      <c r="F273" t="s">
        <v>54</v>
      </c>
      <c r="G273">
        <v>1</v>
      </c>
      <c r="H273">
        <v>1</v>
      </c>
      <c r="I273" t="s">
        <v>1931</v>
      </c>
      <c r="J273" t="s">
        <v>1926</v>
      </c>
      <c r="K273">
        <v>0</v>
      </c>
      <c r="L273" s="350">
        <v>46228</v>
      </c>
      <c r="M273">
        <v>2</v>
      </c>
      <c r="N273">
        <v>25</v>
      </c>
      <c r="O273" s="351">
        <v>46204</v>
      </c>
      <c r="P273">
        <v>1</v>
      </c>
      <c r="Q273">
        <v>0</v>
      </c>
      <c r="R273">
        <v>46.36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10</v>
      </c>
      <c r="AH273">
        <v>12</v>
      </c>
      <c r="AI273" t="s">
        <v>12</v>
      </c>
    </row>
    <row r="274" spans="1:35" ht="12.5">
      <c r="A274" t="s">
        <v>75</v>
      </c>
      <c r="B274" t="s">
        <v>25</v>
      </c>
      <c r="C274" t="s">
        <v>12</v>
      </c>
      <c r="E274">
        <v>0.1</v>
      </c>
      <c r="F274" t="s">
        <v>54</v>
      </c>
      <c r="G274">
        <v>1</v>
      </c>
      <c r="H274">
        <v>1</v>
      </c>
      <c r="I274" t="s">
        <v>1931</v>
      </c>
      <c r="J274" t="s">
        <v>1926</v>
      </c>
      <c r="K274">
        <v>0</v>
      </c>
      <c r="L274" s="350">
        <v>46229</v>
      </c>
      <c r="M274">
        <v>3</v>
      </c>
      <c r="N274">
        <v>26</v>
      </c>
      <c r="O274" s="351">
        <v>46204</v>
      </c>
      <c r="P274">
        <v>1</v>
      </c>
      <c r="Q274">
        <v>0</v>
      </c>
      <c r="R274">
        <v>46.36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10</v>
      </c>
      <c r="AH274">
        <v>12</v>
      </c>
      <c r="AI274" t="s">
        <v>12</v>
      </c>
    </row>
    <row r="275" spans="1:35" ht="12.5">
      <c r="A275" t="s">
        <v>75</v>
      </c>
      <c r="B275" t="s">
        <v>25</v>
      </c>
      <c r="C275" t="s">
        <v>12</v>
      </c>
      <c r="E275">
        <v>0.1</v>
      </c>
      <c r="F275" t="s">
        <v>54</v>
      </c>
      <c r="G275">
        <v>1</v>
      </c>
      <c r="H275">
        <v>1</v>
      </c>
      <c r="I275" t="s">
        <v>1931</v>
      </c>
      <c r="J275" t="s">
        <v>1926</v>
      </c>
      <c r="K275">
        <v>0</v>
      </c>
      <c r="L275" s="350">
        <v>46230</v>
      </c>
      <c r="M275">
        <v>4</v>
      </c>
      <c r="N275">
        <v>27</v>
      </c>
      <c r="O275" s="351">
        <v>46204</v>
      </c>
      <c r="P275">
        <v>1</v>
      </c>
      <c r="Q275">
        <v>0</v>
      </c>
      <c r="R275">
        <v>46.36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10</v>
      </c>
      <c r="AH275">
        <v>12</v>
      </c>
      <c r="AI275" t="s">
        <v>12</v>
      </c>
    </row>
    <row r="276" spans="1:35" ht="12.5">
      <c r="A276" t="s">
        <v>75</v>
      </c>
      <c r="B276" t="s">
        <v>25</v>
      </c>
      <c r="C276" t="s">
        <v>12</v>
      </c>
      <c r="E276">
        <v>0.1</v>
      </c>
      <c r="F276" t="s">
        <v>54</v>
      </c>
      <c r="G276">
        <v>1</v>
      </c>
      <c r="H276">
        <v>1</v>
      </c>
      <c r="I276" t="s">
        <v>1931</v>
      </c>
      <c r="J276" t="s">
        <v>1926</v>
      </c>
      <c r="K276">
        <v>0</v>
      </c>
      <c r="L276" s="350">
        <v>46231</v>
      </c>
      <c r="M276">
        <v>5</v>
      </c>
      <c r="N276">
        <v>28</v>
      </c>
      <c r="O276" s="351">
        <v>46204</v>
      </c>
      <c r="P276">
        <v>1</v>
      </c>
      <c r="Q276">
        <v>0</v>
      </c>
      <c r="R276">
        <v>46.36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10</v>
      </c>
      <c r="AH276">
        <v>12</v>
      </c>
      <c r="AI276" t="s">
        <v>12</v>
      </c>
    </row>
    <row r="277" spans="1:35" ht="12.5">
      <c r="A277" t="s">
        <v>75</v>
      </c>
      <c r="B277" t="s">
        <v>25</v>
      </c>
      <c r="C277" t="s">
        <v>12</v>
      </c>
      <c r="E277">
        <v>0.1</v>
      </c>
      <c r="F277" t="s">
        <v>54</v>
      </c>
      <c r="G277">
        <v>1</v>
      </c>
      <c r="H277">
        <v>1</v>
      </c>
      <c r="I277" t="s">
        <v>1931</v>
      </c>
      <c r="J277" t="s">
        <v>1926</v>
      </c>
      <c r="K277">
        <v>0</v>
      </c>
      <c r="L277" s="350">
        <v>46232</v>
      </c>
      <c r="M277">
        <v>6</v>
      </c>
      <c r="N277">
        <v>29</v>
      </c>
      <c r="O277" s="351">
        <v>46204</v>
      </c>
      <c r="P277">
        <v>1</v>
      </c>
      <c r="Q277">
        <v>85</v>
      </c>
      <c r="R277">
        <v>46.36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10</v>
      </c>
      <c r="AH277">
        <v>12</v>
      </c>
      <c r="AI277" t="s">
        <v>12</v>
      </c>
    </row>
    <row r="278" spans="1:35" ht="12.5">
      <c r="A278" t="s">
        <v>75</v>
      </c>
      <c r="B278" t="s">
        <v>25</v>
      </c>
      <c r="C278" t="s">
        <v>12</v>
      </c>
      <c r="E278">
        <v>0.1</v>
      </c>
      <c r="F278" t="s">
        <v>54</v>
      </c>
      <c r="G278">
        <v>1</v>
      </c>
      <c r="H278">
        <v>1</v>
      </c>
      <c r="I278" t="s">
        <v>1931</v>
      </c>
      <c r="J278" t="s">
        <v>1926</v>
      </c>
      <c r="K278">
        <v>0</v>
      </c>
      <c r="L278" s="350">
        <v>46233</v>
      </c>
      <c r="M278">
        <v>7</v>
      </c>
      <c r="N278">
        <v>30</v>
      </c>
      <c r="O278" s="351">
        <v>46204</v>
      </c>
      <c r="P278">
        <v>1</v>
      </c>
      <c r="Q278">
        <v>144</v>
      </c>
      <c r="R278">
        <v>46.36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10</v>
      </c>
      <c r="AH278">
        <v>12</v>
      </c>
      <c r="AI278" t="s">
        <v>12</v>
      </c>
    </row>
    <row r="279" spans="1:35" ht="12.5">
      <c r="A279" t="s">
        <v>75</v>
      </c>
      <c r="B279" t="s">
        <v>25</v>
      </c>
      <c r="C279" t="s">
        <v>12</v>
      </c>
      <c r="E279">
        <v>0.1</v>
      </c>
      <c r="F279" t="s">
        <v>54</v>
      </c>
      <c r="G279">
        <v>1</v>
      </c>
      <c r="H279">
        <v>1</v>
      </c>
      <c r="I279" t="s">
        <v>1931</v>
      </c>
      <c r="J279" t="s">
        <v>1926</v>
      </c>
      <c r="K279">
        <v>0</v>
      </c>
      <c r="L279" s="350">
        <v>46234</v>
      </c>
      <c r="M279">
        <v>8</v>
      </c>
      <c r="N279">
        <v>31</v>
      </c>
      <c r="O279" s="351">
        <v>46204</v>
      </c>
      <c r="P279">
        <v>1</v>
      </c>
      <c r="Q279">
        <v>0</v>
      </c>
      <c r="R279">
        <v>46.36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10</v>
      </c>
      <c r="AH279">
        <v>12</v>
      </c>
      <c r="AI279" t="s">
        <v>12</v>
      </c>
    </row>
    <row r="280" spans="1:35" ht="12.5">
      <c r="A280" t="s">
        <v>75</v>
      </c>
      <c r="B280" t="s">
        <v>25</v>
      </c>
      <c r="C280" t="s">
        <v>12</v>
      </c>
      <c r="E280">
        <v>0.1</v>
      </c>
      <c r="F280" t="s">
        <v>54</v>
      </c>
      <c r="G280">
        <v>1</v>
      </c>
      <c r="H280">
        <v>1</v>
      </c>
      <c r="I280" t="s">
        <v>1931</v>
      </c>
      <c r="J280" t="s">
        <v>1926</v>
      </c>
      <c r="K280">
        <v>0</v>
      </c>
      <c r="L280" s="350">
        <v>46235</v>
      </c>
      <c r="M280">
        <v>9</v>
      </c>
      <c r="N280">
        <v>1</v>
      </c>
      <c r="O280" s="351">
        <v>46235</v>
      </c>
      <c r="P280">
        <v>1</v>
      </c>
      <c r="Q280">
        <v>0</v>
      </c>
      <c r="R280">
        <v>46.36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10</v>
      </c>
      <c r="AH280">
        <v>12</v>
      </c>
      <c r="AI280" t="s">
        <v>12</v>
      </c>
    </row>
    <row r="281" spans="1:35" ht="12.5">
      <c r="A281" t="s">
        <v>75</v>
      </c>
      <c r="B281" t="s">
        <v>25</v>
      </c>
      <c r="C281" t="s">
        <v>12</v>
      </c>
      <c r="E281">
        <v>0.1</v>
      </c>
      <c r="F281" t="s">
        <v>54</v>
      </c>
      <c r="G281">
        <v>1</v>
      </c>
      <c r="H281">
        <v>1</v>
      </c>
      <c r="I281" t="s">
        <v>1931</v>
      </c>
      <c r="J281" t="s">
        <v>1926</v>
      </c>
      <c r="K281">
        <v>0</v>
      </c>
      <c r="L281" s="350">
        <v>46236</v>
      </c>
      <c r="M281">
        <v>10</v>
      </c>
      <c r="N281">
        <v>2</v>
      </c>
      <c r="O281" s="351">
        <v>46235</v>
      </c>
      <c r="P281">
        <v>1</v>
      </c>
      <c r="Q281">
        <v>0</v>
      </c>
      <c r="R281">
        <v>46.36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10</v>
      </c>
      <c r="AH281">
        <v>12</v>
      </c>
      <c r="AI281" t="s">
        <v>12</v>
      </c>
    </row>
    <row r="282" spans="1:35" ht="12.5">
      <c r="A282" t="s">
        <v>75</v>
      </c>
      <c r="B282" t="s">
        <v>25</v>
      </c>
      <c r="C282" t="s">
        <v>12</v>
      </c>
      <c r="E282">
        <v>0.1</v>
      </c>
      <c r="F282" t="s">
        <v>54</v>
      </c>
      <c r="G282">
        <v>1</v>
      </c>
      <c r="H282">
        <v>1</v>
      </c>
      <c r="I282" t="s">
        <v>1931</v>
      </c>
      <c r="J282" t="s">
        <v>1926</v>
      </c>
      <c r="K282">
        <v>0</v>
      </c>
      <c r="L282" s="350">
        <v>46237</v>
      </c>
      <c r="M282">
        <v>11</v>
      </c>
      <c r="N282">
        <v>3</v>
      </c>
      <c r="O282" s="351">
        <v>46235</v>
      </c>
      <c r="P282">
        <v>1</v>
      </c>
      <c r="Q282">
        <v>0</v>
      </c>
      <c r="R282">
        <v>46.36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10</v>
      </c>
      <c r="AH282">
        <v>12</v>
      </c>
      <c r="AI282" t="s">
        <v>12</v>
      </c>
    </row>
    <row r="283" spans="1:35" ht="12.5">
      <c r="A283" t="s">
        <v>75</v>
      </c>
      <c r="B283" t="s">
        <v>25</v>
      </c>
      <c r="C283" t="s">
        <v>12</v>
      </c>
      <c r="E283">
        <v>0.1</v>
      </c>
      <c r="F283" t="s">
        <v>54</v>
      </c>
      <c r="G283">
        <v>1</v>
      </c>
      <c r="H283">
        <v>1</v>
      </c>
      <c r="I283" t="s">
        <v>1931</v>
      </c>
      <c r="J283" t="s">
        <v>1926</v>
      </c>
      <c r="K283">
        <v>0</v>
      </c>
      <c r="L283" s="350">
        <v>46238</v>
      </c>
      <c r="M283">
        <v>12</v>
      </c>
      <c r="N283">
        <v>4</v>
      </c>
      <c r="O283" s="351">
        <v>46235</v>
      </c>
      <c r="P283">
        <v>0</v>
      </c>
      <c r="Q283">
        <v>0</v>
      </c>
      <c r="R283">
        <v>46.36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10</v>
      </c>
      <c r="AH283">
        <v>12</v>
      </c>
      <c r="AI283" t="s">
        <v>12</v>
      </c>
    </row>
    <row r="284" spans="1:35" ht="12.5">
      <c r="A284" t="s">
        <v>75</v>
      </c>
      <c r="B284" t="s">
        <v>25</v>
      </c>
      <c r="C284" t="s">
        <v>12</v>
      </c>
      <c r="E284">
        <v>0.1</v>
      </c>
      <c r="F284" t="s">
        <v>54</v>
      </c>
      <c r="G284">
        <v>1</v>
      </c>
      <c r="H284">
        <v>1</v>
      </c>
      <c r="I284" t="s">
        <v>1931</v>
      </c>
      <c r="J284" t="s">
        <v>1926</v>
      </c>
      <c r="K284">
        <v>0</v>
      </c>
      <c r="L284" s="350">
        <v>46239</v>
      </c>
      <c r="M284">
        <v>13</v>
      </c>
      <c r="N284">
        <v>5</v>
      </c>
      <c r="O284" s="351">
        <v>46235</v>
      </c>
      <c r="P284">
        <v>0</v>
      </c>
      <c r="Q284">
        <v>0</v>
      </c>
      <c r="R284">
        <v>46.36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10</v>
      </c>
      <c r="AH284">
        <v>12</v>
      </c>
      <c r="AI284" t="s">
        <v>12</v>
      </c>
    </row>
    <row r="285" spans="1:35" ht="12.5">
      <c r="A285" t="s">
        <v>75</v>
      </c>
      <c r="B285" t="s">
        <v>25</v>
      </c>
      <c r="C285" t="s">
        <v>12</v>
      </c>
      <c r="E285">
        <v>0.1</v>
      </c>
      <c r="F285" t="s">
        <v>54</v>
      </c>
      <c r="G285">
        <v>1</v>
      </c>
      <c r="H285">
        <v>1</v>
      </c>
      <c r="I285" t="s">
        <v>1931</v>
      </c>
      <c r="J285" t="s">
        <v>1926</v>
      </c>
      <c r="K285">
        <v>0</v>
      </c>
      <c r="L285" s="350">
        <v>46240</v>
      </c>
      <c r="M285">
        <v>14</v>
      </c>
      <c r="N285">
        <v>6</v>
      </c>
      <c r="O285" s="351">
        <v>46235</v>
      </c>
      <c r="P285">
        <v>0</v>
      </c>
      <c r="Q285">
        <v>239</v>
      </c>
      <c r="R285">
        <v>46.36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10</v>
      </c>
      <c r="AH285">
        <v>12</v>
      </c>
      <c r="AI285" t="s">
        <v>12</v>
      </c>
    </row>
    <row r="286" spans="1:35" ht="12.5">
      <c r="A286" t="s">
        <v>75</v>
      </c>
      <c r="B286" t="s">
        <v>25</v>
      </c>
      <c r="C286" t="s">
        <v>12</v>
      </c>
      <c r="E286">
        <v>0.1</v>
      </c>
      <c r="F286" t="s">
        <v>54</v>
      </c>
      <c r="G286">
        <v>1</v>
      </c>
      <c r="H286">
        <v>1</v>
      </c>
      <c r="I286" t="s">
        <v>1931</v>
      </c>
      <c r="J286" t="s">
        <v>1926</v>
      </c>
      <c r="K286">
        <v>0</v>
      </c>
      <c r="L286" s="350">
        <v>46241</v>
      </c>
      <c r="M286">
        <v>15</v>
      </c>
      <c r="N286">
        <v>7</v>
      </c>
      <c r="O286" s="351">
        <v>46235</v>
      </c>
      <c r="P286">
        <v>0</v>
      </c>
      <c r="Q286">
        <v>0</v>
      </c>
      <c r="R286">
        <v>46.36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10</v>
      </c>
      <c r="AH286">
        <v>12</v>
      </c>
      <c r="AI286" t="s">
        <v>12</v>
      </c>
    </row>
    <row r="287" spans="1:35" ht="12.5">
      <c r="A287" t="s">
        <v>75</v>
      </c>
      <c r="B287" t="s">
        <v>25</v>
      </c>
      <c r="C287" t="s">
        <v>12</v>
      </c>
      <c r="E287">
        <v>0.1</v>
      </c>
      <c r="F287" t="s">
        <v>54</v>
      </c>
      <c r="G287">
        <v>1</v>
      </c>
      <c r="H287">
        <v>1</v>
      </c>
      <c r="I287" t="s">
        <v>1931</v>
      </c>
      <c r="J287" t="s">
        <v>1926</v>
      </c>
      <c r="K287">
        <v>0</v>
      </c>
      <c r="L287" s="350">
        <v>46242</v>
      </c>
      <c r="M287">
        <v>16</v>
      </c>
      <c r="N287">
        <v>8</v>
      </c>
      <c r="O287" s="351">
        <v>46235</v>
      </c>
      <c r="P287">
        <v>0</v>
      </c>
      <c r="Q287">
        <v>0</v>
      </c>
      <c r="R287">
        <v>46.36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10</v>
      </c>
      <c r="AH287">
        <v>12</v>
      </c>
      <c r="AI287" t="s">
        <v>12</v>
      </c>
    </row>
    <row r="288" spans="1:35" ht="12.5">
      <c r="A288" t="s">
        <v>75</v>
      </c>
      <c r="B288" t="s">
        <v>25</v>
      </c>
      <c r="C288" t="s">
        <v>12</v>
      </c>
      <c r="E288">
        <v>0.1</v>
      </c>
      <c r="F288" t="s">
        <v>54</v>
      </c>
      <c r="G288">
        <v>1</v>
      </c>
      <c r="H288">
        <v>1</v>
      </c>
      <c r="I288" t="s">
        <v>1931</v>
      </c>
      <c r="J288" t="s">
        <v>1926</v>
      </c>
      <c r="K288">
        <v>0</v>
      </c>
      <c r="L288" s="350">
        <v>46243</v>
      </c>
      <c r="M288">
        <v>17</v>
      </c>
      <c r="N288">
        <v>9</v>
      </c>
      <c r="O288" s="351">
        <v>46235</v>
      </c>
      <c r="P288">
        <v>0</v>
      </c>
      <c r="Q288">
        <v>0</v>
      </c>
      <c r="R288">
        <v>46.36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10</v>
      </c>
      <c r="AH288">
        <v>12</v>
      </c>
      <c r="AI288" t="s">
        <v>12</v>
      </c>
    </row>
    <row r="289" spans="1:35" ht="12.5">
      <c r="A289" t="s">
        <v>75</v>
      </c>
      <c r="B289" t="s">
        <v>25</v>
      </c>
      <c r="C289" t="s">
        <v>12</v>
      </c>
      <c r="E289">
        <v>0.1</v>
      </c>
      <c r="F289" t="s">
        <v>54</v>
      </c>
      <c r="G289">
        <v>1</v>
      </c>
      <c r="H289">
        <v>1</v>
      </c>
      <c r="I289" t="s">
        <v>1931</v>
      </c>
      <c r="J289" t="s">
        <v>1926</v>
      </c>
      <c r="K289">
        <v>0</v>
      </c>
      <c r="L289" s="350">
        <v>46244</v>
      </c>
      <c r="M289">
        <v>18</v>
      </c>
      <c r="N289">
        <v>10</v>
      </c>
      <c r="O289" s="351">
        <v>46235</v>
      </c>
      <c r="P289">
        <v>0</v>
      </c>
      <c r="Q289">
        <v>0</v>
      </c>
      <c r="R289">
        <v>46.36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10</v>
      </c>
      <c r="AH289">
        <v>12</v>
      </c>
      <c r="AI289" t="s">
        <v>12</v>
      </c>
    </row>
    <row r="290" spans="1:35" ht="12.5">
      <c r="A290" t="s">
        <v>75</v>
      </c>
      <c r="B290" t="s">
        <v>25</v>
      </c>
      <c r="C290" t="s">
        <v>12</v>
      </c>
      <c r="E290">
        <v>0.1</v>
      </c>
      <c r="F290" t="s">
        <v>54</v>
      </c>
      <c r="G290">
        <v>1</v>
      </c>
      <c r="H290">
        <v>1</v>
      </c>
      <c r="I290" t="s">
        <v>1931</v>
      </c>
      <c r="J290" t="s">
        <v>1926</v>
      </c>
      <c r="K290">
        <v>0</v>
      </c>
      <c r="L290" s="350">
        <v>46245</v>
      </c>
      <c r="M290">
        <v>19</v>
      </c>
      <c r="N290">
        <v>11</v>
      </c>
      <c r="O290" s="351">
        <v>46235</v>
      </c>
      <c r="P290">
        <v>0</v>
      </c>
      <c r="Q290">
        <v>0</v>
      </c>
      <c r="R290">
        <v>46.36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10</v>
      </c>
      <c r="AH290">
        <v>12</v>
      </c>
      <c r="AI290" t="s">
        <v>12</v>
      </c>
    </row>
    <row r="291" spans="1:35" ht="12.5">
      <c r="A291" t="s">
        <v>75</v>
      </c>
      <c r="B291" t="s">
        <v>25</v>
      </c>
      <c r="C291" t="s">
        <v>12</v>
      </c>
      <c r="E291">
        <v>0.1</v>
      </c>
      <c r="F291" t="s">
        <v>54</v>
      </c>
      <c r="G291">
        <v>1</v>
      </c>
      <c r="H291">
        <v>1</v>
      </c>
      <c r="I291" t="s">
        <v>1931</v>
      </c>
      <c r="J291" t="s">
        <v>1926</v>
      </c>
      <c r="K291">
        <v>0</v>
      </c>
      <c r="L291" s="350">
        <v>46246</v>
      </c>
      <c r="M291">
        <v>20</v>
      </c>
      <c r="N291">
        <v>12</v>
      </c>
      <c r="O291" s="351">
        <v>46235</v>
      </c>
      <c r="P291">
        <v>0</v>
      </c>
      <c r="Q291">
        <v>0</v>
      </c>
      <c r="R291">
        <v>46.36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10</v>
      </c>
      <c r="AH291">
        <v>12</v>
      </c>
      <c r="AI291" t="s">
        <v>12</v>
      </c>
    </row>
    <row r="292" spans="1:35" ht="12.5">
      <c r="A292" t="s">
        <v>75</v>
      </c>
      <c r="B292" t="s">
        <v>25</v>
      </c>
      <c r="C292" t="s">
        <v>12</v>
      </c>
      <c r="E292">
        <v>0.1</v>
      </c>
      <c r="F292" t="s">
        <v>54</v>
      </c>
      <c r="G292">
        <v>1</v>
      </c>
      <c r="H292">
        <v>1</v>
      </c>
      <c r="I292" t="s">
        <v>1931</v>
      </c>
      <c r="J292" t="s">
        <v>1926</v>
      </c>
      <c r="K292">
        <v>0</v>
      </c>
      <c r="L292" s="350">
        <v>46247</v>
      </c>
      <c r="M292">
        <v>21</v>
      </c>
      <c r="N292">
        <v>13</v>
      </c>
      <c r="O292" s="351">
        <v>46235</v>
      </c>
      <c r="P292">
        <v>0</v>
      </c>
      <c r="Q292">
        <v>0</v>
      </c>
      <c r="R292">
        <v>46.36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10</v>
      </c>
      <c r="AH292">
        <v>12</v>
      </c>
      <c r="AI292" t="s">
        <v>12</v>
      </c>
    </row>
    <row r="293" spans="1:35" ht="12.5">
      <c r="A293" t="s">
        <v>75</v>
      </c>
      <c r="B293" t="s">
        <v>25</v>
      </c>
      <c r="C293" t="s">
        <v>12</v>
      </c>
      <c r="E293">
        <v>0.1</v>
      </c>
      <c r="F293" t="s">
        <v>54</v>
      </c>
      <c r="G293">
        <v>1</v>
      </c>
      <c r="H293">
        <v>1</v>
      </c>
      <c r="I293" t="s">
        <v>1931</v>
      </c>
      <c r="J293" t="s">
        <v>1926</v>
      </c>
      <c r="K293">
        <v>0</v>
      </c>
      <c r="L293" s="350">
        <v>46248</v>
      </c>
      <c r="M293">
        <v>22</v>
      </c>
      <c r="N293">
        <v>14</v>
      </c>
      <c r="O293" s="351">
        <v>46235</v>
      </c>
      <c r="P293">
        <v>0</v>
      </c>
      <c r="Q293">
        <v>0</v>
      </c>
      <c r="R293">
        <v>46.36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10</v>
      </c>
      <c r="AH293">
        <v>12</v>
      </c>
      <c r="AI293" t="s">
        <v>12</v>
      </c>
    </row>
    <row r="294" spans="1:35" ht="12.5">
      <c r="A294" t="s">
        <v>75</v>
      </c>
      <c r="B294" t="s">
        <v>25</v>
      </c>
      <c r="C294" t="s">
        <v>12</v>
      </c>
      <c r="E294">
        <v>0.1</v>
      </c>
      <c r="F294" t="s">
        <v>54</v>
      </c>
      <c r="G294">
        <v>1</v>
      </c>
      <c r="H294">
        <v>1</v>
      </c>
      <c r="I294" t="s">
        <v>1931</v>
      </c>
      <c r="J294" t="s">
        <v>1926</v>
      </c>
      <c r="K294">
        <v>0</v>
      </c>
      <c r="L294" s="350">
        <v>46249</v>
      </c>
      <c r="M294">
        <v>23</v>
      </c>
      <c r="N294">
        <v>15</v>
      </c>
      <c r="O294" s="351">
        <v>46235</v>
      </c>
      <c r="P294">
        <v>0</v>
      </c>
      <c r="Q294">
        <v>0</v>
      </c>
      <c r="R294">
        <v>46.36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10</v>
      </c>
      <c r="AH294">
        <v>12</v>
      </c>
      <c r="AI294" t="s">
        <v>12</v>
      </c>
    </row>
    <row r="295" spans="1:35" ht="12.5">
      <c r="A295" t="s">
        <v>75</v>
      </c>
      <c r="B295" t="s">
        <v>25</v>
      </c>
      <c r="C295" t="s">
        <v>12</v>
      </c>
      <c r="E295">
        <v>0.1</v>
      </c>
      <c r="F295" t="s">
        <v>54</v>
      </c>
      <c r="G295">
        <v>1</v>
      </c>
      <c r="H295">
        <v>1</v>
      </c>
      <c r="I295" t="s">
        <v>1931</v>
      </c>
      <c r="J295" t="s">
        <v>1926</v>
      </c>
      <c r="K295">
        <v>0</v>
      </c>
      <c r="L295" s="350">
        <v>46250</v>
      </c>
      <c r="M295">
        <v>24</v>
      </c>
      <c r="N295">
        <v>16</v>
      </c>
      <c r="O295" s="351">
        <v>46235</v>
      </c>
      <c r="P295">
        <v>0</v>
      </c>
      <c r="Q295">
        <v>0</v>
      </c>
      <c r="R295">
        <v>46.36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10</v>
      </c>
      <c r="AH295">
        <v>12</v>
      </c>
      <c r="AI295" t="s">
        <v>12</v>
      </c>
    </row>
    <row r="296" spans="1:35" ht="12.5">
      <c r="A296" t="s">
        <v>75</v>
      </c>
      <c r="B296" t="s">
        <v>25</v>
      </c>
      <c r="C296" t="s">
        <v>12</v>
      </c>
      <c r="E296">
        <v>0.1</v>
      </c>
      <c r="F296" t="s">
        <v>54</v>
      </c>
      <c r="G296">
        <v>1</v>
      </c>
      <c r="H296">
        <v>1</v>
      </c>
      <c r="I296" t="s">
        <v>1931</v>
      </c>
      <c r="J296" t="s">
        <v>1926</v>
      </c>
      <c r="K296">
        <v>0</v>
      </c>
      <c r="L296" s="350">
        <v>46251</v>
      </c>
      <c r="M296">
        <v>25</v>
      </c>
      <c r="N296">
        <v>17</v>
      </c>
      <c r="O296" s="351">
        <v>46235</v>
      </c>
      <c r="P296">
        <v>0</v>
      </c>
      <c r="Q296">
        <v>80</v>
      </c>
      <c r="R296">
        <v>46.36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10</v>
      </c>
      <c r="AH296">
        <v>12</v>
      </c>
      <c r="AI296" t="s">
        <v>12</v>
      </c>
    </row>
    <row r="297" spans="1:35" ht="12.5">
      <c r="A297" t="s">
        <v>75</v>
      </c>
      <c r="B297" t="s">
        <v>25</v>
      </c>
      <c r="C297" t="s">
        <v>12</v>
      </c>
      <c r="E297">
        <v>0.1</v>
      </c>
      <c r="F297" t="s">
        <v>54</v>
      </c>
      <c r="G297">
        <v>1</v>
      </c>
      <c r="H297">
        <v>1</v>
      </c>
      <c r="I297" t="s">
        <v>1931</v>
      </c>
      <c r="J297" t="s">
        <v>1926</v>
      </c>
      <c r="K297">
        <v>0</v>
      </c>
      <c r="L297" s="350">
        <v>46252</v>
      </c>
      <c r="M297">
        <v>26</v>
      </c>
      <c r="N297">
        <v>18</v>
      </c>
      <c r="O297" s="351">
        <v>46235</v>
      </c>
      <c r="P297">
        <v>0</v>
      </c>
      <c r="Q297">
        <v>0</v>
      </c>
      <c r="R297">
        <v>46.36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10</v>
      </c>
      <c r="AH297">
        <v>12</v>
      </c>
      <c r="AI297" t="s">
        <v>12</v>
      </c>
    </row>
    <row r="298" spans="1:35" ht="12.5">
      <c r="A298" t="s">
        <v>75</v>
      </c>
      <c r="B298" t="s">
        <v>25</v>
      </c>
      <c r="C298" t="s">
        <v>12</v>
      </c>
      <c r="E298">
        <v>0.1</v>
      </c>
      <c r="F298" t="s">
        <v>54</v>
      </c>
      <c r="G298">
        <v>1</v>
      </c>
      <c r="H298">
        <v>1</v>
      </c>
      <c r="I298" t="s">
        <v>1931</v>
      </c>
      <c r="J298" t="s">
        <v>1926</v>
      </c>
      <c r="K298">
        <v>0</v>
      </c>
      <c r="L298" s="350">
        <v>46253</v>
      </c>
      <c r="M298">
        <v>27</v>
      </c>
      <c r="N298">
        <v>19</v>
      </c>
      <c r="O298" s="351">
        <v>46235</v>
      </c>
      <c r="P298">
        <v>0</v>
      </c>
      <c r="Q298">
        <v>0</v>
      </c>
      <c r="R298">
        <v>46.36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10</v>
      </c>
      <c r="AH298">
        <v>12</v>
      </c>
      <c r="AI298" t="s">
        <v>12</v>
      </c>
    </row>
    <row r="299" spans="1:35" ht="12.5">
      <c r="A299" t="s">
        <v>75</v>
      </c>
      <c r="B299" t="s">
        <v>25</v>
      </c>
      <c r="C299" t="s">
        <v>12</v>
      </c>
      <c r="E299">
        <v>0.1</v>
      </c>
      <c r="F299" t="s">
        <v>54</v>
      </c>
      <c r="G299">
        <v>1</v>
      </c>
      <c r="H299">
        <v>1</v>
      </c>
      <c r="I299" t="s">
        <v>1931</v>
      </c>
      <c r="J299" t="s">
        <v>1926</v>
      </c>
      <c r="K299">
        <v>0</v>
      </c>
      <c r="L299" s="350">
        <v>46254</v>
      </c>
      <c r="M299">
        <v>28</v>
      </c>
      <c r="N299">
        <v>20</v>
      </c>
      <c r="O299" s="351">
        <v>46235</v>
      </c>
      <c r="P299">
        <v>0</v>
      </c>
      <c r="Q299">
        <v>0</v>
      </c>
      <c r="R299">
        <v>46.36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10</v>
      </c>
      <c r="AH299">
        <v>12</v>
      </c>
      <c r="AI299" t="s">
        <v>12</v>
      </c>
    </row>
    <row r="300" spans="1:35" ht="12.5">
      <c r="A300" t="s">
        <v>75</v>
      </c>
      <c r="B300" t="s">
        <v>25</v>
      </c>
      <c r="C300" t="s">
        <v>12</v>
      </c>
      <c r="E300">
        <v>0.1</v>
      </c>
      <c r="F300" t="s">
        <v>54</v>
      </c>
      <c r="G300">
        <v>1</v>
      </c>
      <c r="H300">
        <v>1</v>
      </c>
      <c r="I300" t="s">
        <v>1931</v>
      </c>
      <c r="J300" t="s">
        <v>1926</v>
      </c>
      <c r="K300">
        <v>0</v>
      </c>
      <c r="L300" s="350">
        <v>46255</v>
      </c>
      <c r="M300">
        <v>29</v>
      </c>
      <c r="N300">
        <v>21</v>
      </c>
      <c r="O300" s="351">
        <v>46235</v>
      </c>
      <c r="P300">
        <v>0</v>
      </c>
      <c r="Q300">
        <v>31</v>
      </c>
      <c r="R300">
        <v>46.36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10</v>
      </c>
      <c r="AH300">
        <v>12</v>
      </c>
      <c r="AI300" t="s">
        <v>12</v>
      </c>
    </row>
    <row r="301" spans="1:35" ht="12.5">
      <c r="A301" t="s">
        <v>75</v>
      </c>
      <c r="B301" t="s">
        <v>25</v>
      </c>
      <c r="C301" t="s">
        <v>12</v>
      </c>
      <c r="E301">
        <v>0.1</v>
      </c>
      <c r="F301" t="s">
        <v>54</v>
      </c>
      <c r="G301">
        <v>1</v>
      </c>
      <c r="H301">
        <v>1</v>
      </c>
      <c r="I301" t="s">
        <v>1931</v>
      </c>
      <c r="J301" t="s">
        <v>1926</v>
      </c>
      <c r="K301">
        <v>0</v>
      </c>
      <c r="L301" s="350">
        <v>46256</v>
      </c>
      <c r="M301">
        <v>30</v>
      </c>
      <c r="N301">
        <v>22</v>
      </c>
      <c r="O301" s="351">
        <v>46235</v>
      </c>
      <c r="P301">
        <v>0</v>
      </c>
      <c r="Q301">
        <v>0</v>
      </c>
      <c r="R301">
        <v>46.36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10</v>
      </c>
      <c r="AH301">
        <v>12</v>
      </c>
      <c r="AI301" t="s">
        <v>12</v>
      </c>
    </row>
    <row r="302" spans="1:35" ht="12.5">
      <c r="A302" t="s">
        <v>81</v>
      </c>
      <c r="B302" t="s">
        <v>42</v>
      </c>
      <c r="C302" t="s">
        <v>12</v>
      </c>
      <c r="E302">
        <v>1</v>
      </c>
      <c r="F302" t="s">
        <v>54</v>
      </c>
      <c r="G302">
        <v>1</v>
      </c>
      <c r="H302">
        <v>1</v>
      </c>
      <c r="I302" t="s">
        <v>1925</v>
      </c>
      <c r="J302" t="s">
        <v>1929</v>
      </c>
      <c r="L302" s="350">
        <v>46227</v>
      </c>
      <c r="M302">
        <v>1</v>
      </c>
      <c r="N302">
        <v>24</v>
      </c>
      <c r="O302" s="351">
        <v>46204</v>
      </c>
      <c r="P302">
        <v>1</v>
      </c>
      <c r="Q302">
        <v>59</v>
      </c>
      <c r="R302">
        <v>22.16</v>
      </c>
      <c r="S302">
        <v>1</v>
      </c>
      <c r="T302">
        <v>554</v>
      </c>
      <c r="U302">
        <v>130</v>
      </c>
      <c r="V302">
        <v>424</v>
      </c>
      <c r="W302">
        <v>56</v>
      </c>
      <c r="X302">
        <v>3.0324909747292401</v>
      </c>
      <c r="Y302">
        <v>554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10</v>
      </c>
      <c r="AH302">
        <v>13</v>
      </c>
      <c r="AI302" t="s">
        <v>12</v>
      </c>
    </row>
    <row r="303" spans="1:35" ht="12.5">
      <c r="A303" t="s">
        <v>81</v>
      </c>
      <c r="B303" t="s">
        <v>42</v>
      </c>
      <c r="C303" t="s">
        <v>12</v>
      </c>
      <c r="E303">
        <v>1</v>
      </c>
      <c r="F303" t="s">
        <v>54</v>
      </c>
      <c r="G303">
        <v>1</v>
      </c>
      <c r="H303">
        <v>1</v>
      </c>
      <c r="I303" t="s">
        <v>1925</v>
      </c>
      <c r="J303" t="s">
        <v>1929</v>
      </c>
      <c r="L303" s="350">
        <v>46228</v>
      </c>
      <c r="M303">
        <v>2</v>
      </c>
      <c r="N303">
        <v>25</v>
      </c>
      <c r="O303" s="351">
        <v>46204</v>
      </c>
      <c r="P303">
        <v>1</v>
      </c>
      <c r="Q303">
        <v>0</v>
      </c>
      <c r="R303">
        <v>22.16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10</v>
      </c>
      <c r="AH303">
        <v>13</v>
      </c>
      <c r="AI303" t="s">
        <v>12</v>
      </c>
    </row>
    <row r="304" spans="1:35" ht="12.5">
      <c r="A304" t="s">
        <v>81</v>
      </c>
      <c r="B304" t="s">
        <v>42</v>
      </c>
      <c r="C304" t="s">
        <v>12</v>
      </c>
      <c r="E304">
        <v>1</v>
      </c>
      <c r="F304" t="s">
        <v>54</v>
      </c>
      <c r="G304">
        <v>1</v>
      </c>
      <c r="H304">
        <v>1</v>
      </c>
      <c r="I304" t="s">
        <v>1925</v>
      </c>
      <c r="J304" t="s">
        <v>1929</v>
      </c>
      <c r="L304" s="350">
        <v>46229</v>
      </c>
      <c r="M304">
        <v>3</v>
      </c>
      <c r="N304">
        <v>26</v>
      </c>
      <c r="O304" s="351">
        <v>46204</v>
      </c>
      <c r="P304">
        <v>1</v>
      </c>
      <c r="Q304">
        <v>0</v>
      </c>
      <c r="R304">
        <v>22.16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10</v>
      </c>
      <c r="AH304">
        <v>13</v>
      </c>
      <c r="AI304" t="s">
        <v>12</v>
      </c>
    </row>
    <row r="305" spans="1:35" ht="12.5">
      <c r="A305" t="s">
        <v>81</v>
      </c>
      <c r="B305" t="s">
        <v>42</v>
      </c>
      <c r="C305" t="s">
        <v>12</v>
      </c>
      <c r="E305">
        <v>1</v>
      </c>
      <c r="F305" t="s">
        <v>54</v>
      </c>
      <c r="G305">
        <v>1</v>
      </c>
      <c r="H305">
        <v>1</v>
      </c>
      <c r="I305" t="s">
        <v>1925</v>
      </c>
      <c r="J305" t="s">
        <v>1929</v>
      </c>
      <c r="L305" s="350">
        <v>46230</v>
      </c>
      <c r="M305">
        <v>4</v>
      </c>
      <c r="N305">
        <v>27</v>
      </c>
      <c r="O305" s="351">
        <v>46204</v>
      </c>
      <c r="P305">
        <v>1</v>
      </c>
      <c r="Q305">
        <v>71</v>
      </c>
      <c r="R305">
        <v>22.16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10</v>
      </c>
      <c r="AH305">
        <v>13</v>
      </c>
      <c r="AI305" t="s">
        <v>12</v>
      </c>
    </row>
    <row r="306" spans="1:35" ht="12.5">
      <c r="A306" t="s">
        <v>81</v>
      </c>
      <c r="B306" t="s">
        <v>42</v>
      </c>
      <c r="C306" t="s">
        <v>12</v>
      </c>
      <c r="E306">
        <v>1</v>
      </c>
      <c r="F306" t="s">
        <v>54</v>
      </c>
      <c r="G306">
        <v>1</v>
      </c>
      <c r="H306">
        <v>1</v>
      </c>
      <c r="I306" t="s">
        <v>1925</v>
      </c>
      <c r="J306" t="s">
        <v>1929</v>
      </c>
      <c r="L306" s="350">
        <v>46231</v>
      </c>
      <c r="M306">
        <v>5</v>
      </c>
      <c r="N306">
        <v>28</v>
      </c>
      <c r="O306" s="351">
        <v>46204</v>
      </c>
      <c r="P306">
        <v>1</v>
      </c>
      <c r="Q306">
        <v>0</v>
      </c>
      <c r="R306">
        <v>22.16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10</v>
      </c>
      <c r="AH306">
        <v>13</v>
      </c>
      <c r="AI306" t="s">
        <v>12</v>
      </c>
    </row>
    <row r="307" spans="1:35" ht="12.5">
      <c r="A307" t="s">
        <v>81</v>
      </c>
      <c r="B307" t="s">
        <v>42</v>
      </c>
      <c r="C307" t="s">
        <v>12</v>
      </c>
      <c r="E307">
        <v>1</v>
      </c>
      <c r="F307" t="s">
        <v>54</v>
      </c>
      <c r="G307">
        <v>1</v>
      </c>
      <c r="H307">
        <v>1</v>
      </c>
      <c r="I307" t="s">
        <v>1925</v>
      </c>
      <c r="J307" t="s">
        <v>1929</v>
      </c>
      <c r="L307" s="350">
        <v>46232</v>
      </c>
      <c r="M307">
        <v>6</v>
      </c>
      <c r="N307">
        <v>29</v>
      </c>
      <c r="O307" s="351">
        <v>46204</v>
      </c>
      <c r="P307">
        <v>1</v>
      </c>
      <c r="Q307">
        <v>0</v>
      </c>
      <c r="R307">
        <v>22.16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10</v>
      </c>
      <c r="AH307">
        <v>13</v>
      </c>
      <c r="AI307" t="s">
        <v>12</v>
      </c>
    </row>
    <row r="308" spans="1:35" ht="12.5">
      <c r="A308" t="s">
        <v>81</v>
      </c>
      <c r="B308" t="s">
        <v>42</v>
      </c>
      <c r="C308" t="s">
        <v>12</v>
      </c>
      <c r="E308">
        <v>1</v>
      </c>
      <c r="F308" t="s">
        <v>54</v>
      </c>
      <c r="G308">
        <v>1</v>
      </c>
      <c r="H308">
        <v>1</v>
      </c>
      <c r="I308" t="s">
        <v>1925</v>
      </c>
      <c r="J308" t="s">
        <v>1929</v>
      </c>
      <c r="L308" s="350">
        <v>46233</v>
      </c>
      <c r="M308">
        <v>7</v>
      </c>
      <c r="N308">
        <v>30</v>
      </c>
      <c r="O308" s="351">
        <v>46204</v>
      </c>
      <c r="P308">
        <v>1</v>
      </c>
      <c r="Q308">
        <v>0</v>
      </c>
      <c r="R308">
        <v>22.16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10</v>
      </c>
      <c r="AH308">
        <v>13</v>
      </c>
      <c r="AI308" t="s">
        <v>12</v>
      </c>
    </row>
    <row r="309" spans="1:35" ht="12.5">
      <c r="A309" t="s">
        <v>81</v>
      </c>
      <c r="B309" t="s">
        <v>42</v>
      </c>
      <c r="C309" t="s">
        <v>12</v>
      </c>
      <c r="E309">
        <v>1</v>
      </c>
      <c r="F309" t="s">
        <v>54</v>
      </c>
      <c r="G309">
        <v>1</v>
      </c>
      <c r="H309">
        <v>1</v>
      </c>
      <c r="I309" t="s">
        <v>1925</v>
      </c>
      <c r="J309" t="s">
        <v>1929</v>
      </c>
      <c r="L309" s="350">
        <v>46234</v>
      </c>
      <c r="M309">
        <v>8</v>
      </c>
      <c r="N309">
        <v>31</v>
      </c>
      <c r="O309" s="351">
        <v>46204</v>
      </c>
      <c r="P309">
        <v>1</v>
      </c>
      <c r="Q309">
        <v>0</v>
      </c>
      <c r="R309">
        <v>22.16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10</v>
      </c>
      <c r="AH309">
        <v>13</v>
      </c>
      <c r="AI309" t="s">
        <v>12</v>
      </c>
    </row>
    <row r="310" spans="1:35" ht="12.5">
      <c r="A310" t="s">
        <v>81</v>
      </c>
      <c r="B310" t="s">
        <v>42</v>
      </c>
      <c r="C310" t="s">
        <v>12</v>
      </c>
      <c r="E310">
        <v>1</v>
      </c>
      <c r="F310" t="s">
        <v>54</v>
      </c>
      <c r="G310">
        <v>1</v>
      </c>
      <c r="H310">
        <v>1</v>
      </c>
      <c r="I310" t="s">
        <v>1925</v>
      </c>
      <c r="J310" t="s">
        <v>1929</v>
      </c>
      <c r="L310" s="350">
        <v>46235</v>
      </c>
      <c r="M310">
        <v>9</v>
      </c>
      <c r="N310">
        <v>1</v>
      </c>
      <c r="O310" s="351">
        <v>46235</v>
      </c>
      <c r="P310">
        <v>1</v>
      </c>
      <c r="Q310">
        <v>0</v>
      </c>
      <c r="R310">
        <v>22.16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10</v>
      </c>
      <c r="AH310">
        <v>13</v>
      </c>
      <c r="AI310" t="s">
        <v>12</v>
      </c>
    </row>
    <row r="311" spans="1:35" ht="12.5">
      <c r="A311" t="s">
        <v>81</v>
      </c>
      <c r="B311" t="s">
        <v>42</v>
      </c>
      <c r="C311" t="s">
        <v>12</v>
      </c>
      <c r="E311">
        <v>1</v>
      </c>
      <c r="F311" t="s">
        <v>54</v>
      </c>
      <c r="G311">
        <v>1</v>
      </c>
      <c r="H311">
        <v>1</v>
      </c>
      <c r="I311" t="s">
        <v>1925</v>
      </c>
      <c r="J311" t="s">
        <v>1929</v>
      </c>
      <c r="L311" s="350">
        <v>46236</v>
      </c>
      <c r="M311">
        <v>10</v>
      </c>
      <c r="N311">
        <v>2</v>
      </c>
      <c r="O311" s="351">
        <v>46235</v>
      </c>
      <c r="P311">
        <v>1</v>
      </c>
      <c r="Q311">
        <v>0</v>
      </c>
      <c r="R311">
        <v>22.16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10</v>
      </c>
      <c r="AH311">
        <v>13</v>
      </c>
      <c r="AI311" t="s">
        <v>12</v>
      </c>
    </row>
    <row r="312" spans="1:35" ht="12.5">
      <c r="A312" t="s">
        <v>81</v>
      </c>
      <c r="B312" t="s">
        <v>42</v>
      </c>
      <c r="C312" t="s">
        <v>12</v>
      </c>
      <c r="E312">
        <v>1</v>
      </c>
      <c r="F312" t="s">
        <v>54</v>
      </c>
      <c r="G312">
        <v>1</v>
      </c>
      <c r="H312">
        <v>1</v>
      </c>
      <c r="I312" t="s">
        <v>1925</v>
      </c>
      <c r="J312" t="s">
        <v>1929</v>
      </c>
      <c r="L312" s="350">
        <v>46237</v>
      </c>
      <c r="M312">
        <v>11</v>
      </c>
      <c r="N312">
        <v>3</v>
      </c>
      <c r="O312" s="351">
        <v>46235</v>
      </c>
      <c r="P312">
        <v>1</v>
      </c>
      <c r="Q312">
        <v>0</v>
      </c>
      <c r="R312">
        <v>22.16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10</v>
      </c>
      <c r="AH312">
        <v>13</v>
      </c>
      <c r="AI312" t="s">
        <v>12</v>
      </c>
    </row>
    <row r="313" spans="1:35" ht="12.5">
      <c r="A313" t="s">
        <v>81</v>
      </c>
      <c r="B313" t="s">
        <v>42</v>
      </c>
      <c r="C313" t="s">
        <v>12</v>
      </c>
      <c r="E313">
        <v>1</v>
      </c>
      <c r="F313" t="s">
        <v>54</v>
      </c>
      <c r="G313">
        <v>1</v>
      </c>
      <c r="H313">
        <v>1</v>
      </c>
      <c r="I313" t="s">
        <v>1925</v>
      </c>
      <c r="J313" t="s">
        <v>1929</v>
      </c>
      <c r="L313" s="350">
        <v>46238</v>
      </c>
      <c r="M313">
        <v>12</v>
      </c>
      <c r="N313">
        <v>4</v>
      </c>
      <c r="O313" s="351">
        <v>46235</v>
      </c>
      <c r="P313">
        <v>0</v>
      </c>
      <c r="Q313">
        <v>0</v>
      </c>
      <c r="R313">
        <v>22.16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10</v>
      </c>
      <c r="AH313">
        <v>13</v>
      </c>
      <c r="AI313" t="s">
        <v>12</v>
      </c>
    </row>
    <row r="314" spans="1:35" ht="12.5">
      <c r="A314" t="s">
        <v>81</v>
      </c>
      <c r="B314" t="s">
        <v>42</v>
      </c>
      <c r="C314" t="s">
        <v>12</v>
      </c>
      <c r="E314">
        <v>1</v>
      </c>
      <c r="F314" t="s">
        <v>54</v>
      </c>
      <c r="G314">
        <v>1</v>
      </c>
      <c r="H314">
        <v>1</v>
      </c>
      <c r="I314" t="s">
        <v>1925</v>
      </c>
      <c r="J314" t="s">
        <v>1929</v>
      </c>
      <c r="L314" s="350">
        <v>46239</v>
      </c>
      <c r="M314">
        <v>13</v>
      </c>
      <c r="N314">
        <v>5</v>
      </c>
      <c r="O314" s="351">
        <v>46235</v>
      </c>
      <c r="P314">
        <v>0</v>
      </c>
      <c r="Q314">
        <v>0</v>
      </c>
      <c r="R314">
        <v>22.16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10</v>
      </c>
      <c r="AH314">
        <v>13</v>
      </c>
      <c r="AI314" t="s">
        <v>12</v>
      </c>
    </row>
    <row r="315" spans="1:35" ht="12.5">
      <c r="A315" t="s">
        <v>81</v>
      </c>
      <c r="B315" t="s">
        <v>42</v>
      </c>
      <c r="C315" t="s">
        <v>12</v>
      </c>
      <c r="E315">
        <v>1</v>
      </c>
      <c r="F315" t="s">
        <v>54</v>
      </c>
      <c r="G315">
        <v>1</v>
      </c>
      <c r="H315">
        <v>1</v>
      </c>
      <c r="I315" t="s">
        <v>1925</v>
      </c>
      <c r="J315" t="s">
        <v>1929</v>
      </c>
      <c r="L315" s="350">
        <v>46240</v>
      </c>
      <c r="M315">
        <v>14</v>
      </c>
      <c r="N315">
        <v>6</v>
      </c>
      <c r="O315" s="351">
        <v>46235</v>
      </c>
      <c r="P315">
        <v>0</v>
      </c>
      <c r="Q315">
        <v>0</v>
      </c>
      <c r="R315">
        <v>22.16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10</v>
      </c>
      <c r="AH315">
        <v>13</v>
      </c>
      <c r="AI315" t="s">
        <v>12</v>
      </c>
    </row>
    <row r="316" spans="1:35" ht="12.5">
      <c r="A316" t="s">
        <v>81</v>
      </c>
      <c r="B316" t="s">
        <v>42</v>
      </c>
      <c r="C316" t="s">
        <v>12</v>
      </c>
      <c r="E316">
        <v>1</v>
      </c>
      <c r="F316" t="s">
        <v>54</v>
      </c>
      <c r="G316">
        <v>1</v>
      </c>
      <c r="H316">
        <v>1</v>
      </c>
      <c r="I316" t="s">
        <v>1925</v>
      </c>
      <c r="J316" t="s">
        <v>1929</v>
      </c>
      <c r="L316" s="350">
        <v>46241</v>
      </c>
      <c r="M316">
        <v>15</v>
      </c>
      <c r="N316">
        <v>7</v>
      </c>
      <c r="O316" s="351">
        <v>46235</v>
      </c>
      <c r="P316">
        <v>0</v>
      </c>
      <c r="Q316">
        <v>0</v>
      </c>
      <c r="R316">
        <v>22.16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10</v>
      </c>
      <c r="AH316">
        <v>13</v>
      </c>
      <c r="AI316" t="s">
        <v>12</v>
      </c>
    </row>
    <row r="317" spans="1:35" ht="12.5">
      <c r="A317" t="s">
        <v>81</v>
      </c>
      <c r="B317" t="s">
        <v>42</v>
      </c>
      <c r="C317" t="s">
        <v>12</v>
      </c>
      <c r="E317">
        <v>1</v>
      </c>
      <c r="F317" t="s">
        <v>54</v>
      </c>
      <c r="G317">
        <v>1</v>
      </c>
      <c r="H317">
        <v>1</v>
      </c>
      <c r="I317" t="s">
        <v>1925</v>
      </c>
      <c r="J317" t="s">
        <v>1929</v>
      </c>
      <c r="L317" s="350">
        <v>46242</v>
      </c>
      <c r="M317">
        <v>16</v>
      </c>
      <c r="N317">
        <v>8</v>
      </c>
      <c r="O317" s="351">
        <v>46235</v>
      </c>
      <c r="P317">
        <v>0</v>
      </c>
      <c r="Q317">
        <v>0</v>
      </c>
      <c r="R317">
        <v>22.16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10</v>
      </c>
      <c r="AH317">
        <v>13</v>
      </c>
      <c r="AI317" t="s">
        <v>12</v>
      </c>
    </row>
    <row r="318" spans="1:35" ht="12.5">
      <c r="A318" t="s">
        <v>81</v>
      </c>
      <c r="B318" t="s">
        <v>42</v>
      </c>
      <c r="C318" t="s">
        <v>12</v>
      </c>
      <c r="E318">
        <v>1</v>
      </c>
      <c r="F318" t="s">
        <v>54</v>
      </c>
      <c r="G318">
        <v>1</v>
      </c>
      <c r="H318">
        <v>1</v>
      </c>
      <c r="I318" t="s">
        <v>1925</v>
      </c>
      <c r="J318" t="s">
        <v>1929</v>
      </c>
      <c r="L318" s="350">
        <v>46243</v>
      </c>
      <c r="M318">
        <v>17</v>
      </c>
      <c r="N318">
        <v>9</v>
      </c>
      <c r="O318" s="351">
        <v>46235</v>
      </c>
      <c r="P318">
        <v>0</v>
      </c>
      <c r="Q318">
        <v>0</v>
      </c>
      <c r="R318">
        <v>22.16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10</v>
      </c>
      <c r="AH318">
        <v>13</v>
      </c>
      <c r="AI318" t="s">
        <v>12</v>
      </c>
    </row>
    <row r="319" spans="1:35" ht="12.5">
      <c r="A319" t="s">
        <v>81</v>
      </c>
      <c r="B319" t="s">
        <v>42</v>
      </c>
      <c r="C319" t="s">
        <v>12</v>
      </c>
      <c r="E319">
        <v>1</v>
      </c>
      <c r="F319" t="s">
        <v>54</v>
      </c>
      <c r="G319">
        <v>1</v>
      </c>
      <c r="H319">
        <v>1</v>
      </c>
      <c r="I319" t="s">
        <v>1925</v>
      </c>
      <c r="J319" t="s">
        <v>1929</v>
      </c>
      <c r="L319" s="350">
        <v>46244</v>
      </c>
      <c r="M319">
        <v>18</v>
      </c>
      <c r="N319">
        <v>10</v>
      </c>
      <c r="O319" s="351">
        <v>46235</v>
      </c>
      <c r="P319">
        <v>0</v>
      </c>
      <c r="Q319">
        <v>0</v>
      </c>
      <c r="R319">
        <v>22.16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10</v>
      </c>
      <c r="AH319">
        <v>13</v>
      </c>
      <c r="AI319" t="s">
        <v>12</v>
      </c>
    </row>
    <row r="320" spans="1:35" ht="12.5">
      <c r="A320" t="s">
        <v>81</v>
      </c>
      <c r="B320" t="s">
        <v>42</v>
      </c>
      <c r="C320" t="s">
        <v>12</v>
      </c>
      <c r="E320">
        <v>1</v>
      </c>
      <c r="F320" t="s">
        <v>54</v>
      </c>
      <c r="G320">
        <v>1</v>
      </c>
      <c r="H320">
        <v>1</v>
      </c>
      <c r="I320" t="s">
        <v>1925</v>
      </c>
      <c r="J320" t="s">
        <v>1929</v>
      </c>
      <c r="L320" s="350">
        <v>46245</v>
      </c>
      <c r="M320">
        <v>19</v>
      </c>
      <c r="N320">
        <v>11</v>
      </c>
      <c r="O320" s="351">
        <v>46235</v>
      </c>
      <c r="P320">
        <v>0</v>
      </c>
      <c r="Q320">
        <v>0</v>
      </c>
      <c r="R320">
        <v>22.16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10</v>
      </c>
      <c r="AH320">
        <v>13</v>
      </c>
      <c r="AI320" t="s">
        <v>12</v>
      </c>
    </row>
    <row r="321" spans="1:35" ht="12.5">
      <c r="A321" t="s">
        <v>81</v>
      </c>
      <c r="B321" t="s">
        <v>42</v>
      </c>
      <c r="C321" t="s">
        <v>12</v>
      </c>
      <c r="E321">
        <v>1</v>
      </c>
      <c r="F321" t="s">
        <v>54</v>
      </c>
      <c r="G321">
        <v>1</v>
      </c>
      <c r="H321">
        <v>1</v>
      </c>
      <c r="I321" t="s">
        <v>1925</v>
      </c>
      <c r="J321" t="s">
        <v>1929</v>
      </c>
      <c r="L321" s="350">
        <v>46246</v>
      </c>
      <c r="M321">
        <v>20</v>
      </c>
      <c r="N321">
        <v>12</v>
      </c>
      <c r="O321" s="351">
        <v>46235</v>
      </c>
      <c r="P321">
        <v>0</v>
      </c>
      <c r="Q321">
        <v>0</v>
      </c>
      <c r="R321">
        <v>22.16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10</v>
      </c>
      <c r="AH321">
        <v>13</v>
      </c>
      <c r="AI321" t="s">
        <v>12</v>
      </c>
    </row>
    <row r="322" spans="1:35" ht="12.5">
      <c r="A322" t="s">
        <v>81</v>
      </c>
      <c r="B322" t="s">
        <v>42</v>
      </c>
      <c r="C322" t="s">
        <v>12</v>
      </c>
      <c r="E322">
        <v>1</v>
      </c>
      <c r="F322" t="s">
        <v>54</v>
      </c>
      <c r="G322">
        <v>1</v>
      </c>
      <c r="H322">
        <v>1</v>
      </c>
      <c r="I322" t="s">
        <v>1925</v>
      </c>
      <c r="J322" t="s">
        <v>1929</v>
      </c>
      <c r="L322" s="350">
        <v>46247</v>
      </c>
      <c r="M322">
        <v>21</v>
      </c>
      <c r="N322">
        <v>13</v>
      </c>
      <c r="O322" s="351">
        <v>46235</v>
      </c>
      <c r="P322">
        <v>0</v>
      </c>
      <c r="Q322">
        <v>0</v>
      </c>
      <c r="R322">
        <v>22.16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10</v>
      </c>
      <c r="AH322">
        <v>13</v>
      </c>
      <c r="AI322" t="s">
        <v>12</v>
      </c>
    </row>
    <row r="323" spans="1:35" ht="12.5">
      <c r="A323" t="s">
        <v>81</v>
      </c>
      <c r="B323" t="s">
        <v>42</v>
      </c>
      <c r="C323" t="s">
        <v>12</v>
      </c>
      <c r="E323">
        <v>1</v>
      </c>
      <c r="F323" t="s">
        <v>54</v>
      </c>
      <c r="G323">
        <v>1</v>
      </c>
      <c r="H323">
        <v>1</v>
      </c>
      <c r="I323" t="s">
        <v>1925</v>
      </c>
      <c r="J323" t="s">
        <v>1929</v>
      </c>
      <c r="L323" s="350">
        <v>46248</v>
      </c>
      <c r="M323">
        <v>22</v>
      </c>
      <c r="N323">
        <v>14</v>
      </c>
      <c r="O323" s="351">
        <v>46235</v>
      </c>
      <c r="P323">
        <v>0</v>
      </c>
      <c r="Q323">
        <v>0</v>
      </c>
      <c r="R323">
        <v>22.16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10</v>
      </c>
      <c r="AH323">
        <v>13</v>
      </c>
      <c r="AI323" t="s">
        <v>12</v>
      </c>
    </row>
    <row r="324" spans="1:35" ht="12.5">
      <c r="A324" t="s">
        <v>81</v>
      </c>
      <c r="B324" t="s">
        <v>42</v>
      </c>
      <c r="C324" t="s">
        <v>12</v>
      </c>
      <c r="E324">
        <v>1</v>
      </c>
      <c r="F324" t="s">
        <v>54</v>
      </c>
      <c r="G324">
        <v>1</v>
      </c>
      <c r="H324">
        <v>1</v>
      </c>
      <c r="I324" t="s">
        <v>1925</v>
      </c>
      <c r="J324" t="s">
        <v>1929</v>
      </c>
      <c r="L324" s="350">
        <v>46249</v>
      </c>
      <c r="M324">
        <v>23</v>
      </c>
      <c r="N324">
        <v>15</v>
      </c>
      <c r="O324" s="351">
        <v>46235</v>
      </c>
      <c r="P324">
        <v>0</v>
      </c>
      <c r="Q324">
        <v>0</v>
      </c>
      <c r="R324">
        <v>22.16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10</v>
      </c>
      <c r="AH324">
        <v>13</v>
      </c>
      <c r="AI324" t="s">
        <v>12</v>
      </c>
    </row>
    <row r="325" spans="1:35" ht="12.5">
      <c r="A325" t="s">
        <v>81</v>
      </c>
      <c r="B325" t="s">
        <v>42</v>
      </c>
      <c r="C325" t="s">
        <v>12</v>
      </c>
      <c r="E325">
        <v>1</v>
      </c>
      <c r="F325" t="s">
        <v>54</v>
      </c>
      <c r="G325">
        <v>1</v>
      </c>
      <c r="H325">
        <v>1</v>
      </c>
      <c r="I325" t="s">
        <v>1925</v>
      </c>
      <c r="J325" t="s">
        <v>1929</v>
      </c>
      <c r="L325" s="350">
        <v>46250</v>
      </c>
      <c r="M325">
        <v>24</v>
      </c>
      <c r="N325">
        <v>16</v>
      </c>
      <c r="O325" s="351">
        <v>46235</v>
      </c>
      <c r="P325">
        <v>0</v>
      </c>
      <c r="Q325">
        <v>0</v>
      </c>
      <c r="R325">
        <v>22.16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10</v>
      </c>
      <c r="AH325">
        <v>13</v>
      </c>
      <c r="AI325" t="s">
        <v>12</v>
      </c>
    </row>
    <row r="326" spans="1:35" ht="12.5">
      <c r="A326" t="s">
        <v>81</v>
      </c>
      <c r="B326" t="s">
        <v>42</v>
      </c>
      <c r="C326" t="s">
        <v>12</v>
      </c>
      <c r="E326">
        <v>1</v>
      </c>
      <c r="F326" t="s">
        <v>54</v>
      </c>
      <c r="G326">
        <v>1</v>
      </c>
      <c r="H326">
        <v>1</v>
      </c>
      <c r="I326" t="s">
        <v>1925</v>
      </c>
      <c r="J326" t="s">
        <v>1929</v>
      </c>
      <c r="L326" s="350">
        <v>46251</v>
      </c>
      <c r="M326">
        <v>25</v>
      </c>
      <c r="N326">
        <v>17</v>
      </c>
      <c r="O326" s="351">
        <v>46235</v>
      </c>
      <c r="P326">
        <v>0</v>
      </c>
      <c r="Q326">
        <v>0</v>
      </c>
      <c r="R326">
        <v>22.16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10</v>
      </c>
      <c r="AH326">
        <v>13</v>
      </c>
      <c r="AI326" t="s">
        <v>12</v>
      </c>
    </row>
    <row r="327" spans="1:35" ht="12.5">
      <c r="A327" t="s">
        <v>81</v>
      </c>
      <c r="B327" t="s">
        <v>42</v>
      </c>
      <c r="C327" t="s">
        <v>12</v>
      </c>
      <c r="E327">
        <v>1</v>
      </c>
      <c r="F327" t="s">
        <v>54</v>
      </c>
      <c r="G327">
        <v>1</v>
      </c>
      <c r="H327">
        <v>1</v>
      </c>
      <c r="I327" t="s">
        <v>1925</v>
      </c>
      <c r="J327" t="s">
        <v>1929</v>
      </c>
      <c r="L327" s="350">
        <v>46252</v>
      </c>
      <c r="M327">
        <v>26</v>
      </c>
      <c r="N327">
        <v>18</v>
      </c>
      <c r="O327" s="351">
        <v>46235</v>
      </c>
      <c r="P327">
        <v>0</v>
      </c>
      <c r="Q327">
        <v>0</v>
      </c>
      <c r="R327">
        <v>22.16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10</v>
      </c>
      <c r="AH327">
        <v>13</v>
      </c>
      <c r="AI327" t="s">
        <v>12</v>
      </c>
    </row>
    <row r="328" spans="1:35" ht="12.5">
      <c r="A328" t="s">
        <v>81</v>
      </c>
      <c r="B328" t="s">
        <v>42</v>
      </c>
      <c r="C328" t="s">
        <v>12</v>
      </c>
      <c r="E328">
        <v>1</v>
      </c>
      <c r="F328" t="s">
        <v>54</v>
      </c>
      <c r="G328">
        <v>1</v>
      </c>
      <c r="H328">
        <v>1</v>
      </c>
      <c r="I328" t="s">
        <v>1925</v>
      </c>
      <c r="J328" t="s">
        <v>1929</v>
      </c>
      <c r="L328" s="350">
        <v>46253</v>
      </c>
      <c r="M328">
        <v>27</v>
      </c>
      <c r="N328">
        <v>19</v>
      </c>
      <c r="O328" s="351">
        <v>46235</v>
      </c>
      <c r="P328">
        <v>0</v>
      </c>
      <c r="Q328">
        <v>0</v>
      </c>
      <c r="R328">
        <v>22.16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10</v>
      </c>
      <c r="AH328">
        <v>13</v>
      </c>
      <c r="AI328" t="s">
        <v>12</v>
      </c>
    </row>
    <row r="329" spans="1:35" ht="12.5">
      <c r="A329" t="s">
        <v>81</v>
      </c>
      <c r="B329" t="s">
        <v>42</v>
      </c>
      <c r="C329" t="s">
        <v>12</v>
      </c>
      <c r="E329">
        <v>1</v>
      </c>
      <c r="F329" t="s">
        <v>54</v>
      </c>
      <c r="G329">
        <v>1</v>
      </c>
      <c r="H329">
        <v>1</v>
      </c>
      <c r="I329" t="s">
        <v>1925</v>
      </c>
      <c r="J329" t="s">
        <v>1929</v>
      </c>
      <c r="L329" s="350">
        <v>46254</v>
      </c>
      <c r="M329">
        <v>28</v>
      </c>
      <c r="N329">
        <v>20</v>
      </c>
      <c r="O329" s="351">
        <v>46235</v>
      </c>
      <c r="P329">
        <v>0</v>
      </c>
      <c r="Q329">
        <v>0</v>
      </c>
      <c r="R329">
        <v>22.16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10</v>
      </c>
      <c r="AH329">
        <v>13</v>
      </c>
      <c r="AI329" t="s">
        <v>12</v>
      </c>
    </row>
    <row r="330" spans="1:35" ht="12.5">
      <c r="A330" t="s">
        <v>81</v>
      </c>
      <c r="B330" t="s">
        <v>42</v>
      </c>
      <c r="C330" t="s">
        <v>12</v>
      </c>
      <c r="E330">
        <v>1</v>
      </c>
      <c r="F330" t="s">
        <v>54</v>
      </c>
      <c r="G330">
        <v>1</v>
      </c>
      <c r="H330">
        <v>1</v>
      </c>
      <c r="I330" t="s">
        <v>1925</v>
      </c>
      <c r="J330" t="s">
        <v>1929</v>
      </c>
      <c r="L330" s="350">
        <v>46255</v>
      </c>
      <c r="M330">
        <v>29</v>
      </c>
      <c r="N330">
        <v>21</v>
      </c>
      <c r="O330" s="351">
        <v>46235</v>
      </c>
      <c r="P330">
        <v>0</v>
      </c>
      <c r="Q330">
        <v>0</v>
      </c>
      <c r="R330">
        <v>22.16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10</v>
      </c>
      <c r="AH330">
        <v>13</v>
      </c>
      <c r="AI330" t="s">
        <v>12</v>
      </c>
    </row>
    <row r="331" spans="1:35" ht="12.5">
      <c r="A331" t="s">
        <v>81</v>
      </c>
      <c r="B331" t="s">
        <v>42</v>
      </c>
      <c r="C331" t="s">
        <v>12</v>
      </c>
      <c r="E331">
        <v>1</v>
      </c>
      <c r="F331" t="s">
        <v>54</v>
      </c>
      <c r="G331">
        <v>1</v>
      </c>
      <c r="H331">
        <v>1</v>
      </c>
      <c r="I331" t="s">
        <v>1925</v>
      </c>
      <c r="J331" t="s">
        <v>1929</v>
      </c>
      <c r="L331" s="350">
        <v>46256</v>
      </c>
      <c r="M331">
        <v>30</v>
      </c>
      <c r="N331">
        <v>22</v>
      </c>
      <c r="O331" s="351">
        <v>46235</v>
      </c>
      <c r="P331">
        <v>0</v>
      </c>
      <c r="Q331">
        <v>0</v>
      </c>
      <c r="R331">
        <v>22.16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10</v>
      </c>
      <c r="AH331">
        <v>13</v>
      </c>
      <c r="AI331" t="s">
        <v>12</v>
      </c>
    </row>
    <row r="332" spans="1:35" ht="12.5">
      <c r="A332" t="s">
        <v>78</v>
      </c>
      <c r="B332" t="s">
        <v>35</v>
      </c>
      <c r="C332" t="s">
        <v>12</v>
      </c>
      <c r="E332">
        <v>0.25</v>
      </c>
      <c r="F332" t="s">
        <v>54</v>
      </c>
      <c r="G332">
        <v>1</v>
      </c>
      <c r="H332">
        <v>1</v>
      </c>
      <c r="I332" t="s">
        <v>1931</v>
      </c>
      <c r="J332" t="s">
        <v>1926</v>
      </c>
      <c r="K332" t="s">
        <v>69</v>
      </c>
      <c r="L332" s="350">
        <v>46227</v>
      </c>
      <c r="M332">
        <v>1</v>
      </c>
      <c r="N332">
        <v>24</v>
      </c>
      <c r="O332" s="351">
        <v>46204</v>
      </c>
      <c r="P332">
        <v>1</v>
      </c>
      <c r="Q332">
        <v>24</v>
      </c>
      <c r="R332">
        <v>10.96</v>
      </c>
      <c r="S332">
        <v>1</v>
      </c>
      <c r="T332">
        <v>274</v>
      </c>
      <c r="U332">
        <v>115</v>
      </c>
      <c r="V332">
        <v>159</v>
      </c>
      <c r="W332">
        <v>7</v>
      </c>
      <c r="X332">
        <v>0.76642335766423397</v>
      </c>
      <c r="Y332">
        <v>189</v>
      </c>
      <c r="Z332">
        <v>0</v>
      </c>
      <c r="AA332">
        <v>85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10</v>
      </c>
      <c r="AH332">
        <v>14</v>
      </c>
      <c r="AI332" t="s">
        <v>12</v>
      </c>
    </row>
    <row r="333" spans="1:35" ht="12.5">
      <c r="A333" t="s">
        <v>78</v>
      </c>
      <c r="B333" t="s">
        <v>35</v>
      </c>
      <c r="C333" t="s">
        <v>12</v>
      </c>
      <c r="E333">
        <v>0.25</v>
      </c>
      <c r="F333" t="s">
        <v>54</v>
      </c>
      <c r="G333">
        <v>1</v>
      </c>
      <c r="H333">
        <v>1</v>
      </c>
      <c r="I333" t="s">
        <v>1931</v>
      </c>
      <c r="J333" t="s">
        <v>1926</v>
      </c>
      <c r="K333" t="s">
        <v>69</v>
      </c>
      <c r="L333" s="350">
        <v>46228</v>
      </c>
      <c r="M333">
        <v>2</v>
      </c>
      <c r="N333">
        <v>25</v>
      </c>
      <c r="O333" s="351">
        <v>46204</v>
      </c>
      <c r="P333">
        <v>1</v>
      </c>
      <c r="Q333">
        <v>0</v>
      </c>
      <c r="R333">
        <v>10.96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10</v>
      </c>
      <c r="AH333">
        <v>14</v>
      </c>
      <c r="AI333" t="s">
        <v>12</v>
      </c>
    </row>
    <row r="334" spans="1:35" ht="12.5">
      <c r="A334" t="s">
        <v>78</v>
      </c>
      <c r="B334" t="s">
        <v>35</v>
      </c>
      <c r="C334" t="s">
        <v>12</v>
      </c>
      <c r="E334">
        <v>0.25</v>
      </c>
      <c r="F334" t="s">
        <v>54</v>
      </c>
      <c r="G334">
        <v>1</v>
      </c>
      <c r="H334">
        <v>1</v>
      </c>
      <c r="I334" t="s">
        <v>1931</v>
      </c>
      <c r="J334" t="s">
        <v>1926</v>
      </c>
      <c r="K334" t="s">
        <v>69</v>
      </c>
      <c r="L334" s="350">
        <v>46229</v>
      </c>
      <c r="M334">
        <v>3</v>
      </c>
      <c r="N334">
        <v>26</v>
      </c>
      <c r="O334" s="351">
        <v>46204</v>
      </c>
      <c r="P334">
        <v>1</v>
      </c>
      <c r="Q334">
        <v>0</v>
      </c>
      <c r="R334">
        <v>10.96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10</v>
      </c>
      <c r="AH334">
        <v>14</v>
      </c>
      <c r="AI334" t="s">
        <v>12</v>
      </c>
    </row>
    <row r="335" spans="1:35" ht="12.5">
      <c r="A335" t="s">
        <v>78</v>
      </c>
      <c r="B335" t="s">
        <v>35</v>
      </c>
      <c r="C335" t="s">
        <v>12</v>
      </c>
      <c r="E335">
        <v>0.25</v>
      </c>
      <c r="F335" t="s">
        <v>54</v>
      </c>
      <c r="G335">
        <v>1</v>
      </c>
      <c r="H335">
        <v>1</v>
      </c>
      <c r="I335" t="s">
        <v>1931</v>
      </c>
      <c r="J335" t="s">
        <v>1926</v>
      </c>
      <c r="K335" t="s">
        <v>69</v>
      </c>
      <c r="L335" s="350">
        <v>46230</v>
      </c>
      <c r="M335">
        <v>4</v>
      </c>
      <c r="N335">
        <v>27</v>
      </c>
      <c r="O335" s="351">
        <v>46204</v>
      </c>
      <c r="P335">
        <v>1</v>
      </c>
      <c r="Q335">
        <v>63</v>
      </c>
      <c r="R335">
        <v>10.96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10</v>
      </c>
      <c r="AH335">
        <v>14</v>
      </c>
      <c r="AI335" t="s">
        <v>12</v>
      </c>
    </row>
    <row r="336" spans="1:35" ht="12.5">
      <c r="A336" t="s">
        <v>78</v>
      </c>
      <c r="B336" t="s">
        <v>35</v>
      </c>
      <c r="C336" t="s">
        <v>12</v>
      </c>
      <c r="E336">
        <v>0.25</v>
      </c>
      <c r="F336" t="s">
        <v>54</v>
      </c>
      <c r="G336">
        <v>1</v>
      </c>
      <c r="H336">
        <v>1</v>
      </c>
      <c r="I336" t="s">
        <v>1931</v>
      </c>
      <c r="J336" t="s">
        <v>1926</v>
      </c>
      <c r="K336" t="s">
        <v>69</v>
      </c>
      <c r="L336" s="350">
        <v>46231</v>
      </c>
      <c r="M336">
        <v>5</v>
      </c>
      <c r="N336">
        <v>28</v>
      </c>
      <c r="O336" s="351">
        <v>46204</v>
      </c>
      <c r="P336">
        <v>1</v>
      </c>
      <c r="Q336">
        <v>0</v>
      </c>
      <c r="R336">
        <v>10.96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10</v>
      </c>
      <c r="AH336">
        <v>14</v>
      </c>
      <c r="AI336" t="s">
        <v>12</v>
      </c>
    </row>
    <row r="337" spans="1:35" ht="12.5">
      <c r="A337" t="s">
        <v>78</v>
      </c>
      <c r="B337" t="s">
        <v>35</v>
      </c>
      <c r="C337" t="s">
        <v>12</v>
      </c>
      <c r="E337">
        <v>0.25</v>
      </c>
      <c r="F337" t="s">
        <v>54</v>
      </c>
      <c r="G337">
        <v>1</v>
      </c>
      <c r="H337">
        <v>1</v>
      </c>
      <c r="I337" t="s">
        <v>1931</v>
      </c>
      <c r="J337" t="s">
        <v>1926</v>
      </c>
      <c r="K337" t="s">
        <v>69</v>
      </c>
      <c r="L337" s="350">
        <v>46232</v>
      </c>
      <c r="M337">
        <v>6</v>
      </c>
      <c r="N337">
        <v>29</v>
      </c>
      <c r="O337" s="351">
        <v>46204</v>
      </c>
      <c r="P337">
        <v>1</v>
      </c>
      <c r="Q337">
        <v>0</v>
      </c>
      <c r="R337">
        <v>10.96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10</v>
      </c>
      <c r="AH337">
        <v>14</v>
      </c>
      <c r="AI337" t="s">
        <v>12</v>
      </c>
    </row>
    <row r="338" spans="1:35" ht="12.5">
      <c r="A338" t="s">
        <v>78</v>
      </c>
      <c r="B338" t="s">
        <v>35</v>
      </c>
      <c r="C338" t="s">
        <v>12</v>
      </c>
      <c r="E338">
        <v>0.25</v>
      </c>
      <c r="F338" t="s">
        <v>54</v>
      </c>
      <c r="G338">
        <v>1</v>
      </c>
      <c r="H338">
        <v>1</v>
      </c>
      <c r="I338" t="s">
        <v>1931</v>
      </c>
      <c r="J338" t="s">
        <v>1926</v>
      </c>
      <c r="K338" t="s">
        <v>69</v>
      </c>
      <c r="L338" s="350">
        <v>46233</v>
      </c>
      <c r="M338">
        <v>7</v>
      </c>
      <c r="N338">
        <v>30</v>
      </c>
      <c r="O338" s="351">
        <v>46204</v>
      </c>
      <c r="P338">
        <v>1</v>
      </c>
      <c r="Q338">
        <v>16</v>
      </c>
      <c r="R338">
        <v>10.96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10</v>
      </c>
      <c r="AH338">
        <v>14</v>
      </c>
      <c r="AI338" t="s">
        <v>12</v>
      </c>
    </row>
    <row r="339" spans="1:35" ht="12.5">
      <c r="A339" t="s">
        <v>78</v>
      </c>
      <c r="B339" t="s">
        <v>35</v>
      </c>
      <c r="C339" t="s">
        <v>12</v>
      </c>
      <c r="E339">
        <v>0.25</v>
      </c>
      <c r="F339" t="s">
        <v>54</v>
      </c>
      <c r="G339">
        <v>1</v>
      </c>
      <c r="H339">
        <v>1</v>
      </c>
      <c r="I339" t="s">
        <v>1931</v>
      </c>
      <c r="J339" t="s">
        <v>1926</v>
      </c>
      <c r="K339" t="s">
        <v>69</v>
      </c>
      <c r="L339" s="350">
        <v>46234</v>
      </c>
      <c r="M339">
        <v>8</v>
      </c>
      <c r="N339">
        <v>31</v>
      </c>
      <c r="O339" s="351">
        <v>46204</v>
      </c>
      <c r="P339">
        <v>1</v>
      </c>
      <c r="Q339">
        <v>0</v>
      </c>
      <c r="R339">
        <v>10.96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10</v>
      </c>
      <c r="AH339">
        <v>14</v>
      </c>
      <c r="AI339" t="s">
        <v>12</v>
      </c>
    </row>
    <row r="340" spans="1:35" ht="12.5">
      <c r="A340" t="s">
        <v>78</v>
      </c>
      <c r="B340" t="s">
        <v>35</v>
      </c>
      <c r="C340" t="s">
        <v>12</v>
      </c>
      <c r="E340">
        <v>0.25</v>
      </c>
      <c r="F340" t="s">
        <v>54</v>
      </c>
      <c r="G340">
        <v>1</v>
      </c>
      <c r="H340">
        <v>1</v>
      </c>
      <c r="I340" t="s">
        <v>1931</v>
      </c>
      <c r="J340" t="s">
        <v>1926</v>
      </c>
      <c r="K340" t="s">
        <v>69</v>
      </c>
      <c r="L340" s="350">
        <v>46235</v>
      </c>
      <c r="M340">
        <v>9</v>
      </c>
      <c r="N340">
        <v>1</v>
      </c>
      <c r="O340" s="351">
        <v>46235</v>
      </c>
      <c r="P340">
        <v>1</v>
      </c>
      <c r="Q340">
        <v>12</v>
      </c>
      <c r="R340">
        <v>10.96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10</v>
      </c>
      <c r="AH340">
        <v>14</v>
      </c>
      <c r="AI340" t="s">
        <v>12</v>
      </c>
    </row>
    <row r="341" spans="1:35" ht="12.5">
      <c r="A341" t="s">
        <v>78</v>
      </c>
      <c r="B341" t="s">
        <v>35</v>
      </c>
      <c r="C341" t="s">
        <v>12</v>
      </c>
      <c r="E341">
        <v>0.25</v>
      </c>
      <c r="F341" t="s">
        <v>54</v>
      </c>
      <c r="G341">
        <v>1</v>
      </c>
      <c r="H341">
        <v>1</v>
      </c>
      <c r="I341" t="s">
        <v>1931</v>
      </c>
      <c r="J341" t="s">
        <v>1926</v>
      </c>
      <c r="K341" t="s">
        <v>69</v>
      </c>
      <c r="L341" s="350">
        <v>46236</v>
      </c>
      <c r="M341">
        <v>10</v>
      </c>
      <c r="N341">
        <v>2</v>
      </c>
      <c r="O341" s="351">
        <v>46235</v>
      </c>
      <c r="P341">
        <v>1</v>
      </c>
      <c r="Q341">
        <v>0</v>
      </c>
      <c r="R341">
        <v>10.96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10</v>
      </c>
      <c r="AH341">
        <v>14</v>
      </c>
      <c r="AI341" t="s">
        <v>12</v>
      </c>
    </row>
    <row r="342" spans="1:35" ht="12.5">
      <c r="A342" t="s">
        <v>78</v>
      </c>
      <c r="B342" t="s">
        <v>35</v>
      </c>
      <c r="C342" t="s">
        <v>12</v>
      </c>
      <c r="E342">
        <v>0.25</v>
      </c>
      <c r="F342" t="s">
        <v>54</v>
      </c>
      <c r="G342">
        <v>1</v>
      </c>
      <c r="H342">
        <v>1</v>
      </c>
      <c r="I342" t="s">
        <v>1931</v>
      </c>
      <c r="J342" t="s">
        <v>1926</v>
      </c>
      <c r="K342" t="s">
        <v>69</v>
      </c>
      <c r="L342" s="350">
        <v>46237</v>
      </c>
      <c r="M342">
        <v>11</v>
      </c>
      <c r="N342">
        <v>3</v>
      </c>
      <c r="O342" s="351">
        <v>46235</v>
      </c>
      <c r="P342">
        <v>1</v>
      </c>
      <c r="Q342">
        <v>0</v>
      </c>
      <c r="R342">
        <v>10.96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10</v>
      </c>
      <c r="AH342">
        <v>14</v>
      </c>
      <c r="AI342" t="s">
        <v>12</v>
      </c>
    </row>
    <row r="343" spans="1:35" ht="12.5">
      <c r="A343" t="s">
        <v>78</v>
      </c>
      <c r="B343" t="s">
        <v>35</v>
      </c>
      <c r="C343" t="s">
        <v>12</v>
      </c>
      <c r="E343">
        <v>0.25</v>
      </c>
      <c r="F343" t="s">
        <v>54</v>
      </c>
      <c r="G343">
        <v>1</v>
      </c>
      <c r="H343">
        <v>1</v>
      </c>
      <c r="I343" t="s">
        <v>1931</v>
      </c>
      <c r="J343" t="s">
        <v>1926</v>
      </c>
      <c r="K343" t="s">
        <v>69</v>
      </c>
      <c r="L343" s="350">
        <v>46238</v>
      </c>
      <c r="M343">
        <v>12</v>
      </c>
      <c r="N343">
        <v>4</v>
      </c>
      <c r="O343" s="351">
        <v>46235</v>
      </c>
      <c r="P343">
        <v>0</v>
      </c>
      <c r="Q343">
        <v>0</v>
      </c>
      <c r="R343">
        <v>10.96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10</v>
      </c>
      <c r="AH343">
        <v>14</v>
      </c>
      <c r="AI343" t="s">
        <v>12</v>
      </c>
    </row>
    <row r="344" spans="1:35" ht="12.5">
      <c r="A344" t="s">
        <v>78</v>
      </c>
      <c r="B344" t="s">
        <v>35</v>
      </c>
      <c r="C344" t="s">
        <v>12</v>
      </c>
      <c r="E344">
        <v>0.25</v>
      </c>
      <c r="F344" t="s">
        <v>54</v>
      </c>
      <c r="G344">
        <v>1</v>
      </c>
      <c r="H344">
        <v>1</v>
      </c>
      <c r="I344" t="s">
        <v>1931</v>
      </c>
      <c r="J344" t="s">
        <v>1926</v>
      </c>
      <c r="K344" t="s">
        <v>69</v>
      </c>
      <c r="L344" s="350">
        <v>46239</v>
      </c>
      <c r="M344">
        <v>13</v>
      </c>
      <c r="N344">
        <v>5</v>
      </c>
      <c r="O344" s="351">
        <v>46235</v>
      </c>
      <c r="P344">
        <v>0</v>
      </c>
      <c r="Q344">
        <v>0</v>
      </c>
      <c r="R344">
        <v>10.96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10</v>
      </c>
      <c r="AH344">
        <v>14</v>
      </c>
      <c r="AI344" t="s">
        <v>12</v>
      </c>
    </row>
    <row r="345" spans="1:35" ht="12.5">
      <c r="A345" t="s">
        <v>78</v>
      </c>
      <c r="B345" t="s">
        <v>35</v>
      </c>
      <c r="C345" t="s">
        <v>12</v>
      </c>
      <c r="E345">
        <v>0.25</v>
      </c>
      <c r="F345" t="s">
        <v>54</v>
      </c>
      <c r="G345">
        <v>1</v>
      </c>
      <c r="H345">
        <v>1</v>
      </c>
      <c r="I345" t="s">
        <v>1931</v>
      </c>
      <c r="J345" t="s">
        <v>1926</v>
      </c>
      <c r="K345" t="s">
        <v>69</v>
      </c>
      <c r="L345" s="350">
        <v>46240</v>
      </c>
      <c r="M345">
        <v>14</v>
      </c>
      <c r="N345">
        <v>6</v>
      </c>
      <c r="O345" s="351">
        <v>46235</v>
      </c>
      <c r="P345">
        <v>0</v>
      </c>
      <c r="Q345">
        <v>0</v>
      </c>
      <c r="R345">
        <v>10.96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10</v>
      </c>
      <c r="AH345">
        <v>14</v>
      </c>
      <c r="AI345" t="s">
        <v>12</v>
      </c>
    </row>
    <row r="346" spans="1:35" ht="12.5">
      <c r="A346" t="s">
        <v>78</v>
      </c>
      <c r="B346" t="s">
        <v>35</v>
      </c>
      <c r="C346" t="s">
        <v>12</v>
      </c>
      <c r="E346">
        <v>0.25</v>
      </c>
      <c r="F346" t="s">
        <v>54</v>
      </c>
      <c r="G346">
        <v>1</v>
      </c>
      <c r="H346">
        <v>1</v>
      </c>
      <c r="I346" t="s">
        <v>1931</v>
      </c>
      <c r="J346" t="s">
        <v>1926</v>
      </c>
      <c r="K346" t="s">
        <v>69</v>
      </c>
      <c r="L346" s="350">
        <v>46241</v>
      </c>
      <c r="M346">
        <v>15</v>
      </c>
      <c r="N346">
        <v>7</v>
      </c>
      <c r="O346" s="351">
        <v>46235</v>
      </c>
      <c r="P346">
        <v>0</v>
      </c>
      <c r="Q346">
        <v>0</v>
      </c>
      <c r="R346">
        <v>10.96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10</v>
      </c>
      <c r="AH346">
        <v>14</v>
      </c>
      <c r="AI346" t="s">
        <v>12</v>
      </c>
    </row>
    <row r="347" spans="1:35" ht="12.5">
      <c r="A347" t="s">
        <v>78</v>
      </c>
      <c r="B347" t="s">
        <v>35</v>
      </c>
      <c r="C347" t="s">
        <v>12</v>
      </c>
      <c r="E347">
        <v>0.25</v>
      </c>
      <c r="F347" t="s">
        <v>54</v>
      </c>
      <c r="G347">
        <v>1</v>
      </c>
      <c r="H347">
        <v>1</v>
      </c>
      <c r="I347" t="s">
        <v>1931</v>
      </c>
      <c r="J347" t="s">
        <v>1926</v>
      </c>
      <c r="K347" t="s">
        <v>69</v>
      </c>
      <c r="L347" s="350">
        <v>46242</v>
      </c>
      <c r="M347">
        <v>16</v>
      </c>
      <c r="N347">
        <v>8</v>
      </c>
      <c r="O347" s="351">
        <v>46235</v>
      </c>
      <c r="P347">
        <v>0</v>
      </c>
      <c r="Q347">
        <v>0</v>
      </c>
      <c r="R347">
        <v>10.96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10</v>
      </c>
      <c r="AH347">
        <v>14</v>
      </c>
      <c r="AI347" t="s">
        <v>12</v>
      </c>
    </row>
    <row r="348" spans="1:35" ht="12.5">
      <c r="A348" t="s">
        <v>78</v>
      </c>
      <c r="B348" t="s">
        <v>35</v>
      </c>
      <c r="C348" t="s">
        <v>12</v>
      </c>
      <c r="E348">
        <v>0.25</v>
      </c>
      <c r="F348" t="s">
        <v>54</v>
      </c>
      <c r="G348">
        <v>1</v>
      </c>
      <c r="H348">
        <v>1</v>
      </c>
      <c r="I348" t="s">
        <v>1931</v>
      </c>
      <c r="J348" t="s">
        <v>1926</v>
      </c>
      <c r="K348" t="s">
        <v>69</v>
      </c>
      <c r="L348" s="350">
        <v>46243</v>
      </c>
      <c r="M348">
        <v>17</v>
      </c>
      <c r="N348">
        <v>9</v>
      </c>
      <c r="O348" s="351">
        <v>46235</v>
      </c>
      <c r="P348">
        <v>0</v>
      </c>
      <c r="Q348">
        <v>0</v>
      </c>
      <c r="R348">
        <v>10.96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10</v>
      </c>
      <c r="AH348">
        <v>14</v>
      </c>
      <c r="AI348" t="s">
        <v>12</v>
      </c>
    </row>
    <row r="349" spans="1:35" ht="12.5">
      <c r="A349" t="s">
        <v>78</v>
      </c>
      <c r="B349" t="s">
        <v>35</v>
      </c>
      <c r="C349" t="s">
        <v>12</v>
      </c>
      <c r="E349">
        <v>0.25</v>
      </c>
      <c r="F349" t="s">
        <v>54</v>
      </c>
      <c r="G349">
        <v>1</v>
      </c>
      <c r="H349">
        <v>1</v>
      </c>
      <c r="I349" t="s">
        <v>1931</v>
      </c>
      <c r="J349" t="s">
        <v>1926</v>
      </c>
      <c r="K349" t="s">
        <v>69</v>
      </c>
      <c r="L349" s="350">
        <v>46244</v>
      </c>
      <c r="M349">
        <v>18</v>
      </c>
      <c r="N349">
        <v>10</v>
      </c>
      <c r="O349" s="351">
        <v>46235</v>
      </c>
      <c r="P349">
        <v>0</v>
      </c>
      <c r="Q349">
        <v>0</v>
      </c>
      <c r="R349">
        <v>10.96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10</v>
      </c>
      <c r="AH349">
        <v>14</v>
      </c>
      <c r="AI349" t="s">
        <v>12</v>
      </c>
    </row>
    <row r="350" spans="1:35" ht="12.5">
      <c r="A350" t="s">
        <v>78</v>
      </c>
      <c r="B350" t="s">
        <v>35</v>
      </c>
      <c r="C350" t="s">
        <v>12</v>
      </c>
      <c r="E350">
        <v>0.25</v>
      </c>
      <c r="F350" t="s">
        <v>54</v>
      </c>
      <c r="G350">
        <v>1</v>
      </c>
      <c r="H350">
        <v>1</v>
      </c>
      <c r="I350" t="s">
        <v>1931</v>
      </c>
      <c r="J350" t="s">
        <v>1926</v>
      </c>
      <c r="K350" t="s">
        <v>69</v>
      </c>
      <c r="L350" s="350">
        <v>46245</v>
      </c>
      <c r="M350">
        <v>19</v>
      </c>
      <c r="N350">
        <v>11</v>
      </c>
      <c r="O350" s="351">
        <v>46235</v>
      </c>
      <c r="P350">
        <v>0</v>
      </c>
      <c r="Q350">
        <v>0</v>
      </c>
      <c r="R350">
        <v>10.96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10</v>
      </c>
      <c r="AH350">
        <v>14</v>
      </c>
      <c r="AI350" t="s">
        <v>12</v>
      </c>
    </row>
    <row r="351" spans="1:35" ht="12.5">
      <c r="A351" t="s">
        <v>78</v>
      </c>
      <c r="B351" t="s">
        <v>35</v>
      </c>
      <c r="C351" t="s">
        <v>12</v>
      </c>
      <c r="E351">
        <v>0.25</v>
      </c>
      <c r="F351" t="s">
        <v>54</v>
      </c>
      <c r="G351">
        <v>1</v>
      </c>
      <c r="H351">
        <v>1</v>
      </c>
      <c r="I351" t="s">
        <v>1931</v>
      </c>
      <c r="J351" t="s">
        <v>1926</v>
      </c>
      <c r="K351" t="s">
        <v>69</v>
      </c>
      <c r="L351" s="350">
        <v>46246</v>
      </c>
      <c r="M351">
        <v>20</v>
      </c>
      <c r="N351">
        <v>12</v>
      </c>
      <c r="O351" s="351">
        <v>46235</v>
      </c>
      <c r="P351">
        <v>0</v>
      </c>
      <c r="Q351">
        <v>0</v>
      </c>
      <c r="R351">
        <v>10.96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10</v>
      </c>
      <c r="AH351">
        <v>14</v>
      </c>
      <c r="AI351" t="s">
        <v>12</v>
      </c>
    </row>
    <row r="352" spans="1:35" ht="12.5">
      <c r="A352" t="s">
        <v>78</v>
      </c>
      <c r="B352" t="s">
        <v>35</v>
      </c>
      <c r="C352" t="s">
        <v>12</v>
      </c>
      <c r="E352">
        <v>0.25</v>
      </c>
      <c r="F352" t="s">
        <v>54</v>
      </c>
      <c r="G352">
        <v>1</v>
      </c>
      <c r="H352">
        <v>1</v>
      </c>
      <c r="I352" t="s">
        <v>1931</v>
      </c>
      <c r="J352" t="s">
        <v>1926</v>
      </c>
      <c r="K352" t="s">
        <v>69</v>
      </c>
      <c r="L352" s="350">
        <v>46247</v>
      </c>
      <c r="M352">
        <v>21</v>
      </c>
      <c r="N352">
        <v>13</v>
      </c>
      <c r="O352" s="351">
        <v>46235</v>
      </c>
      <c r="P352">
        <v>0</v>
      </c>
      <c r="Q352">
        <v>0</v>
      </c>
      <c r="R352">
        <v>10.96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10</v>
      </c>
      <c r="AH352">
        <v>14</v>
      </c>
      <c r="AI352" t="s">
        <v>12</v>
      </c>
    </row>
    <row r="353" spans="1:35" ht="12.5">
      <c r="A353" t="s">
        <v>78</v>
      </c>
      <c r="B353" t="s">
        <v>35</v>
      </c>
      <c r="C353" t="s">
        <v>12</v>
      </c>
      <c r="E353">
        <v>0.25</v>
      </c>
      <c r="F353" t="s">
        <v>54</v>
      </c>
      <c r="G353">
        <v>1</v>
      </c>
      <c r="H353">
        <v>1</v>
      </c>
      <c r="I353" t="s">
        <v>1931</v>
      </c>
      <c r="J353" t="s">
        <v>1926</v>
      </c>
      <c r="K353" t="s">
        <v>69</v>
      </c>
      <c r="L353" s="350">
        <v>46248</v>
      </c>
      <c r="M353">
        <v>22</v>
      </c>
      <c r="N353">
        <v>14</v>
      </c>
      <c r="O353" s="351">
        <v>46235</v>
      </c>
      <c r="P353">
        <v>0</v>
      </c>
      <c r="Q353">
        <v>0</v>
      </c>
      <c r="R353">
        <v>10.96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10</v>
      </c>
      <c r="AH353">
        <v>14</v>
      </c>
      <c r="AI353" t="s">
        <v>12</v>
      </c>
    </row>
    <row r="354" spans="1:35" ht="12.5">
      <c r="A354" t="s">
        <v>78</v>
      </c>
      <c r="B354" t="s">
        <v>35</v>
      </c>
      <c r="C354" t="s">
        <v>12</v>
      </c>
      <c r="E354">
        <v>0.25</v>
      </c>
      <c r="F354" t="s">
        <v>54</v>
      </c>
      <c r="G354">
        <v>1</v>
      </c>
      <c r="H354">
        <v>1</v>
      </c>
      <c r="I354" t="s">
        <v>1931</v>
      </c>
      <c r="J354" t="s">
        <v>1926</v>
      </c>
      <c r="K354" t="s">
        <v>69</v>
      </c>
      <c r="L354" s="350">
        <v>46249</v>
      </c>
      <c r="M354">
        <v>23</v>
      </c>
      <c r="N354">
        <v>15</v>
      </c>
      <c r="O354" s="351">
        <v>46235</v>
      </c>
      <c r="P354">
        <v>0</v>
      </c>
      <c r="Q354">
        <v>0</v>
      </c>
      <c r="R354">
        <v>10.96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10</v>
      </c>
      <c r="AH354">
        <v>14</v>
      </c>
      <c r="AI354" t="s">
        <v>12</v>
      </c>
    </row>
    <row r="355" spans="1:35" ht="12.5">
      <c r="A355" t="s">
        <v>78</v>
      </c>
      <c r="B355" t="s">
        <v>35</v>
      </c>
      <c r="C355" t="s">
        <v>12</v>
      </c>
      <c r="E355">
        <v>0.25</v>
      </c>
      <c r="F355" t="s">
        <v>54</v>
      </c>
      <c r="G355">
        <v>1</v>
      </c>
      <c r="H355">
        <v>1</v>
      </c>
      <c r="I355" t="s">
        <v>1931</v>
      </c>
      <c r="J355" t="s">
        <v>1926</v>
      </c>
      <c r="K355" t="s">
        <v>69</v>
      </c>
      <c r="L355" s="350">
        <v>46250</v>
      </c>
      <c r="M355">
        <v>24</v>
      </c>
      <c r="N355">
        <v>16</v>
      </c>
      <c r="O355" s="351">
        <v>46235</v>
      </c>
      <c r="P355">
        <v>0</v>
      </c>
      <c r="Q355">
        <v>0</v>
      </c>
      <c r="R355">
        <v>10.96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10</v>
      </c>
      <c r="AH355">
        <v>14</v>
      </c>
      <c r="AI355" t="s">
        <v>12</v>
      </c>
    </row>
    <row r="356" spans="1:35" ht="12.5">
      <c r="A356" t="s">
        <v>78</v>
      </c>
      <c r="B356" t="s">
        <v>35</v>
      </c>
      <c r="C356" t="s">
        <v>12</v>
      </c>
      <c r="E356">
        <v>0.25</v>
      </c>
      <c r="F356" t="s">
        <v>54</v>
      </c>
      <c r="G356">
        <v>1</v>
      </c>
      <c r="H356">
        <v>1</v>
      </c>
      <c r="I356" t="s">
        <v>1931</v>
      </c>
      <c r="J356" t="s">
        <v>1926</v>
      </c>
      <c r="K356" t="s">
        <v>69</v>
      </c>
      <c r="L356" s="350">
        <v>46251</v>
      </c>
      <c r="M356">
        <v>25</v>
      </c>
      <c r="N356">
        <v>17</v>
      </c>
      <c r="O356" s="351">
        <v>46235</v>
      </c>
      <c r="P356">
        <v>0</v>
      </c>
      <c r="Q356">
        <v>0</v>
      </c>
      <c r="R356">
        <v>10.96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10</v>
      </c>
      <c r="AH356">
        <v>14</v>
      </c>
      <c r="AI356" t="s">
        <v>12</v>
      </c>
    </row>
    <row r="357" spans="1:35" ht="12.5">
      <c r="A357" t="s">
        <v>78</v>
      </c>
      <c r="B357" t="s">
        <v>35</v>
      </c>
      <c r="C357" t="s">
        <v>12</v>
      </c>
      <c r="E357">
        <v>0.25</v>
      </c>
      <c r="F357" t="s">
        <v>54</v>
      </c>
      <c r="G357">
        <v>1</v>
      </c>
      <c r="H357">
        <v>1</v>
      </c>
      <c r="I357" t="s">
        <v>1931</v>
      </c>
      <c r="J357" t="s">
        <v>1926</v>
      </c>
      <c r="K357" t="s">
        <v>69</v>
      </c>
      <c r="L357" s="350">
        <v>46252</v>
      </c>
      <c r="M357">
        <v>26</v>
      </c>
      <c r="N357">
        <v>18</v>
      </c>
      <c r="O357" s="351">
        <v>46235</v>
      </c>
      <c r="P357">
        <v>0</v>
      </c>
      <c r="Q357">
        <v>0</v>
      </c>
      <c r="R357">
        <v>10.96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10</v>
      </c>
      <c r="AH357">
        <v>14</v>
      </c>
      <c r="AI357" t="s">
        <v>12</v>
      </c>
    </row>
    <row r="358" spans="1:35" ht="12.5">
      <c r="A358" t="s">
        <v>78</v>
      </c>
      <c r="B358" t="s">
        <v>35</v>
      </c>
      <c r="C358" t="s">
        <v>12</v>
      </c>
      <c r="E358">
        <v>0.25</v>
      </c>
      <c r="F358" t="s">
        <v>54</v>
      </c>
      <c r="G358">
        <v>1</v>
      </c>
      <c r="H358">
        <v>1</v>
      </c>
      <c r="I358" t="s">
        <v>1931</v>
      </c>
      <c r="J358" t="s">
        <v>1926</v>
      </c>
      <c r="K358" t="s">
        <v>69</v>
      </c>
      <c r="L358" s="350">
        <v>46253</v>
      </c>
      <c r="M358">
        <v>27</v>
      </c>
      <c r="N358">
        <v>19</v>
      </c>
      <c r="O358" s="351">
        <v>46235</v>
      </c>
      <c r="P358">
        <v>0</v>
      </c>
      <c r="Q358">
        <v>0</v>
      </c>
      <c r="R358">
        <v>10.96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10</v>
      </c>
      <c r="AH358">
        <v>14</v>
      </c>
      <c r="AI358" t="s">
        <v>12</v>
      </c>
    </row>
    <row r="359" spans="1:35" ht="12.5">
      <c r="A359" t="s">
        <v>78</v>
      </c>
      <c r="B359" t="s">
        <v>35</v>
      </c>
      <c r="C359" t="s">
        <v>12</v>
      </c>
      <c r="E359">
        <v>0.25</v>
      </c>
      <c r="F359" t="s">
        <v>54</v>
      </c>
      <c r="G359">
        <v>1</v>
      </c>
      <c r="H359">
        <v>1</v>
      </c>
      <c r="I359" t="s">
        <v>1931</v>
      </c>
      <c r="J359" t="s">
        <v>1926</v>
      </c>
      <c r="K359" t="s">
        <v>69</v>
      </c>
      <c r="L359" s="350">
        <v>46254</v>
      </c>
      <c r="M359">
        <v>28</v>
      </c>
      <c r="N359">
        <v>20</v>
      </c>
      <c r="O359" s="351">
        <v>46235</v>
      </c>
      <c r="P359">
        <v>0</v>
      </c>
      <c r="Q359">
        <v>0</v>
      </c>
      <c r="R359">
        <v>10.96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10</v>
      </c>
      <c r="AH359">
        <v>14</v>
      </c>
      <c r="AI359" t="s">
        <v>12</v>
      </c>
    </row>
    <row r="360" spans="1:35" ht="12.5">
      <c r="A360" t="s">
        <v>78</v>
      </c>
      <c r="B360" t="s">
        <v>35</v>
      </c>
      <c r="C360" t="s">
        <v>12</v>
      </c>
      <c r="E360">
        <v>0.25</v>
      </c>
      <c r="F360" t="s">
        <v>54</v>
      </c>
      <c r="G360">
        <v>1</v>
      </c>
      <c r="H360">
        <v>1</v>
      </c>
      <c r="I360" t="s">
        <v>1931</v>
      </c>
      <c r="J360" t="s">
        <v>1926</v>
      </c>
      <c r="K360" t="s">
        <v>69</v>
      </c>
      <c r="L360" s="350">
        <v>46255</v>
      </c>
      <c r="M360">
        <v>29</v>
      </c>
      <c r="N360">
        <v>21</v>
      </c>
      <c r="O360" s="351">
        <v>46235</v>
      </c>
      <c r="P360">
        <v>0</v>
      </c>
      <c r="Q360">
        <v>0</v>
      </c>
      <c r="R360">
        <v>10.96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10</v>
      </c>
      <c r="AH360">
        <v>14</v>
      </c>
      <c r="AI360" t="s">
        <v>12</v>
      </c>
    </row>
    <row r="361" spans="1:35" ht="12.5">
      <c r="A361" t="s">
        <v>78</v>
      </c>
      <c r="B361" t="s">
        <v>35</v>
      </c>
      <c r="C361" t="s">
        <v>12</v>
      </c>
      <c r="E361">
        <v>0.25</v>
      </c>
      <c r="F361" t="s">
        <v>54</v>
      </c>
      <c r="G361">
        <v>1</v>
      </c>
      <c r="H361">
        <v>1</v>
      </c>
      <c r="I361" t="s">
        <v>1931</v>
      </c>
      <c r="J361" t="s">
        <v>1926</v>
      </c>
      <c r="K361" t="s">
        <v>69</v>
      </c>
      <c r="L361" s="350">
        <v>46256</v>
      </c>
      <c r="M361">
        <v>30</v>
      </c>
      <c r="N361">
        <v>22</v>
      </c>
      <c r="O361" s="351">
        <v>46235</v>
      </c>
      <c r="P361">
        <v>0</v>
      </c>
      <c r="Q361">
        <v>0</v>
      </c>
      <c r="R361">
        <v>10.96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10</v>
      </c>
      <c r="AH361">
        <v>14</v>
      </c>
      <c r="AI361" t="s">
        <v>12</v>
      </c>
    </row>
    <row r="362" spans="1:35" ht="12.5">
      <c r="A362" t="s">
        <v>67</v>
      </c>
      <c r="B362" t="s">
        <v>9</v>
      </c>
      <c r="C362" t="s">
        <v>12</v>
      </c>
      <c r="E362">
        <v>0.2</v>
      </c>
      <c r="F362" t="s">
        <v>54</v>
      </c>
      <c r="G362">
        <v>1</v>
      </c>
      <c r="H362">
        <v>1</v>
      </c>
      <c r="I362" t="s">
        <v>1935</v>
      </c>
      <c r="J362" t="s">
        <v>1929</v>
      </c>
      <c r="L362" s="350">
        <v>46227</v>
      </c>
      <c r="M362">
        <v>1</v>
      </c>
      <c r="N362">
        <v>24</v>
      </c>
      <c r="O362" s="351">
        <v>46204</v>
      </c>
      <c r="P362">
        <v>1</v>
      </c>
      <c r="Q362">
        <v>0</v>
      </c>
      <c r="R362">
        <v>7.12</v>
      </c>
      <c r="S362">
        <v>1</v>
      </c>
      <c r="T362">
        <v>178</v>
      </c>
      <c r="U362">
        <v>0</v>
      </c>
      <c r="V362">
        <v>178</v>
      </c>
      <c r="W362">
        <v>0</v>
      </c>
      <c r="X362">
        <v>0</v>
      </c>
      <c r="Y362">
        <v>178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10</v>
      </c>
      <c r="AH362">
        <v>15</v>
      </c>
      <c r="AI362" t="s">
        <v>12</v>
      </c>
    </row>
    <row r="363" spans="1:35" ht="12.5">
      <c r="A363" t="s">
        <v>67</v>
      </c>
      <c r="B363" t="s">
        <v>9</v>
      </c>
      <c r="C363" t="s">
        <v>12</v>
      </c>
      <c r="E363">
        <v>0.2</v>
      </c>
      <c r="F363" t="s">
        <v>54</v>
      </c>
      <c r="G363">
        <v>1</v>
      </c>
      <c r="H363">
        <v>1</v>
      </c>
      <c r="I363" t="s">
        <v>1935</v>
      </c>
      <c r="J363" t="s">
        <v>1929</v>
      </c>
      <c r="L363" s="350">
        <v>46228</v>
      </c>
      <c r="M363">
        <v>2</v>
      </c>
      <c r="N363">
        <v>25</v>
      </c>
      <c r="O363" s="351">
        <v>46204</v>
      </c>
      <c r="P363">
        <v>1</v>
      </c>
      <c r="Q363">
        <v>0</v>
      </c>
      <c r="R363">
        <v>7.12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10</v>
      </c>
      <c r="AH363">
        <v>15</v>
      </c>
      <c r="AI363" t="s">
        <v>12</v>
      </c>
    </row>
    <row r="364" spans="1:35" ht="12.5">
      <c r="A364" t="s">
        <v>67</v>
      </c>
      <c r="B364" t="s">
        <v>9</v>
      </c>
      <c r="C364" t="s">
        <v>12</v>
      </c>
      <c r="E364">
        <v>0.2</v>
      </c>
      <c r="F364" t="s">
        <v>54</v>
      </c>
      <c r="G364">
        <v>1</v>
      </c>
      <c r="H364">
        <v>1</v>
      </c>
      <c r="I364" t="s">
        <v>1935</v>
      </c>
      <c r="J364" t="s">
        <v>1929</v>
      </c>
      <c r="L364" s="350">
        <v>46229</v>
      </c>
      <c r="M364">
        <v>3</v>
      </c>
      <c r="N364">
        <v>26</v>
      </c>
      <c r="O364" s="351">
        <v>46204</v>
      </c>
      <c r="P364">
        <v>1</v>
      </c>
      <c r="Q364">
        <v>0</v>
      </c>
      <c r="R364">
        <v>7.12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10</v>
      </c>
      <c r="AH364">
        <v>15</v>
      </c>
      <c r="AI364" t="s">
        <v>12</v>
      </c>
    </row>
    <row r="365" spans="1:35" ht="12.5">
      <c r="A365" t="s">
        <v>67</v>
      </c>
      <c r="B365" t="s">
        <v>9</v>
      </c>
      <c r="C365" t="s">
        <v>12</v>
      </c>
      <c r="E365">
        <v>0.2</v>
      </c>
      <c r="F365" t="s">
        <v>54</v>
      </c>
      <c r="G365">
        <v>1</v>
      </c>
      <c r="H365">
        <v>1</v>
      </c>
      <c r="I365" t="s">
        <v>1935</v>
      </c>
      <c r="J365" t="s">
        <v>1929</v>
      </c>
      <c r="L365" s="350">
        <v>46230</v>
      </c>
      <c r="M365">
        <v>4</v>
      </c>
      <c r="N365">
        <v>27</v>
      </c>
      <c r="O365" s="351">
        <v>46204</v>
      </c>
      <c r="P365">
        <v>1</v>
      </c>
      <c r="Q365">
        <v>0</v>
      </c>
      <c r="R365">
        <v>7.12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10</v>
      </c>
      <c r="AH365">
        <v>15</v>
      </c>
      <c r="AI365" t="s">
        <v>12</v>
      </c>
    </row>
    <row r="366" spans="1:35" ht="12.5">
      <c r="A366" t="s">
        <v>67</v>
      </c>
      <c r="B366" t="s">
        <v>9</v>
      </c>
      <c r="C366" t="s">
        <v>12</v>
      </c>
      <c r="E366">
        <v>0.2</v>
      </c>
      <c r="F366" t="s">
        <v>54</v>
      </c>
      <c r="G366">
        <v>1</v>
      </c>
      <c r="H366">
        <v>1</v>
      </c>
      <c r="I366" t="s">
        <v>1935</v>
      </c>
      <c r="J366" t="s">
        <v>1929</v>
      </c>
      <c r="L366" s="350">
        <v>46231</v>
      </c>
      <c r="M366">
        <v>5</v>
      </c>
      <c r="N366">
        <v>28</v>
      </c>
      <c r="O366" s="351">
        <v>46204</v>
      </c>
      <c r="P366">
        <v>1</v>
      </c>
      <c r="Q366">
        <v>0</v>
      </c>
      <c r="R366">
        <v>7.12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10</v>
      </c>
      <c r="AH366">
        <v>15</v>
      </c>
      <c r="AI366" t="s">
        <v>12</v>
      </c>
    </row>
    <row r="367" spans="1:35" ht="12.5">
      <c r="A367" t="s">
        <v>67</v>
      </c>
      <c r="B367" t="s">
        <v>9</v>
      </c>
      <c r="C367" t="s">
        <v>12</v>
      </c>
      <c r="E367">
        <v>0.2</v>
      </c>
      <c r="F367" t="s">
        <v>54</v>
      </c>
      <c r="G367">
        <v>1</v>
      </c>
      <c r="H367">
        <v>1</v>
      </c>
      <c r="I367" t="s">
        <v>1935</v>
      </c>
      <c r="J367" t="s">
        <v>1929</v>
      </c>
      <c r="L367" s="350">
        <v>46232</v>
      </c>
      <c r="M367">
        <v>6</v>
      </c>
      <c r="N367">
        <v>29</v>
      </c>
      <c r="O367" s="351">
        <v>46204</v>
      </c>
      <c r="P367">
        <v>1</v>
      </c>
      <c r="Q367">
        <v>0</v>
      </c>
      <c r="R367">
        <v>7.12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10</v>
      </c>
      <c r="AH367">
        <v>15</v>
      </c>
      <c r="AI367" t="s">
        <v>12</v>
      </c>
    </row>
    <row r="368" spans="1:35" ht="12.5">
      <c r="A368" t="s">
        <v>67</v>
      </c>
      <c r="B368" t="s">
        <v>9</v>
      </c>
      <c r="C368" t="s">
        <v>12</v>
      </c>
      <c r="E368">
        <v>0.2</v>
      </c>
      <c r="F368" t="s">
        <v>54</v>
      </c>
      <c r="G368">
        <v>1</v>
      </c>
      <c r="H368">
        <v>1</v>
      </c>
      <c r="I368" t="s">
        <v>1935</v>
      </c>
      <c r="J368" t="s">
        <v>1929</v>
      </c>
      <c r="L368" s="350">
        <v>46233</v>
      </c>
      <c r="M368">
        <v>7</v>
      </c>
      <c r="N368">
        <v>30</v>
      </c>
      <c r="O368" s="351">
        <v>46204</v>
      </c>
      <c r="P368">
        <v>1</v>
      </c>
      <c r="Q368">
        <v>0</v>
      </c>
      <c r="R368">
        <v>7.12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10</v>
      </c>
      <c r="AH368">
        <v>15</v>
      </c>
      <c r="AI368" t="s">
        <v>12</v>
      </c>
    </row>
    <row r="369" spans="1:35" ht="12.5">
      <c r="A369" t="s">
        <v>67</v>
      </c>
      <c r="B369" t="s">
        <v>9</v>
      </c>
      <c r="C369" t="s">
        <v>12</v>
      </c>
      <c r="E369">
        <v>0.2</v>
      </c>
      <c r="F369" t="s">
        <v>54</v>
      </c>
      <c r="G369">
        <v>1</v>
      </c>
      <c r="H369">
        <v>1</v>
      </c>
      <c r="I369" t="s">
        <v>1935</v>
      </c>
      <c r="J369" t="s">
        <v>1929</v>
      </c>
      <c r="L369" s="350">
        <v>46234</v>
      </c>
      <c r="M369">
        <v>8</v>
      </c>
      <c r="N369">
        <v>31</v>
      </c>
      <c r="O369" s="351">
        <v>46204</v>
      </c>
      <c r="P369">
        <v>1</v>
      </c>
      <c r="Q369">
        <v>0</v>
      </c>
      <c r="R369">
        <v>7.12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10</v>
      </c>
      <c r="AH369">
        <v>15</v>
      </c>
      <c r="AI369" t="s">
        <v>12</v>
      </c>
    </row>
    <row r="370" spans="1:35" ht="12.5">
      <c r="A370" t="s">
        <v>67</v>
      </c>
      <c r="B370" t="s">
        <v>9</v>
      </c>
      <c r="C370" t="s">
        <v>12</v>
      </c>
      <c r="E370">
        <v>0.2</v>
      </c>
      <c r="F370" t="s">
        <v>54</v>
      </c>
      <c r="G370">
        <v>1</v>
      </c>
      <c r="H370">
        <v>1</v>
      </c>
      <c r="I370" t="s">
        <v>1935</v>
      </c>
      <c r="J370" t="s">
        <v>1929</v>
      </c>
      <c r="L370" s="350">
        <v>46235</v>
      </c>
      <c r="M370">
        <v>9</v>
      </c>
      <c r="N370">
        <v>1</v>
      </c>
      <c r="O370" s="351">
        <v>46235</v>
      </c>
      <c r="P370">
        <v>1</v>
      </c>
      <c r="Q370">
        <v>0</v>
      </c>
      <c r="R370">
        <v>7.12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10</v>
      </c>
      <c r="AH370">
        <v>15</v>
      </c>
      <c r="AI370" t="s">
        <v>12</v>
      </c>
    </row>
    <row r="371" spans="1:35" ht="12.5">
      <c r="A371" t="s">
        <v>67</v>
      </c>
      <c r="B371" t="s">
        <v>9</v>
      </c>
      <c r="C371" t="s">
        <v>12</v>
      </c>
      <c r="E371">
        <v>0.2</v>
      </c>
      <c r="F371" t="s">
        <v>54</v>
      </c>
      <c r="G371">
        <v>1</v>
      </c>
      <c r="H371">
        <v>1</v>
      </c>
      <c r="I371" t="s">
        <v>1935</v>
      </c>
      <c r="J371" t="s">
        <v>1929</v>
      </c>
      <c r="L371" s="350">
        <v>46236</v>
      </c>
      <c r="M371">
        <v>10</v>
      </c>
      <c r="N371">
        <v>2</v>
      </c>
      <c r="O371" s="351">
        <v>46235</v>
      </c>
      <c r="P371">
        <v>1</v>
      </c>
      <c r="Q371">
        <v>0</v>
      </c>
      <c r="R371">
        <v>7.12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10</v>
      </c>
      <c r="AH371">
        <v>15</v>
      </c>
      <c r="AI371" t="s">
        <v>12</v>
      </c>
    </row>
    <row r="372" spans="1:35" ht="12.5">
      <c r="A372" t="s">
        <v>67</v>
      </c>
      <c r="B372" t="s">
        <v>9</v>
      </c>
      <c r="C372" t="s">
        <v>12</v>
      </c>
      <c r="E372">
        <v>0.2</v>
      </c>
      <c r="F372" t="s">
        <v>54</v>
      </c>
      <c r="G372">
        <v>1</v>
      </c>
      <c r="H372">
        <v>1</v>
      </c>
      <c r="I372" t="s">
        <v>1935</v>
      </c>
      <c r="J372" t="s">
        <v>1929</v>
      </c>
      <c r="L372" s="350">
        <v>46237</v>
      </c>
      <c r="M372">
        <v>11</v>
      </c>
      <c r="N372">
        <v>3</v>
      </c>
      <c r="O372" s="351">
        <v>46235</v>
      </c>
      <c r="P372">
        <v>1</v>
      </c>
      <c r="Q372">
        <v>0</v>
      </c>
      <c r="R372">
        <v>7.12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10</v>
      </c>
      <c r="AH372">
        <v>15</v>
      </c>
      <c r="AI372" t="s">
        <v>12</v>
      </c>
    </row>
    <row r="373" spans="1:35" ht="12.5">
      <c r="A373" t="s">
        <v>67</v>
      </c>
      <c r="B373" t="s">
        <v>9</v>
      </c>
      <c r="C373" t="s">
        <v>12</v>
      </c>
      <c r="E373">
        <v>0.2</v>
      </c>
      <c r="F373" t="s">
        <v>54</v>
      </c>
      <c r="G373">
        <v>1</v>
      </c>
      <c r="H373">
        <v>1</v>
      </c>
      <c r="I373" t="s">
        <v>1935</v>
      </c>
      <c r="J373" t="s">
        <v>1929</v>
      </c>
      <c r="L373" s="350">
        <v>46238</v>
      </c>
      <c r="M373">
        <v>12</v>
      </c>
      <c r="N373">
        <v>4</v>
      </c>
      <c r="O373" s="351">
        <v>46235</v>
      </c>
      <c r="P373">
        <v>0</v>
      </c>
      <c r="Q373">
        <v>0</v>
      </c>
      <c r="R373">
        <v>7.12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10</v>
      </c>
      <c r="AH373">
        <v>15</v>
      </c>
      <c r="AI373" t="s">
        <v>12</v>
      </c>
    </row>
    <row r="374" spans="1:35" ht="12.5">
      <c r="A374" t="s">
        <v>67</v>
      </c>
      <c r="B374" t="s">
        <v>9</v>
      </c>
      <c r="C374" t="s">
        <v>12</v>
      </c>
      <c r="E374">
        <v>0.2</v>
      </c>
      <c r="F374" t="s">
        <v>54</v>
      </c>
      <c r="G374">
        <v>1</v>
      </c>
      <c r="H374">
        <v>1</v>
      </c>
      <c r="I374" t="s">
        <v>1935</v>
      </c>
      <c r="J374" t="s">
        <v>1929</v>
      </c>
      <c r="L374" s="350">
        <v>46239</v>
      </c>
      <c r="M374">
        <v>13</v>
      </c>
      <c r="N374">
        <v>5</v>
      </c>
      <c r="O374" s="351">
        <v>46235</v>
      </c>
      <c r="P374">
        <v>0</v>
      </c>
      <c r="Q374">
        <v>0</v>
      </c>
      <c r="R374">
        <v>7.12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10</v>
      </c>
      <c r="AH374">
        <v>15</v>
      </c>
      <c r="AI374" t="s">
        <v>12</v>
      </c>
    </row>
    <row r="375" spans="1:35" ht="12.5">
      <c r="A375" t="s">
        <v>67</v>
      </c>
      <c r="B375" t="s">
        <v>9</v>
      </c>
      <c r="C375" t="s">
        <v>12</v>
      </c>
      <c r="E375">
        <v>0.2</v>
      </c>
      <c r="F375" t="s">
        <v>54</v>
      </c>
      <c r="G375">
        <v>1</v>
      </c>
      <c r="H375">
        <v>1</v>
      </c>
      <c r="I375" t="s">
        <v>1935</v>
      </c>
      <c r="J375" t="s">
        <v>1929</v>
      </c>
      <c r="L375" s="350">
        <v>46240</v>
      </c>
      <c r="M375">
        <v>14</v>
      </c>
      <c r="N375">
        <v>6</v>
      </c>
      <c r="O375" s="351">
        <v>46235</v>
      </c>
      <c r="P375">
        <v>0</v>
      </c>
      <c r="Q375">
        <v>0</v>
      </c>
      <c r="R375">
        <v>7.12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10</v>
      </c>
      <c r="AH375">
        <v>15</v>
      </c>
      <c r="AI375" t="s">
        <v>12</v>
      </c>
    </row>
    <row r="376" spans="1:35" ht="12.5">
      <c r="A376" t="s">
        <v>67</v>
      </c>
      <c r="B376" t="s">
        <v>9</v>
      </c>
      <c r="C376" t="s">
        <v>12</v>
      </c>
      <c r="E376">
        <v>0.2</v>
      </c>
      <c r="F376" t="s">
        <v>54</v>
      </c>
      <c r="G376">
        <v>1</v>
      </c>
      <c r="H376">
        <v>1</v>
      </c>
      <c r="I376" t="s">
        <v>1935</v>
      </c>
      <c r="J376" t="s">
        <v>1929</v>
      </c>
      <c r="L376" s="350">
        <v>46241</v>
      </c>
      <c r="M376">
        <v>15</v>
      </c>
      <c r="N376">
        <v>7</v>
      </c>
      <c r="O376" s="351">
        <v>46235</v>
      </c>
      <c r="P376">
        <v>0</v>
      </c>
      <c r="Q376">
        <v>0</v>
      </c>
      <c r="R376">
        <v>7.12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10</v>
      </c>
      <c r="AH376">
        <v>15</v>
      </c>
      <c r="AI376" t="s">
        <v>12</v>
      </c>
    </row>
    <row r="377" spans="1:35" ht="12.5">
      <c r="A377" t="s">
        <v>67</v>
      </c>
      <c r="B377" t="s">
        <v>9</v>
      </c>
      <c r="C377" t="s">
        <v>12</v>
      </c>
      <c r="E377">
        <v>0.2</v>
      </c>
      <c r="F377" t="s">
        <v>54</v>
      </c>
      <c r="G377">
        <v>1</v>
      </c>
      <c r="H377">
        <v>1</v>
      </c>
      <c r="I377" t="s">
        <v>1935</v>
      </c>
      <c r="J377" t="s">
        <v>1929</v>
      </c>
      <c r="L377" s="350">
        <v>46242</v>
      </c>
      <c r="M377">
        <v>16</v>
      </c>
      <c r="N377">
        <v>8</v>
      </c>
      <c r="O377" s="351">
        <v>46235</v>
      </c>
      <c r="P377">
        <v>0</v>
      </c>
      <c r="Q377">
        <v>0</v>
      </c>
      <c r="R377">
        <v>7.12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10</v>
      </c>
      <c r="AH377">
        <v>15</v>
      </c>
      <c r="AI377" t="s">
        <v>12</v>
      </c>
    </row>
    <row r="378" spans="1:35" ht="12.5">
      <c r="A378" t="s">
        <v>67</v>
      </c>
      <c r="B378" t="s">
        <v>9</v>
      </c>
      <c r="C378" t="s">
        <v>12</v>
      </c>
      <c r="E378">
        <v>0.2</v>
      </c>
      <c r="F378" t="s">
        <v>54</v>
      </c>
      <c r="G378">
        <v>1</v>
      </c>
      <c r="H378">
        <v>1</v>
      </c>
      <c r="I378" t="s">
        <v>1935</v>
      </c>
      <c r="J378" t="s">
        <v>1929</v>
      </c>
      <c r="L378" s="350">
        <v>46243</v>
      </c>
      <c r="M378">
        <v>17</v>
      </c>
      <c r="N378">
        <v>9</v>
      </c>
      <c r="O378" s="351">
        <v>46235</v>
      </c>
      <c r="P378">
        <v>0</v>
      </c>
      <c r="Q378">
        <v>0</v>
      </c>
      <c r="R378">
        <v>7.12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10</v>
      </c>
      <c r="AH378">
        <v>15</v>
      </c>
      <c r="AI378" t="s">
        <v>12</v>
      </c>
    </row>
    <row r="379" spans="1:35" ht="12.5">
      <c r="A379" t="s">
        <v>67</v>
      </c>
      <c r="B379" t="s">
        <v>9</v>
      </c>
      <c r="C379" t="s">
        <v>12</v>
      </c>
      <c r="E379">
        <v>0.2</v>
      </c>
      <c r="F379" t="s">
        <v>54</v>
      </c>
      <c r="G379">
        <v>1</v>
      </c>
      <c r="H379">
        <v>1</v>
      </c>
      <c r="I379" t="s">
        <v>1935</v>
      </c>
      <c r="J379" t="s">
        <v>1929</v>
      </c>
      <c r="L379" s="350">
        <v>46244</v>
      </c>
      <c r="M379">
        <v>18</v>
      </c>
      <c r="N379">
        <v>10</v>
      </c>
      <c r="O379" s="351">
        <v>46235</v>
      </c>
      <c r="P379">
        <v>0</v>
      </c>
      <c r="Q379">
        <v>0</v>
      </c>
      <c r="R379">
        <v>7.12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10</v>
      </c>
      <c r="AH379">
        <v>15</v>
      </c>
      <c r="AI379" t="s">
        <v>12</v>
      </c>
    </row>
    <row r="380" spans="1:35" ht="12.5">
      <c r="A380" t="s">
        <v>67</v>
      </c>
      <c r="B380" t="s">
        <v>9</v>
      </c>
      <c r="C380" t="s">
        <v>12</v>
      </c>
      <c r="E380">
        <v>0.2</v>
      </c>
      <c r="F380" t="s">
        <v>54</v>
      </c>
      <c r="G380">
        <v>1</v>
      </c>
      <c r="H380">
        <v>1</v>
      </c>
      <c r="I380" t="s">
        <v>1935</v>
      </c>
      <c r="J380" t="s">
        <v>1929</v>
      </c>
      <c r="L380" s="350">
        <v>46245</v>
      </c>
      <c r="M380">
        <v>19</v>
      </c>
      <c r="N380">
        <v>11</v>
      </c>
      <c r="O380" s="351">
        <v>46235</v>
      </c>
      <c r="P380">
        <v>0</v>
      </c>
      <c r="Q380">
        <v>0</v>
      </c>
      <c r="R380">
        <v>7.12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10</v>
      </c>
      <c r="AH380">
        <v>15</v>
      </c>
      <c r="AI380" t="s">
        <v>12</v>
      </c>
    </row>
    <row r="381" spans="1:35" ht="12.5">
      <c r="A381" t="s">
        <v>67</v>
      </c>
      <c r="B381" t="s">
        <v>9</v>
      </c>
      <c r="C381" t="s">
        <v>12</v>
      </c>
      <c r="E381">
        <v>0.2</v>
      </c>
      <c r="F381" t="s">
        <v>54</v>
      </c>
      <c r="G381">
        <v>1</v>
      </c>
      <c r="H381">
        <v>1</v>
      </c>
      <c r="I381" t="s">
        <v>1935</v>
      </c>
      <c r="J381" t="s">
        <v>1929</v>
      </c>
      <c r="L381" s="350">
        <v>46246</v>
      </c>
      <c r="M381">
        <v>20</v>
      </c>
      <c r="N381">
        <v>12</v>
      </c>
      <c r="O381" s="351">
        <v>46235</v>
      </c>
      <c r="P381">
        <v>0</v>
      </c>
      <c r="Q381">
        <v>0</v>
      </c>
      <c r="R381">
        <v>7.12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10</v>
      </c>
      <c r="AH381">
        <v>15</v>
      </c>
      <c r="AI381" t="s">
        <v>12</v>
      </c>
    </row>
    <row r="382" spans="1:35" ht="12.5">
      <c r="A382" t="s">
        <v>67</v>
      </c>
      <c r="B382" t="s">
        <v>9</v>
      </c>
      <c r="C382" t="s">
        <v>12</v>
      </c>
      <c r="E382">
        <v>0.2</v>
      </c>
      <c r="F382" t="s">
        <v>54</v>
      </c>
      <c r="G382">
        <v>1</v>
      </c>
      <c r="H382">
        <v>1</v>
      </c>
      <c r="I382" t="s">
        <v>1935</v>
      </c>
      <c r="J382" t="s">
        <v>1929</v>
      </c>
      <c r="L382" s="350">
        <v>46247</v>
      </c>
      <c r="M382">
        <v>21</v>
      </c>
      <c r="N382">
        <v>13</v>
      </c>
      <c r="O382" s="351">
        <v>46235</v>
      </c>
      <c r="P382">
        <v>0</v>
      </c>
      <c r="Q382">
        <v>0</v>
      </c>
      <c r="R382">
        <v>7.12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10</v>
      </c>
      <c r="AH382">
        <v>15</v>
      </c>
      <c r="AI382" t="s">
        <v>12</v>
      </c>
    </row>
    <row r="383" spans="1:35" ht="12.5">
      <c r="A383" t="s">
        <v>67</v>
      </c>
      <c r="B383" t="s">
        <v>9</v>
      </c>
      <c r="C383" t="s">
        <v>12</v>
      </c>
      <c r="E383">
        <v>0.2</v>
      </c>
      <c r="F383" t="s">
        <v>54</v>
      </c>
      <c r="G383">
        <v>1</v>
      </c>
      <c r="H383">
        <v>1</v>
      </c>
      <c r="I383" t="s">
        <v>1935</v>
      </c>
      <c r="J383" t="s">
        <v>1929</v>
      </c>
      <c r="L383" s="350">
        <v>46248</v>
      </c>
      <c r="M383">
        <v>22</v>
      </c>
      <c r="N383">
        <v>14</v>
      </c>
      <c r="O383" s="351">
        <v>46235</v>
      </c>
      <c r="P383">
        <v>0</v>
      </c>
      <c r="Q383">
        <v>0</v>
      </c>
      <c r="R383">
        <v>7.12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10</v>
      </c>
      <c r="AH383">
        <v>15</v>
      </c>
      <c r="AI383" t="s">
        <v>12</v>
      </c>
    </row>
    <row r="384" spans="1:35" ht="12.5">
      <c r="A384" t="s">
        <v>67</v>
      </c>
      <c r="B384" t="s">
        <v>9</v>
      </c>
      <c r="C384" t="s">
        <v>12</v>
      </c>
      <c r="E384">
        <v>0.2</v>
      </c>
      <c r="F384" t="s">
        <v>54</v>
      </c>
      <c r="G384">
        <v>1</v>
      </c>
      <c r="H384">
        <v>1</v>
      </c>
      <c r="I384" t="s">
        <v>1935</v>
      </c>
      <c r="J384" t="s">
        <v>1929</v>
      </c>
      <c r="L384" s="350">
        <v>46249</v>
      </c>
      <c r="M384">
        <v>23</v>
      </c>
      <c r="N384">
        <v>15</v>
      </c>
      <c r="O384" s="351">
        <v>46235</v>
      </c>
      <c r="P384">
        <v>0</v>
      </c>
      <c r="Q384">
        <v>0</v>
      </c>
      <c r="R384">
        <v>7.12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10</v>
      </c>
      <c r="AH384">
        <v>15</v>
      </c>
      <c r="AI384" t="s">
        <v>12</v>
      </c>
    </row>
    <row r="385" spans="1:35" ht="12.5">
      <c r="A385" t="s">
        <v>67</v>
      </c>
      <c r="B385" t="s">
        <v>9</v>
      </c>
      <c r="C385" t="s">
        <v>12</v>
      </c>
      <c r="E385">
        <v>0.2</v>
      </c>
      <c r="F385" t="s">
        <v>54</v>
      </c>
      <c r="G385">
        <v>1</v>
      </c>
      <c r="H385">
        <v>1</v>
      </c>
      <c r="I385" t="s">
        <v>1935</v>
      </c>
      <c r="J385" t="s">
        <v>1929</v>
      </c>
      <c r="L385" s="350">
        <v>46250</v>
      </c>
      <c r="M385">
        <v>24</v>
      </c>
      <c r="N385">
        <v>16</v>
      </c>
      <c r="O385" s="351">
        <v>46235</v>
      </c>
      <c r="P385">
        <v>0</v>
      </c>
      <c r="Q385">
        <v>0</v>
      </c>
      <c r="R385">
        <v>7.12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10</v>
      </c>
      <c r="AH385">
        <v>15</v>
      </c>
      <c r="AI385" t="s">
        <v>12</v>
      </c>
    </row>
    <row r="386" spans="1:35" ht="12.5">
      <c r="A386" t="s">
        <v>67</v>
      </c>
      <c r="B386" t="s">
        <v>9</v>
      </c>
      <c r="C386" t="s">
        <v>12</v>
      </c>
      <c r="E386">
        <v>0.2</v>
      </c>
      <c r="F386" t="s">
        <v>54</v>
      </c>
      <c r="G386">
        <v>1</v>
      </c>
      <c r="H386">
        <v>1</v>
      </c>
      <c r="I386" t="s">
        <v>1935</v>
      </c>
      <c r="J386" t="s">
        <v>1929</v>
      </c>
      <c r="L386" s="350">
        <v>46251</v>
      </c>
      <c r="M386">
        <v>25</v>
      </c>
      <c r="N386">
        <v>17</v>
      </c>
      <c r="O386" s="351">
        <v>46235</v>
      </c>
      <c r="P386">
        <v>0</v>
      </c>
      <c r="Q386">
        <v>0</v>
      </c>
      <c r="R386">
        <v>7.12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10</v>
      </c>
      <c r="AH386">
        <v>15</v>
      </c>
      <c r="AI386" t="s">
        <v>12</v>
      </c>
    </row>
    <row r="387" spans="1:35" ht="12.5">
      <c r="A387" t="s">
        <v>67</v>
      </c>
      <c r="B387" t="s">
        <v>9</v>
      </c>
      <c r="C387" t="s">
        <v>12</v>
      </c>
      <c r="E387">
        <v>0.2</v>
      </c>
      <c r="F387" t="s">
        <v>54</v>
      </c>
      <c r="G387">
        <v>1</v>
      </c>
      <c r="H387">
        <v>1</v>
      </c>
      <c r="I387" t="s">
        <v>1935</v>
      </c>
      <c r="J387" t="s">
        <v>1929</v>
      </c>
      <c r="L387" s="350">
        <v>46252</v>
      </c>
      <c r="M387">
        <v>26</v>
      </c>
      <c r="N387">
        <v>18</v>
      </c>
      <c r="O387" s="351">
        <v>46235</v>
      </c>
      <c r="P387">
        <v>0</v>
      </c>
      <c r="Q387">
        <v>0</v>
      </c>
      <c r="R387">
        <v>7.12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10</v>
      </c>
      <c r="AH387">
        <v>15</v>
      </c>
      <c r="AI387" t="s">
        <v>12</v>
      </c>
    </row>
    <row r="388" spans="1:35" ht="12.5">
      <c r="A388" t="s">
        <v>67</v>
      </c>
      <c r="B388" t="s">
        <v>9</v>
      </c>
      <c r="C388" t="s">
        <v>12</v>
      </c>
      <c r="E388">
        <v>0.2</v>
      </c>
      <c r="F388" t="s">
        <v>54</v>
      </c>
      <c r="G388">
        <v>1</v>
      </c>
      <c r="H388">
        <v>1</v>
      </c>
      <c r="I388" t="s">
        <v>1935</v>
      </c>
      <c r="J388" t="s">
        <v>1929</v>
      </c>
      <c r="L388" s="350">
        <v>46253</v>
      </c>
      <c r="M388">
        <v>27</v>
      </c>
      <c r="N388">
        <v>19</v>
      </c>
      <c r="O388" s="351">
        <v>46235</v>
      </c>
      <c r="P388">
        <v>0</v>
      </c>
      <c r="Q388">
        <v>0</v>
      </c>
      <c r="R388">
        <v>7.12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10</v>
      </c>
      <c r="AH388">
        <v>15</v>
      </c>
      <c r="AI388" t="s">
        <v>12</v>
      </c>
    </row>
    <row r="389" spans="1:35" ht="12.5">
      <c r="A389" t="s">
        <v>67</v>
      </c>
      <c r="B389" t="s">
        <v>9</v>
      </c>
      <c r="C389" t="s">
        <v>12</v>
      </c>
      <c r="E389">
        <v>0.2</v>
      </c>
      <c r="F389" t="s">
        <v>54</v>
      </c>
      <c r="G389">
        <v>1</v>
      </c>
      <c r="H389">
        <v>1</v>
      </c>
      <c r="I389" t="s">
        <v>1935</v>
      </c>
      <c r="J389" t="s">
        <v>1929</v>
      </c>
      <c r="L389" s="350">
        <v>46254</v>
      </c>
      <c r="M389">
        <v>28</v>
      </c>
      <c r="N389">
        <v>20</v>
      </c>
      <c r="O389" s="351">
        <v>46235</v>
      </c>
      <c r="P389">
        <v>0</v>
      </c>
      <c r="Q389">
        <v>0</v>
      </c>
      <c r="R389">
        <v>7.12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10</v>
      </c>
      <c r="AH389">
        <v>15</v>
      </c>
      <c r="AI389" t="s">
        <v>12</v>
      </c>
    </row>
    <row r="390" spans="1:35" ht="12.5">
      <c r="A390" t="s">
        <v>67</v>
      </c>
      <c r="B390" t="s">
        <v>9</v>
      </c>
      <c r="C390" t="s">
        <v>12</v>
      </c>
      <c r="E390">
        <v>0.2</v>
      </c>
      <c r="F390" t="s">
        <v>54</v>
      </c>
      <c r="G390">
        <v>1</v>
      </c>
      <c r="H390">
        <v>1</v>
      </c>
      <c r="I390" t="s">
        <v>1935</v>
      </c>
      <c r="J390" t="s">
        <v>1929</v>
      </c>
      <c r="L390" s="350">
        <v>46255</v>
      </c>
      <c r="M390">
        <v>29</v>
      </c>
      <c r="N390">
        <v>21</v>
      </c>
      <c r="O390" s="351">
        <v>46235</v>
      </c>
      <c r="P390">
        <v>0</v>
      </c>
      <c r="Q390">
        <v>0</v>
      </c>
      <c r="R390">
        <v>7.12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10</v>
      </c>
      <c r="AH390">
        <v>15</v>
      </c>
      <c r="AI390" t="s">
        <v>12</v>
      </c>
    </row>
    <row r="391" spans="1:35" ht="12.5">
      <c r="A391" t="s">
        <v>67</v>
      </c>
      <c r="B391" t="s">
        <v>9</v>
      </c>
      <c r="C391" t="s">
        <v>12</v>
      </c>
      <c r="E391">
        <v>0.2</v>
      </c>
      <c r="F391" t="s">
        <v>54</v>
      </c>
      <c r="G391">
        <v>1</v>
      </c>
      <c r="H391">
        <v>1</v>
      </c>
      <c r="I391" t="s">
        <v>1935</v>
      </c>
      <c r="J391" t="s">
        <v>1929</v>
      </c>
      <c r="L391" s="350">
        <v>46256</v>
      </c>
      <c r="M391">
        <v>30</v>
      </c>
      <c r="N391">
        <v>22</v>
      </c>
      <c r="O391" s="351">
        <v>46235</v>
      </c>
      <c r="P391">
        <v>0</v>
      </c>
      <c r="Q391">
        <v>0</v>
      </c>
      <c r="R391">
        <v>7.12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10</v>
      </c>
      <c r="AH391">
        <v>15</v>
      </c>
      <c r="AI391" t="s">
        <v>12</v>
      </c>
    </row>
    <row r="392" spans="1:35" ht="12.5">
      <c r="A392" t="s">
        <v>71</v>
      </c>
      <c r="B392" t="s">
        <v>21</v>
      </c>
      <c r="C392" t="s">
        <v>12</v>
      </c>
      <c r="E392">
        <v>0.25</v>
      </c>
      <c r="F392" t="s">
        <v>56</v>
      </c>
      <c r="G392">
        <v>3</v>
      </c>
      <c r="H392">
        <v>0</v>
      </c>
      <c r="I392" t="s">
        <v>1925</v>
      </c>
      <c r="J392" t="s">
        <v>1926</v>
      </c>
      <c r="K392" t="s">
        <v>69</v>
      </c>
      <c r="L392" s="350">
        <v>46227</v>
      </c>
      <c r="M392">
        <v>1</v>
      </c>
      <c r="N392">
        <v>24</v>
      </c>
      <c r="O392" s="351">
        <v>46204</v>
      </c>
      <c r="P392">
        <v>1</v>
      </c>
      <c r="Q392">
        <v>10</v>
      </c>
      <c r="R392">
        <v>10.44</v>
      </c>
      <c r="S392">
        <v>1</v>
      </c>
      <c r="T392">
        <v>261</v>
      </c>
      <c r="U392">
        <v>91</v>
      </c>
      <c r="V392">
        <v>170</v>
      </c>
      <c r="W392">
        <v>59</v>
      </c>
      <c r="X392">
        <v>6.7816091954023001</v>
      </c>
      <c r="Y392">
        <v>166</v>
      </c>
      <c r="Z392">
        <v>0</v>
      </c>
      <c r="AA392">
        <v>95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7</v>
      </c>
      <c r="AH392">
        <v>16</v>
      </c>
      <c r="AI392" t="s">
        <v>12</v>
      </c>
    </row>
    <row r="393" spans="1:35" ht="12.5">
      <c r="A393" t="s">
        <v>71</v>
      </c>
      <c r="B393" t="s">
        <v>21</v>
      </c>
      <c r="C393" t="s">
        <v>12</v>
      </c>
      <c r="E393">
        <v>0.25</v>
      </c>
      <c r="F393" t="s">
        <v>56</v>
      </c>
      <c r="G393">
        <v>3</v>
      </c>
      <c r="H393">
        <v>0</v>
      </c>
      <c r="I393" t="s">
        <v>1925</v>
      </c>
      <c r="J393" t="s">
        <v>1926</v>
      </c>
      <c r="K393" t="s">
        <v>69</v>
      </c>
      <c r="L393" s="350">
        <v>46228</v>
      </c>
      <c r="M393">
        <v>2</v>
      </c>
      <c r="N393">
        <v>25</v>
      </c>
      <c r="O393" s="351">
        <v>46204</v>
      </c>
      <c r="P393">
        <v>1</v>
      </c>
      <c r="Q393">
        <v>0</v>
      </c>
      <c r="R393">
        <v>10.44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7</v>
      </c>
      <c r="AH393">
        <v>16</v>
      </c>
      <c r="AI393" t="s">
        <v>12</v>
      </c>
    </row>
    <row r="394" spans="1:35" ht="12.5">
      <c r="A394" t="s">
        <v>71</v>
      </c>
      <c r="B394" t="s">
        <v>21</v>
      </c>
      <c r="C394" t="s">
        <v>12</v>
      </c>
      <c r="E394">
        <v>0.25</v>
      </c>
      <c r="F394" t="s">
        <v>56</v>
      </c>
      <c r="G394">
        <v>3</v>
      </c>
      <c r="H394">
        <v>0</v>
      </c>
      <c r="I394" t="s">
        <v>1925</v>
      </c>
      <c r="J394" t="s">
        <v>1926</v>
      </c>
      <c r="K394" t="s">
        <v>69</v>
      </c>
      <c r="L394" s="350">
        <v>46229</v>
      </c>
      <c r="M394">
        <v>3</v>
      </c>
      <c r="N394">
        <v>26</v>
      </c>
      <c r="O394" s="351">
        <v>46204</v>
      </c>
      <c r="P394">
        <v>1</v>
      </c>
      <c r="Q394">
        <v>0</v>
      </c>
      <c r="R394">
        <v>10.44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7</v>
      </c>
      <c r="AH394">
        <v>16</v>
      </c>
      <c r="AI394" t="s">
        <v>12</v>
      </c>
    </row>
    <row r="395" spans="1:35" ht="12.5">
      <c r="A395" t="s">
        <v>71</v>
      </c>
      <c r="B395" t="s">
        <v>21</v>
      </c>
      <c r="C395" t="s">
        <v>12</v>
      </c>
      <c r="E395">
        <v>0.25</v>
      </c>
      <c r="F395" t="s">
        <v>56</v>
      </c>
      <c r="G395">
        <v>3</v>
      </c>
      <c r="H395">
        <v>0</v>
      </c>
      <c r="I395" t="s">
        <v>1925</v>
      </c>
      <c r="J395" t="s">
        <v>1926</v>
      </c>
      <c r="K395" t="s">
        <v>69</v>
      </c>
      <c r="L395" s="350">
        <v>46230</v>
      </c>
      <c r="M395">
        <v>4</v>
      </c>
      <c r="N395">
        <v>27</v>
      </c>
      <c r="O395" s="351">
        <v>46204</v>
      </c>
      <c r="P395">
        <v>1</v>
      </c>
      <c r="Q395">
        <v>15</v>
      </c>
      <c r="R395">
        <v>10.44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7</v>
      </c>
      <c r="AH395">
        <v>16</v>
      </c>
      <c r="AI395" t="s">
        <v>12</v>
      </c>
    </row>
    <row r="396" spans="1:35" ht="12.5">
      <c r="A396" t="s">
        <v>71</v>
      </c>
      <c r="B396" t="s">
        <v>21</v>
      </c>
      <c r="C396" t="s">
        <v>12</v>
      </c>
      <c r="E396">
        <v>0.25</v>
      </c>
      <c r="F396" t="s">
        <v>56</v>
      </c>
      <c r="G396">
        <v>3</v>
      </c>
      <c r="H396">
        <v>0</v>
      </c>
      <c r="I396" t="s">
        <v>1925</v>
      </c>
      <c r="J396" t="s">
        <v>1926</v>
      </c>
      <c r="K396" t="s">
        <v>69</v>
      </c>
      <c r="L396" s="350">
        <v>46231</v>
      </c>
      <c r="M396">
        <v>5</v>
      </c>
      <c r="N396">
        <v>28</v>
      </c>
      <c r="O396" s="351">
        <v>46204</v>
      </c>
      <c r="P396">
        <v>1</v>
      </c>
      <c r="Q396">
        <v>0</v>
      </c>
      <c r="R396">
        <v>10.44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7</v>
      </c>
      <c r="AH396">
        <v>16</v>
      </c>
      <c r="AI396" t="s">
        <v>12</v>
      </c>
    </row>
    <row r="397" spans="1:35" ht="12.5">
      <c r="A397" t="s">
        <v>71</v>
      </c>
      <c r="B397" t="s">
        <v>21</v>
      </c>
      <c r="C397" t="s">
        <v>12</v>
      </c>
      <c r="E397">
        <v>0.25</v>
      </c>
      <c r="F397" t="s">
        <v>56</v>
      </c>
      <c r="G397">
        <v>3</v>
      </c>
      <c r="H397">
        <v>0</v>
      </c>
      <c r="I397" t="s">
        <v>1925</v>
      </c>
      <c r="J397" t="s">
        <v>1926</v>
      </c>
      <c r="K397" t="s">
        <v>69</v>
      </c>
      <c r="L397" s="350">
        <v>46232</v>
      </c>
      <c r="M397">
        <v>6</v>
      </c>
      <c r="N397">
        <v>29</v>
      </c>
      <c r="O397" s="351">
        <v>46204</v>
      </c>
      <c r="P397">
        <v>1</v>
      </c>
      <c r="Q397">
        <v>0</v>
      </c>
      <c r="R397">
        <v>10.44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7</v>
      </c>
      <c r="AH397">
        <v>16</v>
      </c>
      <c r="AI397" t="s">
        <v>12</v>
      </c>
    </row>
    <row r="398" spans="1:35" ht="12.5">
      <c r="A398" t="s">
        <v>71</v>
      </c>
      <c r="B398" t="s">
        <v>21</v>
      </c>
      <c r="C398" t="s">
        <v>12</v>
      </c>
      <c r="E398">
        <v>0.25</v>
      </c>
      <c r="F398" t="s">
        <v>56</v>
      </c>
      <c r="G398">
        <v>3</v>
      </c>
      <c r="H398">
        <v>0</v>
      </c>
      <c r="I398" t="s">
        <v>1925</v>
      </c>
      <c r="J398" t="s">
        <v>1926</v>
      </c>
      <c r="K398" t="s">
        <v>69</v>
      </c>
      <c r="L398" s="350">
        <v>46233</v>
      </c>
      <c r="M398">
        <v>7</v>
      </c>
      <c r="N398">
        <v>30</v>
      </c>
      <c r="O398" s="351">
        <v>46204</v>
      </c>
      <c r="P398">
        <v>1</v>
      </c>
      <c r="Q398">
        <v>0</v>
      </c>
      <c r="R398">
        <v>10.44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7</v>
      </c>
      <c r="AH398">
        <v>16</v>
      </c>
      <c r="AI398" t="s">
        <v>12</v>
      </c>
    </row>
    <row r="399" spans="1:35" ht="12.5">
      <c r="A399" t="s">
        <v>71</v>
      </c>
      <c r="B399" t="s">
        <v>21</v>
      </c>
      <c r="C399" t="s">
        <v>12</v>
      </c>
      <c r="E399">
        <v>0.25</v>
      </c>
      <c r="F399" t="s">
        <v>56</v>
      </c>
      <c r="G399">
        <v>3</v>
      </c>
      <c r="H399">
        <v>0</v>
      </c>
      <c r="I399" t="s">
        <v>1925</v>
      </c>
      <c r="J399" t="s">
        <v>1926</v>
      </c>
      <c r="K399" t="s">
        <v>69</v>
      </c>
      <c r="L399" s="350">
        <v>46234</v>
      </c>
      <c r="M399">
        <v>8</v>
      </c>
      <c r="N399">
        <v>31</v>
      </c>
      <c r="O399" s="351">
        <v>46204</v>
      </c>
      <c r="P399">
        <v>1</v>
      </c>
      <c r="Q399">
        <v>0</v>
      </c>
      <c r="R399">
        <v>10.44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7</v>
      </c>
      <c r="AH399">
        <v>16</v>
      </c>
      <c r="AI399" t="s">
        <v>12</v>
      </c>
    </row>
    <row r="400" spans="1:35" ht="12.5">
      <c r="A400" t="s">
        <v>71</v>
      </c>
      <c r="B400" t="s">
        <v>21</v>
      </c>
      <c r="C400" t="s">
        <v>12</v>
      </c>
      <c r="E400">
        <v>0.25</v>
      </c>
      <c r="F400" t="s">
        <v>56</v>
      </c>
      <c r="G400">
        <v>3</v>
      </c>
      <c r="H400">
        <v>0</v>
      </c>
      <c r="I400" t="s">
        <v>1925</v>
      </c>
      <c r="J400" t="s">
        <v>1926</v>
      </c>
      <c r="K400" t="s">
        <v>69</v>
      </c>
      <c r="L400" s="350">
        <v>46235</v>
      </c>
      <c r="M400">
        <v>9</v>
      </c>
      <c r="N400">
        <v>1</v>
      </c>
      <c r="O400" s="351">
        <v>46235</v>
      </c>
      <c r="P400">
        <v>1</v>
      </c>
      <c r="Q400">
        <v>64</v>
      </c>
      <c r="R400">
        <v>10.44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7</v>
      </c>
      <c r="AH400">
        <v>16</v>
      </c>
      <c r="AI400" t="s">
        <v>12</v>
      </c>
    </row>
    <row r="401" spans="1:35" ht="12.5">
      <c r="A401" t="s">
        <v>71</v>
      </c>
      <c r="B401" t="s">
        <v>21</v>
      </c>
      <c r="C401" t="s">
        <v>12</v>
      </c>
      <c r="E401">
        <v>0.25</v>
      </c>
      <c r="F401" t="s">
        <v>56</v>
      </c>
      <c r="G401">
        <v>3</v>
      </c>
      <c r="H401">
        <v>0</v>
      </c>
      <c r="I401" t="s">
        <v>1925</v>
      </c>
      <c r="J401" t="s">
        <v>1926</v>
      </c>
      <c r="K401" t="s">
        <v>69</v>
      </c>
      <c r="L401" s="350">
        <v>46236</v>
      </c>
      <c r="M401">
        <v>10</v>
      </c>
      <c r="N401">
        <v>2</v>
      </c>
      <c r="O401" s="351">
        <v>46235</v>
      </c>
      <c r="P401">
        <v>1</v>
      </c>
      <c r="Q401">
        <v>0</v>
      </c>
      <c r="R401">
        <v>10.44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7</v>
      </c>
      <c r="AH401">
        <v>16</v>
      </c>
      <c r="AI401" t="s">
        <v>12</v>
      </c>
    </row>
    <row r="402" spans="1:35" ht="12.5">
      <c r="A402" t="s">
        <v>71</v>
      </c>
      <c r="B402" t="s">
        <v>21</v>
      </c>
      <c r="C402" t="s">
        <v>12</v>
      </c>
      <c r="E402">
        <v>0.25</v>
      </c>
      <c r="F402" t="s">
        <v>56</v>
      </c>
      <c r="G402">
        <v>3</v>
      </c>
      <c r="H402">
        <v>0</v>
      </c>
      <c r="I402" t="s">
        <v>1925</v>
      </c>
      <c r="J402" t="s">
        <v>1926</v>
      </c>
      <c r="K402" t="s">
        <v>69</v>
      </c>
      <c r="L402" s="350">
        <v>46237</v>
      </c>
      <c r="M402">
        <v>11</v>
      </c>
      <c r="N402">
        <v>3</v>
      </c>
      <c r="O402" s="351">
        <v>46235</v>
      </c>
      <c r="P402">
        <v>1</v>
      </c>
      <c r="Q402">
        <v>0</v>
      </c>
      <c r="R402">
        <v>10.44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7</v>
      </c>
      <c r="AH402">
        <v>16</v>
      </c>
      <c r="AI402" t="s">
        <v>12</v>
      </c>
    </row>
    <row r="403" spans="1:35" ht="12.5">
      <c r="A403" t="s">
        <v>71</v>
      </c>
      <c r="B403" t="s">
        <v>21</v>
      </c>
      <c r="C403" t="s">
        <v>12</v>
      </c>
      <c r="E403">
        <v>0.25</v>
      </c>
      <c r="F403" t="s">
        <v>56</v>
      </c>
      <c r="G403">
        <v>3</v>
      </c>
      <c r="H403">
        <v>0</v>
      </c>
      <c r="I403" t="s">
        <v>1925</v>
      </c>
      <c r="J403" t="s">
        <v>1926</v>
      </c>
      <c r="K403" t="s">
        <v>69</v>
      </c>
      <c r="L403" s="350">
        <v>46238</v>
      </c>
      <c r="M403">
        <v>12</v>
      </c>
      <c r="N403">
        <v>4</v>
      </c>
      <c r="O403" s="351">
        <v>46235</v>
      </c>
      <c r="P403">
        <v>0</v>
      </c>
      <c r="Q403">
        <v>0</v>
      </c>
      <c r="R403">
        <v>10.44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7</v>
      </c>
      <c r="AH403">
        <v>16</v>
      </c>
      <c r="AI403" t="s">
        <v>12</v>
      </c>
    </row>
    <row r="404" spans="1:35" ht="12.5">
      <c r="A404" t="s">
        <v>71</v>
      </c>
      <c r="B404" t="s">
        <v>21</v>
      </c>
      <c r="C404" t="s">
        <v>12</v>
      </c>
      <c r="E404">
        <v>0.25</v>
      </c>
      <c r="F404" t="s">
        <v>56</v>
      </c>
      <c r="G404">
        <v>3</v>
      </c>
      <c r="H404">
        <v>0</v>
      </c>
      <c r="I404" t="s">
        <v>1925</v>
      </c>
      <c r="J404" t="s">
        <v>1926</v>
      </c>
      <c r="K404" t="s">
        <v>69</v>
      </c>
      <c r="L404" s="350">
        <v>46239</v>
      </c>
      <c r="M404">
        <v>13</v>
      </c>
      <c r="N404">
        <v>5</v>
      </c>
      <c r="O404" s="351">
        <v>46235</v>
      </c>
      <c r="P404">
        <v>0</v>
      </c>
      <c r="Q404">
        <v>0</v>
      </c>
      <c r="R404">
        <v>10.44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7</v>
      </c>
      <c r="AH404">
        <v>16</v>
      </c>
      <c r="AI404" t="s">
        <v>12</v>
      </c>
    </row>
    <row r="405" spans="1:35" ht="12.5">
      <c r="A405" t="s">
        <v>71</v>
      </c>
      <c r="B405" t="s">
        <v>21</v>
      </c>
      <c r="C405" t="s">
        <v>12</v>
      </c>
      <c r="E405">
        <v>0.25</v>
      </c>
      <c r="F405" t="s">
        <v>56</v>
      </c>
      <c r="G405">
        <v>3</v>
      </c>
      <c r="H405">
        <v>0</v>
      </c>
      <c r="I405" t="s">
        <v>1925</v>
      </c>
      <c r="J405" t="s">
        <v>1926</v>
      </c>
      <c r="K405" t="s">
        <v>69</v>
      </c>
      <c r="L405" s="350">
        <v>46240</v>
      </c>
      <c r="M405">
        <v>14</v>
      </c>
      <c r="N405">
        <v>6</v>
      </c>
      <c r="O405" s="351">
        <v>46235</v>
      </c>
      <c r="P405">
        <v>0</v>
      </c>
      <c r="Q405">
        <v>0</v>
      </c>
      <c r="R405">
        <v>10.44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7</v>
      </c>
      <c r="AH405">
        <v>16</v>
      </c>
      <c r="AI405" t="s">
        <v>12</v>
      </c>
    </row>
    <row r="406" spans="1:35" ht="12.5">
      <c r="A406" t="s">
        <v>71</v>
      </c>
      <c r="B406" t="s">
        <v>21</v>
      </c>
      <c r="C406" t="s">
        <v>12</v>
      </c>
      <c r="E406">
        <v>0.25</v>
      </c>
      <c r="F406" t="s">
        <v>56</v>
      </c>
      <c r="G406">
        <v>3</v>
      </c>
      <c r="H406">
        <v>0</v>
      </c>
      <c r="I406" t="s">
        <v>1925</v>
      </c>
      <c r="J406" t="s">
        <v>1926</v>
      </c>
      <c r="K406" t="s">
        <v>69</v>
      </c>
      <c r="L406" s="350">
        <v>46241</v>
      </c>
      <c r="M406">
        <v>15</v>
      </c>
      <c r="N406">
        <v>7</v>
      </c>
      <c r="O406" s="351">
        <v>46235</v>
      </c>
      <c r="P406">
        <v>0</v>
      </c>
      <c r="Q406">
        <v>0</v>
      </c>
      <c r="R406">
        <v>10.44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7</v>
      </c>
      <c r="AH406">
        <v>16</v>
      </c>
      <c r="AI406" t="s">
        <v>12</v>
      </c>
    </row>
    <row r="407" spans="1:35" ht="12.5">
      <c r="A407" t="s">
        <v>71</v>
      </c>
      <c r="B407" t="s">
        <v>21</v>
      </c>
      <c r="C407" t="s">
        <v>12</v>
      </c>
      <c r="E407">
        <v>0.25</v>
      </c>
      <c r="F407" t="s">
        <v>56</v>
      </c>
      <c r="G407">
        <v>3</v>
      </c>
      <c r="H407">
        <v>0</v>
      </c>
      <c r="I407" t="s">
        <v>1925</v>
      </c>
      <c r="J407" t="s">
        <v>1926</v>
      </c>
      <c r="K407" t="s">
        <v>69</v>
      </c>
      <c r="L407" s="350">
        <v>46242</v>
      </c>
      <c r="M407">
        <v>16</v>
      </c>
      <c r="N407">
        <v>8</v>
      </c>
      <c r="O407" s="351">
        <v>46235</v>
      </c>
      <c r="P407">
        <v>0</v>
      </c>
      <c r="Q407">
        <v>0</v>
      </c>
      <c r="R407">
        <v>10.44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7</v>
      </c>
      <c r="AH407">
        <v>16</v>
      </c>
      <c r="AI407" t="s">
        <v>12</v>
      </c>
    </row>
    <row r="408" spans="1:35" ht="12.5">
      <c r="A408" t="s">
        <v>71</v>
      </c>
      <c r="B408" t="s">
        <v>21</v>
      </c>
      <c r="C408" t="s">
        <v>12</v>
      </c>
      <c r="E408">
        <v>0.25</v>
      </c>
      <c r="F408" t="s">
        <v>56</v>
      </c>
      <c r="G408">
        <v>3</v>
      </c>
      <c r="H408">
        <v>0</v>
      </c>
      <c r="I408" t="s">
        <v>1925</v>
      </c>
      <c r="J408" t="s">
        <v>1926</v>
      </c>
      <c r="K408" t="s">
        <v>69</v>
      </c>
      <c r="L408" s="350">
        <v>46243</v>
      </c>
      <c r="M408">
        <v>17</v>
      </c>
      <c r="N408">
        <v>9</v>
      </c>
      <c r="O408" s="351">
        <v>46235</v>
      </c>
      <c r="P408">
        <v>0</v>
      </c>
      <c r="Q408">
        <v>0</v>
      </c>
      <c r="R408">
        <v>10.44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7</v>
      </c>
      <c r="AH408">
        <v>16</v>
      </c>
      <c r="AI408" t="s">
        <v>12</v>
      </c>
    </row>
    <row r="409" spans="1:35" ht="12.5">
      <c r="A409" t="s">
        <v>71</v>
      </c>
      <c r="B409" t="s">
        <v>21</v>
      </c>
      <c r="C409" t="s">
        <v>12</v>
      </c>
      <c r="E409">
        <v>0.25</v>
      </c>
      <c r="F409" t="s">
        <v>56</v>
      </c>
      <c r="G409">
        <v>3</v>
      </c>
      <c r="H409">
        <v>0</v>
      </c>
      <c r="I409" t="s">
        <v>1925</v>
      </c>
      <c r="J409" t="s">
        <v>1926</v>
      </c>
      <c r="K409" t="s">
        <v>69</v>
      </c>
      <c r="L409" s="350">
        <v>46244</v>
      </c>
      <c r="M409">
        <v>18</v>
      </c>
      <c r="N409">
        <v>10</v>
      </c>
      <c r="O409" s="351">
        <v>46235</v>
      </c>
      <c r="P409">
        <v>0</v>
      </c>
      <c r="Q409">
        <v>0</v>
      </c>
      <c r="R409">
        <v>10.44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7</v>
      </c>
      <c r="AH409">
        <v>16</v>
      </c>
      <c r="AI409" t="s">
        <v>12</v>
      </c>
    </row>
    <row r="410" spans="1:35" ht="12.5">
      <c r="A410" t="s">
        <v>71</v>
      </c>
      <c r="B410" t="s">
        <v>21</v>
      </c>
      <c r="C410" t="s">
        <v>12</v>
      </c>
      <c r="E410">
        <v>0.25</v>
      </c>
      <c r="F410" t="s">
        <v>56</v>
      </c>
      <c r="G410">
        <v>3</v>
      </c>
      <c r="H410">
        <v>0</v>
      </c>
      <c r="I410" t="s">
        <v>1925</v>
      </c>
      <c r="J410" t="s">
        <v>1926</v>
      </c>
      <c r="K410" t="s">
        <v>69</v>
      </c>
      <c r="L410" s="350">
        <v>46245</v>
      </c>
      <c r="M410">
        <v>19</v>
      </c>
      <c r="N410">
        <v>11</v>
      </c>
      <c r="O410" s="351">
        <v>46235</v>
      </c>
      <c r="P410">
        <v>0</v>
      </c>
      <c r="Q410">
        <v>0</v>
      </c>
      <c r="R410">
        <v>10.44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7</v>
      </c>
      <c r="AH410">
        <v>16</v>
      </c>
      <c r="AI410" t="s">
        <v>12</v>
      </c>
    </row>
    <row r="411" spans="1:35" ht="12.5">
      <c r="A411" t="s">
        <v>71</v>
      </c>
      <c r="B411" t="s">
        <v>21</v>
      </c>
      <c r="C411" t="s">
        <v>12</v>
      </c>
      <c r="E411">
        <v>0.25</v>
      </c>
      <c r="F411" t="s">
        <v>56</v>
      </c>
      <c r="G411">
        <v>3</v>
      </c>
      <c r="H411">
        <v>0</v>
      </c>
      <c r="I411" t="s">
        <v>1925</v>
      </c>
      <c r="J411" t="s">
        <v>1926</v>
      </c>
      <c r="K411" t="s">
        <v>69</v>
      </c>
      <c r="L411" s="350">
        <v>46246</v>
      </c>
      <c r="M411">
        <v>20</v>
      </c>
      <c r="N411">
        <v>12</v>
      </c>
      <c r="O411" s="351">
        <v>46235</v>
      </c>
      <c r="P411">
        <v>0</v>
      </c>
      <c r="Q411">
        <v>0</v>
      </c>
      <c r="R411">
        <v>10.44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7</v>
      </c>
      <c r="AH411">
        <v>16</v>
      </c>
      <c r="AI411" t="s">
        <v>12</v>
      </c>
    </row>
    <row r="412" spans="1:35" ht="12.5">
      <c r="A412" t="s">
        <v>71</v>
      </c>
      <c r="B412" t="s">
        <v>21</v>
      </c>
      <c r="C412" t="s">
        <v>12</v>
      </c>
      <c r="E412">
        <v>0.25</v>
      </c>
      <c r="F412" t="s">
        <v>56</v>
      </c>
      <c r="G412">
        <v>3</v>
      </c>
      <c r="H412">
        <v>0</v>
      </c>
      <c r="I412" t="s">
        <v>1925</v>
      </c>
      <c r="J412" t="s">
        <v>1926</v>
      </c>
      <c r="K412" t="s">
        <v>69</v>
      </c>
      <c r="L412" s="350">
        <v>46247</v>
      </c>
      <c r="M412">
        <v>21</v>
      </c>
      <c r="N412">
        <v>13</v>
      </c>
      <c r="O412" s="351">
        <v>46235</v>
      </c>
      <c r="P412">
        <v>0</v>
      </c>
      <c r="Q412">
        <v>0</v>
      </c>
      <c r="R412">
        <v>10.44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7</v>
      </c>
      <c r="AH412">
        <v>16</v>
      </c>
      <c r="AI412" t="s">
        <v>12</v>
      </c>
    </row>
    <row r="413" spans="1:35" ht="12.5">
      <c r="A413" t="s">
        <v>71</v>
      </c>
      <c r="B413" t="s">
        <v>21</v>
      </c>
      <c r="C413" t="s">
        <v>12</v>
      </c>
      <c r="E413">
        <v>0.25</v>
      </c>
      <c r="F413" t="s">
        <v>56</v>
      </c>
      <c r="G413">
        <v>3</v>
      </c>
      <c r="H413">
        <v>0</v>
      </c>
      <c r="I413" t="s">
        <v>1925</v>
      </c>
      <c r="J413" t="s">
        <v>1926</v>
      </c>
      <c r="K413" t="s">
        <v>69</v>
      </c>
      <c r="L413" s="350">
        <v>46248</v>
      </c>
      <c r="M413">
        <v>22</v>
      </c>
      <c r="N413">
        <v>14</v>
      </c>
      <c r="O413" s="351">
        <v>46235</v>
      </c>
      <c r="P413">
        <v>0</v>
      </c>
      <c r="Q413">
        <v>0</v>
      </c>
      <c r="R413">
        <v>10.44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7</v>
      </c>
      <c r="AH413">
        <v>16</v>
      </c>
      <c r="AI413" t="s">
        <v>12</v>
      </c>
    </row>
    <row r="414" spans="1:35" ht="12.5">
      <c r="A414" t="s">
        <v>71</v>
      </c>
      <c r="B414" t="s">
        <v>21</v>
      </c>
      <c r="C414" t="s">
        <v>12</v>
      </c>
      <c r="E414">
        <v>0.25</v>
      </c>
      <c r="F414" t="s">
        <v>56</v>
      </c>
      <c r="G414">
        <v>3</v>
      </c>
      <c r="H414">
        <v>0</v>
      </c>
      <c r="I414" t="s">
        <v>1925</v>
      </c>
      <c r="J414" t="s">
        <v>1926</v>
      </c>
      <c r="K414" t="s">
        <v>69</v>
      </c>
      <c r="L414" s="350">
        <v>46249</v>
      </c>
      <c r="M414">
        <v>23</v>
      </c>
      <c r="N414">
        <v>15</v>
      </c>
      <c r="O414" s="351">
        <v>46235</v>
      </c>
      <c r="P414">
        <v>0</v>
      </c>
      <c r="Q414">
        <v>0</v>
      </c>
      <c r="R414">
        <v>10.44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7</v>
      </c>
      <c r="AH414">
        <v>16</v>
      </c>
      <c r="AI414" t="s">
        <v>12</v>
      </c>
    </row>
    <row r="415" spans="1:35" ht="12.5">
      <c r="A415" t="s">
        <v>71</v>
      </c>
      <c r="B415" t="s">
        <v>21</v>
      </c>
      <c r="C415" t="s">
        <v>12</v>
      </c>
      <c r="E415">
        <v>0.25</v>
      </c>
      <c r="F415" t="s">
        <v>56</v>
      </c>
      <c r="G415">
        <v>3</v>
      </c>
      <c r="H415">
        <v>0</v>
      </c>
      <c r="I415" t="s">
        <v>1925</v>
      </c>
      <c r="J415" t="s">
        <v>1926</v>
      </c>
      <c r="K415" t="s">
        <v>69</v>
      </c>
      <c r="L415" s="350">
        <v>46250</v>
      </c>
      <c r="M415">
        <v>24</v>
      </c>
      <c r="N415">
        <v>16</v>
      </c>
      <c r="O415" s="351">
        <v>46235</v>
      </c>
      <c r="P415">
        <v>0</v>
      </c>
      <c r="Q415">
        <v>2</v>
      </c>
      <c r="R415">
        <v>10.44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7</v>
      </c>
      <c r="AH415">
        <v>16</v>
      </c>
      <c r="AI415" t="s">
        <v>12</v>
      </c>
    </row>
    <row r="416" spans="1:35" ht="12.5">
      <c r="A416" t="s">
        <v>71</v>
      </c>
      <c r="B416" t="s">
        <v>21</v>
      </c>
      <c r="C416" t="s">
        <v>12</v>
      </c>
      <c r="E416">
        <v>0.25</v>
      </c>
      <c r="F416" t="s">
        <v>56</v>
      </c>
      <c r="G416">
        <v>3</v>
      </c>
      <c r="H416">
        <v>0</v>
      </c>
      <c r="I416" t="s">
        <v>1925</v>
      </c>
      <c r="J416" t="s">
        <v>1926</v>
      </c>
      <c r="K416" t="s">
        <v>69</v>
      </c>
      <c r="L416" s="350">
        <v>46251</v>
      </c>
      <c r="M416">
        <v>25</v>
      </c>
      <c r="N416">
        <v>17</v>
      </c>
      <c r="O416" s="351">
        <v>46235</v>
      </c>
      <c r="P416">
        <v>0</v>
      </c>
      <c r="Q416">
        <v>0</v>
      </c>
      <c r="R416">
        <v>10.44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7</v>
      </c>
      <c r="AH416">
        <v>16</v>
      </c>
      <c r="AI416" t="s">
        <v>12</v>
      </c>
    </row>
    <row r="417" spans="1:35" ht="12.5">
      <c r="A417" t="s">
        <v>71</v>
      </c>
      <c r="B417" t="s">
        <v>21</v>
      </c>
      <c r="C417" t="s">
        <v>12</v>
      </c>
      <c r="E417">
        <v>0.25</v>
      </c>
      <c r="F417" t="s">
        <v>56</v>
      </c>
      <c r="G417">
        <v>3</v>
      </c>
      <c r="H417">
        <v>0</v>
      </c>
      <c r="I417" t="s">
        <v>1925</v>
      </c>
      <c r="J417" t="s">
        <v>1926</v>
      </c>
      <c r="K417" t="s">
        <v>69</v>
      </c>
      <c r="L417" s="350">
        <v>46252</v>
      </c>
      <c r="M417">
        <v>26</v>
      </c>
      <c r="N417">
        <v>18</v>
      </c>
      <c r="O417" s="351">
        <v>46235</v>
      </c>
      <c r="P417">
        <v>0</v>
      </c>
      <c r="Q417">
        <v>0</v>
      </c>
      <c r="R417">
        <v>10.44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7</v>
      </c>
      <c r="AH417">
        <v>16</v>
      </c>
      <c r="AI417" t="s">
        <v>12</v>
      </c>
    </row>
    <row r="418" spans="1:35" ht="12.5">
      <c r="A418" t="s">
        <v>71</v>
      </c>
      <c r="B418" t="s">
        <v>21</v>
      </c>
      <c r="C418" t="s">
        <v>12</v>
      </c>
      <c r="E418">
        <v>0.25</v>
      </c>
      <c r="F418" t="s">
        <v>56</v>
      </c>
      <c r="G418">
        <v>3</v>
      </c>
      <c r="H418">
        <v>0</v>
      </c>
      <c r="I418" t="s">
        <v>1925</v>
      </c>
      <c r="J418" t="s">
        <v>1926</v>
      </c>
      <c r="K418" t="s">
        <v>69</v>
      </c>
      <c r="L418" s="350">
        <v>46253</v>
      </c>
      <c r="M418">
        <v>27</v>
      </c>
      <c r="N418">
        <v>19</v>
      </c>
      <c r="O418" s="351">
        <v>46235</v>
      </c>
      <c r="P418">
        <v>0</v>
      </c>
      <c r="Q418">
        <v>0</v>
      </c>
      <c r="R418">
        <v>10.44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7</v>
      </c>
      <c r="AH418">
        <v>16</v>
      </c>
      <c r="AI418" t="s">
        <v>12</v>
      </c>
    </row>
    <row r="419" spans="1:35" ht="12.5">
      <c r="A419" t="s">
        <v>71</v>
      </c>
      <c r="B419" t="s">
        <v>21</v>
      </c>
      <c r="C419" t="s">
        <v>12</v>
      </c>
      <c r="E419">
        <v>0.25</v>
      </c>
      <c r="F419" t="s">
        <v>56</v>
      </c>
      <c r="G419">
        <v>3</v>
      </c>
      <c r="H419">
        <v>0</v>
      </c>
      <c r="I419" t="s">
        <v>1925</v>
      </c>
      <c r="J419" t="s">
        <v>1926</v>
      </c>
      <c r="K419" t="s">
        <v>69</v>
      </c>
      <c r="L419" s="350">
        <v>46254</v>
      </c>
      <c r="M419">
        <v>28</v>
      </c>
      <c r="N419">
        <v>20</v>
      </c>
      <c r="O419" s="351">
        <v>46235</v>
      </c>
      <c r="P419">
        <v>0</v>
      </c>
      <c r="Q419">
        <v>0</v>
      </c>
      <c r="R419">
        <v>10.44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7</v>
      </c>
      <c r="AH419">
        <v>16</v>
      </c>
      <c r="AI419" t="s">
        <v>12</v>
      </c>
    </row>
    <row r="420" spans="1:35" ht="12.5">
      <c r="A420" t="s">
        <v>71</v>
      </c>
      <c r="B420" t="s">
        <v>21</v>
      </c>
      <c r="C420" t="s">
        <v>12</v>
      </c>
      <c r="E420">
        <v>0.25</v>
      </c>
      <c r="F420" t="s">
        <v>56</v>
      </c>
      <c r="G420">
        <v>3</v>
      </c>
      <c r="H420">
        <v>0</v>
      </c>
      <c r="I420" t="s">
        <v>1925</v>
      </c>
      <c r="J420" t="s">
        <v>1926</v>
      </c>
      <c r="K420" t="s">
        <v>69</v>
      </c>
      <c r="L420" s="350">
        <v>46255</v>
      </c>
      <c r="M420">
        <v>29</v>
      </c>
      <c r="N420">
        <v>21</v>
      </c>
      <c r="O420" s="351">
        <v>46235</v>
      </c>
      <c r="P420">
        <v>0</v>
      </c>
      <c r="Q420">
        <v>0</v>
      </c>
      <c r="R420">
        <v>10.44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7</v>
      </c>
      <c r="AH420">
        <v>16</v>
      </c>
      <c r="AI420" t="s">
        <v>12</v>
      </c>
    </row>
    <row r="421" spans="1:35" ht="12.5">
      <c r="A421" t="s">
        <v>71</v>
      </c>
      <c r="B421" t="s">
        <v>21</v>
      </c>
      <c r="C421" t="s">
        <v>12</v>
      </c>
      <c r="E421">
        <v>0.25</v>
      </c>
      <c r="F421" t="s">
        <v>56</v>
      </c>
      <c r="G421">
        <v>3</v>
      </c>
      <c r="H421">
        <v>0</v>
      </c>
      <c r="I421" t="s">
        <v>1925</v>
      </c>
      <c r="J421" t="s">
        <v>1926</v>
      </c>
      <c r="K421" t="s">
        <v>69</v>
      </c>
      <c r="L421" s="350">
        <v>46256</v>
      </c>
      <c r="M421">
        <v>30</v>
      </c>
      <c r="N421">
        <v>22</v>
      </c>
      <c r="O421" s="351">
        <v>46235</v>
      </c>
      <c r="P421">
        <v>0</v>
      </c>
      <c r="Q421">
        <v>0</v>
      </c>
      <c r="R421">
        <v>10.44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7</v>
      </c>
      <c r="AH421">
        <v>16</v>
      </c>
      <c r="AI421" t="s">
        <v>12</v>
      </c>
    </row>
    <row r="422" spans="1:35" ht="12.5">
      <c r="A422" t="s">
        <v>68</v>
      </c>
      <c r="B422" t="s">
        <v>13</v>
      </c>
      <c r="C422" t="s">
        <v>12</v>
      </c>
      <c r="E422">
        <v>0.25</v>
      </c>
      <c r="F422" t="s">
        <v>54</v>
      </c>
      <c r="G422">
        <v>1</v>
      </c>
      <c r="H422">
        <v>1</v>
      </c>
      <c r="I422" t="s">
        <v>1931</v>
      </c>
      <c r="J422" t="s">
        <v>1926</v>
      </c>
      <c r="K422" t="s">
        <v>69</v>
      </c>
      <c r="L422" s="350">
        <v>46227</v>
      </c>
      <c r="M422">
        <v>1</v>
      </c>
      <c r="N422">
        <v>24</v>
      </c>
      <c r="O422" s="351">
        <v>46204</v>
      </c>
      <c r="P422">
        <v>1</v>
      </c>
      <c r="Q422">
        <v>0</v>
      </c>
      <c r="R422">
        <v>5.68</v>
      </c>
      <c r="S422">
        <v>1</v>
      </c>
      <c r="T422">
        <v>142</v>
      </c>
      <c r="U422">
        <v>48</v>
      </c>
      <c r="V422">
        <v>94</v>
      </c>
      <c r="W422">
        <v>9</v>
      </c>
      <c r="X422">
        <v>1.9014084507042299</v>
      </c>
      <c r="Y422">
        <v>47</v>
      </c>
      <c r="Z422">
        <v>10</v>
      </c>
      <c r="AA422">
        <v>85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10</v>
      </c>
      <c r="AH422">
        <v>17</v>
      </c>
      <c r="AI422" t="s">
        <v>12</v>
      </c>
    </row>
    <row r="423" spans="1:35" ht="12.5">
      <c r="A423" t="s">
        <v>68</v>
      </c>
      <c r="B423" t="s">
        <v>13</v>
      </c>
      <c r="C423" t="s">
        <v>12</v>
      </c>
      <c r="E423">
        <v>0.25</v>
      </c>
      <c r="F423" t="s">
        <v>54</v>
      </c>
      <c r="G423">
        <v>1</v>
      </c>
      <c r="H423">
        <v>1</v>
      </c>
      <c r="I423" t="s">
        <v>1931</v>
      </c>
      <c r="J423" t="s">
        <v>1926</v>
      </c>
      <c r="K423" t="s">
        <v>69</v>
      </c>
      <c r="L423" s="350">
        <v>46228</v>
      </c>
      <c r="M423">
        <v>2</v>
      </c>
      <c r="N423">
        <v>25</v>
      </c>
      <c r="O423" s="351">
        <v>46204</v>
      </c>
      <c r="P423">
        <v>1</v>
      </c>
      <c r="Q423">
        <v>0</v>
      </c>
      <c r="R423">
        <v>5.68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10</v>
      </c>
      <c r="AH423">
        <v>17</v>
      </c>
      <c r="AI423" t="s">
        <v>12</v>
      </c>
    </row>
    <row r="424" spans="1:35" ht="12.5">
      <c r="A424" t="s">
        <v>68</v>
      </c>
      <c r="B424" t="s">
        <v>13</v>
      </c>
      <c r="C424" t="s">
        <v>12</v>
      </c>
      <c r="E424">
        <v>0.25</v>
      </c>
      <c r="F424" t="s">
        <v>54</v>
      </c>
      <c r="G424">
        <v>1</v>
      </c>
      <c r="H424">
        <v>1</v>
      </c>
      <c r="I424" t="s">
        <v>1931</v>
      </c>
      <c r="J424" t="s">
        <v>1926</v>
      </c>
      <c r="K424" t="s">
        <v>69</v>
      </c>
      <c r="L424" s="350">
        <v>46229</v>
      </c>
      <c r="M424">
        <v>3</v>
      </c>
      <c r="N424">
        <v>26</v>
      </c>
      <c r="O424" s="351">
        <v>46204</v>
      </c>
      <c r="P424">
        <v>1</v>
      </c>
      <c r="Q424">
        <v>0</v>
      </c>
      <c r="R424">
        <v>5.68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10</v>
      </c>
      <c r="AH424">
        <v>17</v>
      </c>
      <c r="AI424" t="s">
        <v>12</v>
      </c>
    </row>
    <row r="425" spans="1:35" ht="12.5">
      <c r="A425" t="s">
        <v>68</v>
      </c>
      <c r="B425" t="s">
        <v>13</v>
      </c>
      <c r="C425" t="s">
        <v>12</v>
      </c>
      <c r="E425">
        <v>0.25</v>
      </c>
      <c r="F425" t="s">
        <v>54</v>
      </c>
      <c r="G425">
        <v>1</v>
      </c>
      <c r="H425">
        <v>1</v>
      </c>
      <c r="I425" t="s">
        <v>1931</v>
      </c>
      <c r="J425" t="s">
        <v>1926</v>
      </c>
      <c r="K425" t="s">
        <v>69</v>
      </c>
      <c r="L425" s="350">
        <v>46230</v>
      </c>
      <c r="M425">
        <v>4</v>
      </c>
      <c r="N425">
        <v>27</v>
      </c>
      <c r="O425" s="351">
        <v>46204</v>
      </c>
      <c r="P425">
        <v>1</v>
      </c>
      <c r="Q425">
        <v>0</v>
      </c>
      <c r="R425">
        <v>5.68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10</v>
      </c>
      <c r="AH425">
        <v>17</v>
      </c>
      <c r="AI425" t="s">
        <v>12</v>
      </c>
    </row>
    <row r="426" spans="1:35" ht="12.5">
      <c r="A426" t="s">
        <v>68</v>
      </c>
      <c r="B426" t="s">
        <v>13</v>
      </c>
      <c r="C426" t="s">
        <v>12</v>
      </c>
      <c r="E426">
        <v>0.25</v>
      </c>
      <c r="F426" t="s">
        <v>54</v>
      </c>
      <c r="G426">
        <v>1</v>
      </c>
      <c r="H426">
        <v>1</v>
      </c>
      <c r="I426" t="s">
        <v>1931</v>
      </c>
      <c r="J426" t="s">
        <v>1926</v>
      </c>
      <c r="K426" t="s">
        <v>69</v>
      </c>
      <c r="L426" s="350">
        <v>46231</v>
      </c>
      <c r="M426">
        <v>5</v>
      </c>
      <c r="N426">
        <v>28</v>
      </c>
      <c r="O426" s="351">
        <v>46204</v>
      </c>
      <c r="P426">
        <v>1</v>
      </c>
      <c r="Q426">
        <v>0</v>
      </c>
      <c r="R426">
        <v>5.68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10</v>
      </c>
      <c r="AH426">
        <v>17</v>
      </c>
      <c r="AI426" t="s">
        <v>12</v>
      </c>
    </row>
    <row r="427" spans="1:35" ht="12.5">
      <c r="A427" t="s">
        <v>68</v>
      </c>
      <c r="B427" t="s">
        <v>13</v>
      </c>
      <c r="C427" t="s">
        <v>12</v>
      </c>
      <c r="E427">
        <v>0.25</v>
      </c>
      <c r="F427" t="s">
        <v>54</v>
      </c>
      <c r="G427">
        <v>1</v>
      </c>
      <c r="H427">
        <v>1</v>
      </c>
      <c r="I427" t="s">
        <v>1931</v>
      </c>
      <c r="J427" t="s">
        <v>1926</v>
      </c>
      <c r="K427" t="s">
        <v>69</v>
      </c>
      <c r="L427" s="350">
        <v>46232</v>
      </c>
      <c r="M427">
        <v>6</v>
      </c>
      <c r="N427">
        <v>29</v>
      </c>
      <c r="O427" s="351">
        <v>46204</v>
      </c>
      <c r="P427">
        <v>1</v>
      </c>
      <c r="Q427">
        <v>0</v>
      </c>
      <c r="R427">
        <v>5.68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10</v>
      </c>
      <c r="AH427">
        <v>17</v>
      </c>
      <c r="AI427" t="s">
        <v>12</v>
      </c>
    </row>
    <row r="428" spans="1:35" ht="12.5">
      <c r="A428" t="s">
        <v>68</v>
      </c>
      <c r="B428" t="s">
        <v>13</v>
      </c>
      <c r="C428" t="s">
        <v>12</v>
      </c>
      <c r="E428">
        <v>0.25</v>
      </c>
      <c r="F428" t="s">
        <v>54</v>
      </c>
      <c r="G428">
        <v>1</v>
      </c>
      <c r="H428">
        <v>1</v>
      </c>
      <c r="I428" t="s">
        <v>1931</v>
      </c>
      <c r="J428" t="s">
        <v>1926</v>
      </c>
      <c r="K428" t="s">
        <v>69</v>
      </c>
      <c r="L428" s="350">
        <v>46233</v>
      </c>
      <c r="M428">
        <v>7</v>
      </c>
      <c r="N428">
        <v>30</v>
      </c>
      <c r="O428" s="351">
        <v>46204</v>
      </c>
      <c r="P428">
        <v>1</v>
      </c>
      <c r="Q428">
        <v>48</v>
      </c>
      <c r="R428">
        <v>5.68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10</v>
      </c>
      <c r="AH428">
        <v>17</v>
      </c>
      <c r="AI428" t="s">
        <v>12</v>
      </c>
    </row>
    <row r="429" spans="1:35" ht="12.5">
      <c r="A429" t="s">
        <v>68</v>
      </c>
      <c r="B429" t="s">
        <v>13</v>
      </c>
      <c r="C429" t="s">
        <v>12</v>
      </c>
      <c r="E429">
        <v>0.25</v>
      </c>
      <c r="F429" t="s">
        <v>54</v>
      </c>
      <c r="G429">
        <v>1</v>
      </c>
      <c r="H429">
        <v>1</v>
      </c>
      <c r="I429" t="s">
        <v>1931</v>
      </c>
      <c r="J429" t="s">
        <v>1926</v>
      </c>
      <c r="K429" t="s">
        <v>69</v>
      </c>
      <c r="L429" s="350">
        <v>46234</v>
      </c>
      <c r="M429">
        <v>8</v>
      </c>
      <c r="N429">
        <v>31</v>
      </c>
      <c r="O429" s="351">
        <v>46204</v>
      </c>
      <c r="P429">
        <v>1</v>
      </c>
      <c r="Q429">
        <v>0</v>
      </c>
      <c r="R429">
        <v>5.68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10</v>
      </c>
      <c r="AH429">
        <v>17</v>
      </c>
      <c r="AI429" t="s">
        <v>12</v>
      </c>
    </row>
    <row r="430" spans="1:35" ht="12.5">
      <c r="A430" t="s">
        <v>68</v>
      </c>
      <c r="B430" t="s">
        <v>13</v>
      </c>
      <c r="C430" t="s">
        <v>12</v>
      </c>
      <c r="E430">
        <v>0.25</v>
      </c>
      <c r="F430" t="s">
        <v>54</v>
      </c>
      <c r="G430">
        <v>1</v>
      </c>
      <c r="H430">
        <v>1</v>
      </c>
      <c r="I430" t="s">
        <v>1931</v>
      </c>
      <c r="J430" t="s">
        <v>1926</v>
      </c>
      <c r="K430" t="s">
        <v>69</v>
      </c>
      <c r="L430" s="350">
        <v>46235</v>
      </c>
      <c r="M430">
        <v>9</v>
      </c>
      <c r="N430">
        <v>1</v>
      </c>
      <c r="O430" s="351">
        <v>46235</v>
      </c>
      <c r="P430">
        <v>1</v>
      </c>
      <c r="Q430">
        <v>0</v>
      </c>
      <c r="R430">
        <v>5.68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10</v>
      </c>
      <c r="AH430">
        <v>17</v>
      </c>
      <c r="AI430" t="s">
        <v>12</v>
      </c>
    </row>
    <row r="431" spans="1:35" ht="12.5">
      <c r="A431" t="s">
        <v>68</v>
      </c>
      <c r="B431" t="s">
        <v>13</v>
      </c>
      <c r="C431" t="s">
        <v>12</v>
      </c>
      <c r="E431">
        <v>0.25</v>
      </c>
      <c r="F431" t="s">
        <v>54</v>
      </c>
      <c r="G431">
        <v>1</v>
      </c>
      <c r="H431">
        <v>1</v>
      </c>
      <c r="I431" t="s">
        <v>1931</v>
      </c>
      <c r="J431" t="s">
        <v>1926</v>
      </c>
      <c r="K431" t="s">
        <v>69</v>
      </c>
      <c r="L431" s="350">
        <v>46236</v>
      </c>
      <c r="M431">
        <v>10</v>
      </c>
      <c r="N431">
        <v>2</v>
      </c>
      <c r="O431" s="351">
        <v>46235</v>
      </c>
      <c r="P431">
        <v>1</v>
      </c>
      <c r="Q431">
        <v>0</v>
      </c>
      <c r="R431">
        <v>5.68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10</v>
      </c>
      <c r="AH431">
        <v>17</v>
      </c>
      <c r="AI431" t="s">
        <v>12</v>
      </c>
    </row>
    <row r="432" spans="1:35" ht="12.5">
      <c r="A432" t="s">
        <v>68</v>
      </c>
      <c r="B432" t="s">
        <v>13</v>
      </c>
      <c r="C432" t="s">
        <v>12</v>
      </c>
      <c r="E432">
        <v>0.25</v>
      </c>
      <c r="F432" t="s">
        <v>54</v>
      </c>
      <c r="G432">
        <v>1</v>
      </c>
      <c r="H432">
        <v>1</v>
      </c>
      <c r="I432" t="s">
        <v>1931</v>
      </c>
      <c r="J432" t="s">
        <v>1926</v>
      </c>
      <c r="K432" t="s">
        <v>69</v>
      </c>
      <c r="L432" s="350">
        <v>46237</v>
      </c>
      <c r="M432">
        <v>11</v>
      </c>
      <c r="N432">
        <v>3</v>
      </c>
      <c r="O432" s="351">
        <v>46235</v>
      </c>
      <c r="P432">
        <v>1</v>
      </c>
      <c r="Q432">
        <v>0</v>
      </c>
      <c r="R432">
        <v>5.68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10</v>
      </c>
      <c r="AH432">
        <v>17</v>
      </c>
      <c r="AI432" t="s">
        <v>12</v>
      </c>
    </row>
    <row r="433" spans="1:35" ht="12.5">
      <c r="A433" t="s">
        <v>68</v>
      </c>
      <c r="B433" t="s">
        <v>13</v>
      </c>
      <c r="C433" t="s">
        <v>12</v>
      </c>
      <c r="E433">
        <v>0.25</v>
      </c>
      <c r="F433" t="s">
        <v>54</v>
      </c>
      <c r="G433">
        <v>1</v>
      </c>
      <c r="H433">
        <v>1</v>
      </c>
      <c r="I433" t="s">
        <v>1931</v>
      </c>
      <c r="J433" t="s">
        <v>1926</v>
      </c>
      <c r="K433" t="s">
        <v>69</v>
      </c>
      <c r="L433" s="350">
        <v>46238</v>
      </c>
      <c r="M433">
        <v>12</v>
      </c>
      <c r="N433">
        <v>4</v>
      </c>
      <c r="O433" s="351">
        <v>46235</v>
      </c>
      <c r="P433">
        <v>0</v>
      </c>
      <c r="Q433">
        <v>0</v>
      </c>
      <c r="R433">
        <v>5.68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10</v>
      </c>
      <c r="AH433">
        <v>17</v>
      </c>
      <c r="AI433" t="s">
        <v>12</v>
      </c>
    </row>
    <row r="434" spans="1:35" ht="12.5">
      <c r="A434" t="s">
        <v>68</v>
      </c>
      <c r="B434" t="s">
        <v>13</v>
      </c>
      <c r="C434" t="s">
        <v>12</v>
      </c>
      <c r="E434">
        <v>0.25</v>
      </c>
      <c r="F434" t="s">
        <v>54</v>
      </c>
      <c r="G434">
        <v>1</v>
      </c>
      <c r="H434">
        <v>1</v>
      </c>
      <c r="I434" t="s">
        <v>1931</v>
      </c>
      <c r="J434" t="s">
        <v>1926</v>
      </c>
      <c r="K434" t="s">
        <v>69</v>
      </c>
      <c r="L434" s="350">
        <v>46239</v>
      </c>
      <c r="M434">
        <v>13</v>
      </c>
      <c r="N434">
        <v>5</v>
      </c>
      <c r="O434" s="351">
        <v>46235</v>
      </c>
      <c r="P434">
        <v>0</v>
      </c>
      <c r="Q434">
        <v>0</v>
      </c>
      <c r="R434">
        <v>5.68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10</v>
      </c>
      <c r="AH434">
        <v>17</v>
      </c>
      <c r="AI434" t="s">
        <v>12</v>
      </c>
    </row>
    <row r="435" spans="1:35" ht="12.5">
      <c r="A435" t="s">
        <v>68</v>
      </c>
      <c r="B435" t="s">
        <v>13</v>
      </c>
      <c r="C435" t="s">
        <v>12</v>
      </c>
      <c r="E435">
        <v>0.25</v>
      </c>
      <c r="F435" t="s">
        <v>54</v>
      </c>
      <c r="G435">
        <v>1</v>
      </c>
      <c r="H435">
        <v>1</v>
      </c>
      <c r="I435" t="s">
        <v>1931</v>
      </c>
      <c r="J435" t="s">
        <v>1926</v>
      </c>
      <c r="K435" t="s">
        <v>69</v>
      </c>
      <c r="L435" s="350">
        <v>46240</v>
      </c>
      <c r="M435">
        <v>14</v>
      </c>
      <c r="N435">
        <v>6</v>
      </c>
      <c r="O435" s="351">
        <v>46235</v>
      </c>
      <c r="P435">
        <v>0</v>
      </c>
      <c r="Q435">
        <v>0</v>
      </c>
      <c r="R435">
        <v>5.68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10</v>
      </c>
      <c r="AH435">
        <v>17</v>
      </c>
      <c r="AI435" t="s">
        <v>12</v>
      </c>
    </row>
    <row r="436" spans="1:35" ht="12.5">
      <c r="A436" t="s">
        <v>68</v>
      </c>
      <c r="B436" t="s">
        <v>13</v>
      </c>
      <c r="C436" t="s">
        <v>12</v>
      </c>
      <c r="E436">
        <v>0.25</v>
      </c>
      <c r="F436" t="s">
        <v>54</v>
      </c>
      <c r="G436">
        <v>1</v>
      </c>
      <c r="H436">
        <v>1</v>
      </c>
      <c r="I436" t="s">
        <v>1931</v>
      </c>
      <c r="J436" t="s">
        <v>1926</v>
      </c>
      <c r="K436" t="s">
        <v>69</v>
      </c>
      <c r="L436" s="350">
        <v>46241</v>
      </c>
      <c r="M436">
        <v>15</v>
      </c>
      <c r="N436">
        <v>7</v>
      </c>
      <c r="O436" s="351">
        <v>46235</v>
      </c>
      <c r="P436">
        <v>0</v>
      </c>
      <c r="Q436">
        <v>0</v>
      </c>
      <c r="R436">
        <v>5.68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10</v>
      </c>
      <c r="AH436">
        <v>17</v>
      </c>
      <c r="AI436" t="s">
        <v>12</v>
      </c>
    </row>
    <row r="437" spans="1:35" ht="12.5">
      <c r="A437" t="s">
        <v>68</v>
      </c>
      <c r="B437" t="s">
        <v>13</v>
      </c>
      <c r="C437" t="s">
        <v>12</v>
      </c>
      <c r="E437">
        <v>0.25</v>
      </c>
      <c r="F437" t="s">
        <v>54</v>
      </c>
      <c r="G437">
        <v>1</v>
      </c>
      <c r="H437">
        <v>1</v>
      </c>
      <c r="I437" t="s">
        <v>1931</v>
      </c>
      <c r="J437" t="s">
        <v>1926</v>
      </c>
      <c r="K437" t="s">
        <v>69</v>
      </c>
      <c r="L437" s="350">
        <v>46242</v>
      </c>
      <c r="M437">
        <v>16</v>
      </c>
      <c r="N437">
        <v>8</v>
      </c>
      <c r="O437" s="351">
        <v>46235</v>
      </c>
      <c r="P437">
        <v>0</v>
      </c>
      <c r="Q437">
        <v>0</v>
      </c>
      <c r="R437">
        <v>5.68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10</v>
      </c>
      <c r="AH437">
        <v>17</v>
      </c>
      <c r="AI437" t="s">
        <v>12</v>
      </c>
    </row>
    <row r="438" spans="1:35" ht="12.5">
      <c r="A438" t="s">
        <v>68</v>
      </c>
      <c r="B438" t="s">
        <v>13</v>
      </c>
      <c r="C438" t="s">
        <v>12</v>
      </c>
      <c r="E438">
        <v>0.25</v>
      </c>
      <c r="F438" t="s">
        <v>54</v>
      </c>
      <c r="G438">
        <v>1</v>
      </c>
      <c r="H438">
        <v>1</v>
      </c>
      <c r="I438" t="s">
        <v>1931</v>
      </c>
      <c r="J438" t="s">
        <v>1926</v>
      </c>
      <c r="K438" t="s">
        <v>69</v>
      </c>
      <c r="L438" s="350">
        <v>46243</v>
      </c>
      <c r="M438">
        <v>17</v>
      </c>
      <c r="N438">
        <v>9</v>
      </c>
      <c r="O438" s="351">
        <v>46235</v>
      </c>
      <c r="P438">
        <v>0</v>
      </c>
      <c r="Q438">
        <v>0</v>
      </c>
      <c r="R438">
        <v>5.68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10</v>
      </c>
      <c r="AH438">
        <v>17</v>
      </c>
      <c r="AI438" t="s">
        <v>12</v>
      </c>
    </row>
    <row r="439" spans="1:35" ht="12.5">
      <c r="A439" t="s">
        <v>68</v>
      </c>
      <c r="B439" t="s">
        <v>13</v>
      </c>
      <c r="C439" t="s">
        <v>12</v>
      </c>
      <c r="E439">
        <v>0.25</v>
      </c>
      <c r="F439" t="s">
        <v>54</v>
      </c>
      <c r="G439">
        <v>1</v>
      </c>
      <c r="H439">
        <v>1</v>
      </c>
      <c r="I439" t="s">
        <v>1931</v>
      </c>
      <c r="J439" t="s">
        <v>1926</v>
      </c>
      <c r="K439" t="s">
        <v>69</v>
      </c>
      <c r="L439" s="350">
        <v>46244</v>
      </c>
      <c r="M439">
        <v>18</v>
      </c>
      <c r="N439">
        <v>10</v>
      </c>
      <c r="O439" s="351">
        <v>46235</v>
      </c>
      <c r="P439">
        <v>0</v>
      </c>
      <c r="Q439">
        <v>0</v>
      </c>
      <c r="R439">
        <v>5.68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10</v>
      </c>
      <c r="AH439">
        <v>17</v>
      </c>
      <c r="AI439" t="s">
        <v>12</v>
      </c>
    </row>
    <row r="440" spans="1:35" ht="12.5">
      <c r="A440" t="s">
        <v>68</v>
      </c>
      <c r="B440" t="s">
        <v>13</v>
      </c>
      <c r="C440" t="s">
        <v>12</v>
      </c>
      <c r="E440">
        <v>0.25</v>
      </c>
      <c r="F440" t="s">
        <v>54</v>
      </c>
      <c r="G440">
        <v>1</v>
      </c>
      <c r="H440">
        <v>1</v>
      </c>
      <c r="I440" t="s">
        <v>1931</v>
      </c>
      <c r="J440" t="s">
        <v>1926</v>
      </c>
      <c r="K440" t="s">
        <v>69</v>
      </c>
      <c r="L440" s="350">
        <v>46245</v>
      </c>
      <c r="M440">
        <v>19</v>
      </c>
      <c r="N440">
        <v>11</v>
      </c>
      <c r="O440" s="351">
        <v>46235</v>
      </c>
      <c r="P440">
        <v>0</v>
      </c>
      <c r="Q440">
        <v>0</v>
      </c>
      <c r="R440">
        <v>5.68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10</v>
      </c>
      <c r="AH440">
        <v>17</v>
      </c>
      <c r="AI440" t="s">
        <v>12</v>
      </c>
    </row>
    <row r="441" spans="1:35" ht="12.5">
      <c r="A441" t="s">
        <v>68</v>
      </c>
      <c r="B441" t="s">
        <v>13</v>
      </c>
      <c r="C441" t="s">
        <v>12</v>
      </c>
      <c r="E441">
        <v>0.25</v>
      </c>
      <c r="F441" t="s">
        <v>54</v>
      </c>
      <c r="G441">
        <v>1</v>
      </c>
      <c r="H441">
        <v>1</v>
      </c>
      <c r="I441" t="s">
        <v>1931</v>
      </c>
      <c r="J441" t="s">
        <v>1926</v>
      </c>
      <c r="K441" t="s">
        <v>69</v>
      </c>
      <c r="L441" s="350">
        <v>46246</v>
      </c>
      <c r="M441">
        <v>20</v>
      </c>
      <c r="N441">
        <v>12</v>
      </c>
      <c r="O441" s="351">
        <v>46235</v>
      </c>
      <c r="P441">
        <v>0</v>
      </c>
      <c r="Q441">
        <v>0</v>
      </c>
      <c r="R441">
        <v>5.68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10</v>
      </c>
      <c r="AH441">
        <v>17</v>
      </c>
      <c r="AI441" t="s">
        <v>12</v>
      </c>
    </row>
    <row r="442" spans="1:35" ht="12.5">
      <c r="A442" t="s">
        <v>68</v>
      </c>
      <c r="B442" t="s">
        <v>13</v>
      </c>
      <c r="C442" t="s">
        <v>12</v>
      </c>
      <c r="E442">
        <v>0.25</v>
      </c>
      <c r="F442" t="s">
        <v>54</v>
      </c>
      <c r="G442">
        <v>1</v>
      </c>
      <c r="H442">
        <v>1</v>
      </c>
      <c r="I442" t="s">
        <v>1931</v>
      </c>
      <c r="J442" t="s">
        <v>1926</v>
      </c>
      <c r="K442" t="s">
        <v>69</v>
      </c>
      <c r="L442" s="350">
        <v>46247</v>
      </c>
      <c r="M442">
        <v>21</v>
      </c>
      <c r="N442">
        <v>13</v>
      </c>
      <c r="O442" s="351">
        <v>46235</v>
      </c>
      <c r="P442">
        <v>0</v>
      </c>
      <c r="Q442">
        <v>0</v>
      </c>
      <c r="R442">
        <v>5.68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10</v>
      </c>
      <c r="AH442">
        <v>17</v>
      </c>
      <c r="AI442" t="s">
        <v>12</v>
      </c>
    </row>
    <row r="443" spans="1:35" ht="12.5">
      <c r="A443" t="s">
        <v>68</v>
      </c>
      <c r="B443" t="s">
        <v>13</v>
      </c>
      <c r="C443" t="s">
        <v>12</v>
      </c>
      <c r="E443">
        <v>0.25</v>
      </c>
      <c r="F443" t="s">
        <v>54</v>
      </c>
      <c r="G443">
        <v>1</v>
      </c>
      <c r="H443">
        <v>1</v>
      </c>
      <c r="I443" t="s">
        <v>1931</v>
      </c>
      <c r="J443" t="s">
        <v>1926</v>
      </c>
      <c r="K443" t="s">
        <v>69</v>
      </c>
      <c r="L443" s="350">
        <v>46248</v>
      </c>
      <c r="M443">
        <v>22</v>
      </c>
      <c r="N443">
        <v>14</v>
      </c>
      <c r="O443" s="351">
        <v>46235</v>
      </c>
      <c r="P443">
        <v>0</v>
      </c>
      <c r="Q443">
        <v>0</v>
      </c>
      <c r="R443">
        <v>5.68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10</v>
      </c>
      <c r="AH443">
        <v>17</v>
      </c>
      <c r="AI443" t="s">
        <v>12</v>
      </c>
    </row>
    <row r="444" spans="1:35" ht="12.5">
      <c r="A444" t="s">
        <v>68</v>
      </c>
      <c r="B444" t="s">
        <v>13</v>
      </c>
      <c r="C444" t="s">
        <v>12</v>
      </c>
      <c r="E444">
        <v>0.25</v>
      </c>
      <c r="F444" t="s">
        <v>54</v>
      </c>
      <c r="G444">
        <v>1</v>
      </c>
      <c r="H444">
        <v>1</v>
      </c>
      <c r="I444" t="s">
        <v>1931</v>
      </c>
      <c r="J444" t="s">
        <v>1926</v>
      </c>
      <c r="K444" t="s">
        <v>69</v>
      </c>
      <c r="L444" s="350">
        <v>46249</v>
      </c>
      <c r="M444">
        <v>23</v>
      </c>
      <c r="N444">
        <v>15</v>
      </c>
      <c r="O444" s="351">
        <v>46235</v>
      </c>
      <c r="P444">
        <v>0</v>
      </c>
      <c r="Q444">
        <v>0</v>
      </c>
      <c r="R444">
        <v>5.68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10</v>
      </c>
      <c r="AH444">
        <v>17</v>
      </c>
      <c r="AI444" t="s">
        <v>12</v>
      </c>
    </row>
    <row r="445" spans="1:35" ht="12.5">
      <c r="A445" t="s">
        <v>68</v>
      </c>
      <c r="B445" t="s">
        <v>13</v>
      </c>
      <c r="C445" t="s">
        <v>12</v>
      </c>
      <c r="E445">
        <v>0.25</v>
      </c>
      <c r="F445" t="s">
        <v>54</v>
      </c>
      <c r="G445">
        <v>1</v>
      </c>
      <c r="H445">
        <v>1</v>
      </c>
      <c r="I445" t="s">
        <v>1931</v>
      </c>
      <c r="J445" t="s">
        <v>1926</v>
      </c>
      <c r="K445" t="s">
        <v>69</v>
      </c>
      <c r="L445" s="350">
        <v>46250</v>
      </c>
      <c r="M445">
        <v>24</v>
      </c>
      <c r="N445">
        <v>16</v>
      </c>
      <c r="O445" s="351">
        <v>46235</v>
      </c>
      <c r="P445">
        <v>0</v>
      </c>
      <c r="Q445">
        <v>0</v>
      </c>
      <c r="R445">
        <v>5.68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10</v>
      </c>
      <c r="AH445">
        <v>17</v>
      </c>
      <c r="AI445" t="s">
        <v>12</v>
      </c>
    </row>
    <row r="446" spans="1:35" ht="12.5">
      <c r="A446" t="s">
        <v>68</v>
      </c>
      <c r="B446" t="s">
        <v>13</v>
      </c>
      <c r="C446" t="s">
        <v>12</v>
      </c>
      <c r="E446">
        <v>0.25</v>
      </c>
      <c r="F446" t="s">
        <v>54</v>
      </c>
      <c r="G446">
        <v>1</v>
      </c>
      <c r="H446">
        <v>1</v>
      </c>
      <c r="I446" t="s">
        <v>1931</v>
      </c>
      <c r="J446" t="s">
        <v>1926</v>
      </c>
      <c r="K446" t="s">
        <v>69</v>
      </c>
      <c r="L446" s="350">
        <v>46251</v>
      </c>
      <c r="M446">
        <v>25</v>
      </c>
      <c r="N446">
        <v>17</v>
      </c>
      <c r="O446" s="351">
        <v>46235</v>
      </c>
      <c r="P446">
        <v>0</v>
      </c>
      <c r="Q446">
        <v>0</v>
      </c>
      <c r="R446">
        <v>5.68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10</v>
      </c>
      <c r="AH446">
        <v>17</v>
      </c>
      <c r="AI446" t="s">
        <v>12</v>
      </c>
    </row>
    <row r="447" spans="1:35" ht="12.5">
      <c r="A447" t="s">
        <v>68</v>
      </c>
      <c r="B447" t="s">
        <v>13</v>
      </c>
      <c r="C447" t="s">
        <v>12</v>
      </c>
      <c r="E447">
        <v>0.25</v>
      </c>
      <c r="F447" t="s">
        <v>54</v>
      </c>
      <c r="G447">
        <v>1</v>
      </c>
      <c r="H447">
        <v>1</v>
      </c>
      <c r="I447" t="s">
        <v>1931</v>
      </c>
      <c r="J447" t="s">
        <v>1926</v>
      </c>
      <c r="K447" t="s">
        <v>69</v>
      </c>
      <c r="L447" s="350">
        <v>46252</v>
      </c>
      <c r="M447">
        <v>26</v>
      </c>
      <c r="N447">
        <v>18</v>
      </c>
      <c r="O447" s="351">
        <v>46235</v>
      </c>
      <c r="P447">
        <v>0</v>
      </c>
      <c r="Q447">
        <v>0</v>
      </c>
      <c r="R447">
        <v>5.68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10</v>
      </c>
      <c r="AH447">
        <v>17</v>
      </c>
      <c r="AI447" t="s">
        <v>12</v>
      </c>
    </row>
    <row r="448" spans="1:35" ht="12.5">
      <c r="A448" t="s">
        <v>68</v>
      </c>
      <c r="B448" t="s">
        <v>13</v>
      </c>
      <c r="C448" t="s">
        <v>12</v>
      </c>
      <c r="E448">
        <v>0.25</v>
      </c>
      <c r="F448" t="s">
        <v>54</v>
      </c>
      <c r="G448">
        <v>1</v>
      </c>
      <c r="H448">
        <v>1</v>
      </c>
      <c r="I448" t="s">
        <v>1931</v>
      </c>
      <c r="J448" t="s">
        <v>1926</v>
      </c>
      <c r="K448" t="s">
        <v>69</v>
      </c>
      <c r="L448" s="350">
        <v>46253</v>
      </c>
      <c r="M448">
        <v>27</v>
      </c>
      <c r="N448">
        <v>19</v>
      </c>
      <c r="O448" s="351">
        <v>46235</v>
      </c>
      <c r="P448">
        <v>0</v>
      </c>
      <c r="Q448">
        <v>0</v>
      </c>
      <c r="R448">
        <v>5.68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10</v>
      </c>
      <c r="AH448">
        <v>17</v>
      </c>
      <c r="AI448" t="s">
        <v>12</v>
      </c>
    </row>
    <row r="449" spans="1:35" ht="12.5">
      <c r="A449" t="s">
        <v>68</v>
      </c>
      <c r="B449" t="s">
        <v>13</v>
      </c>
      <c r="C449" t="s">
        <v>12</v>
      </c>
      <c r="E449">
        <v>0.25</v>
      </c>
      <c r="F449" t="s">
        <v>54</v>
      </c>
      <c r="G449">
        <v>1</v>
      </c>
      <c r="H449">
        <v>1</v>
      </c>
      <c r="I449" t="s">
        <v>1931</v>
      </c>
      <c r="J449" t="s">
        <v>1926</v>
      </c>
      <c r="K449" t="s">
        <v>69</v>
      </c>
      <c r="L449" s="350">
        <v>46254</v>
      </c>
      <c r="M449">
        <v>28</v>
      </c>
      <c r="N449">
        <v>20</v>
      </c>
      <c r="O449" s="351">
        <v>46235</v>
      </c>
      <c r="P449">
        <v>0</v>
      </c>
      <c r="Q449">
        <v>0</v>
      </c>
      <c r="R449">
        <v>5.68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10</v>
      </c>
      <c r="AH449">
        <v>17</v>
      </c>
      <c r="AI449" t="s">
        <v>12</v>
      </c>
    </row>
    <row r="450" spans="1:35" ht="12.5">
      <c r="A450" t="s">
        <v>68</v>
      </c>
      <c r="B450" t="s">
        <v>13</v>
      </c>
      <c r="C450" t="s">
        <v>12</v>
      </c>
      <c r="E450">
        <v>0.25</v>
      </c>
      <c r="F450" t="s">
        <v>54</v>
      </c>
      <c r="G450">
        <v>1</v>
      </c>
      <c r="H450">
        <v>1</v>
      </c>
      <c r="I450" t="s">
        <v>1931</v>
      </c>
      <c r="J450" t="s">
        <v>1926</v>
      </c>
      <c r="K450" t="s">
        <v>69</v>
      </c>
      <c r="L450" s="350">
        <v>46255</v>
      </c>
      <c r="M450">
        <v>29</v>
      </c>
      <c r="N450">
        <v>21</v>
      </c>
      <c r="O450" s="351">
        <v>46235</v>
      </c>
      <c r="P450">
        <v>0</v>
      </c>
      <c r="Q450">
        <v>0</v>
      </c>
      <c r="R450">
        <v>5.68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10</v>
      </c>
      <c r="AH450">
        <v>17</v>
      </c>
      <c r="AI450" t="s">
        <v>12</v>
      </c>
    </row>
    <row r="451" spans="1:35" ht="12.5">
      <c r="A451" t="s">
        <v>68</v>
      </c>
      <c r="B451" t="s">
        <v>13</v>
      </c>
      <c r="C451" t="s">
        <v>12</v>
      </c>
      <c r="E451">
        <v>0.25</v>
      </c>
      <c r="F451" t="s">
        <v>54</v>
      </c>
      <c r="G451">
        <v>1</v>
      </c>
      <c r="H451">
        <v>1</v>
      </c>
      <c r="I451" t="s">
        <v>1931</v>
      </c>
      <c r="J451" t="s">
        <v>1926</v>
      </c>
      <c r="K451" t="s">
        <v>69</v>
      </c>
      <c r="L451" s="350">
        <v>46256</v>
      </c>
      <c r="M451">
        <v>30</v>
      </c>
      <c r="N451">
        <v>22</v>
      </c>
      <c r="O451" s="351">
        <v>46235</v>
      </c>
      <c r="P451">
        <v>0</v>
      </c>
      <c r="Q451">
        <v>0</v>
      </c>
      <c r="R451">
        <v>5.68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10</v>
      </c>
      <c r="AH451">
        <v>17</v>
      </c>
      <c r="AI451" t="s">
        <v>12</v>
      </c>
    </row>
    <row r="452" spans="1:35" ht="12.5">
      <c r="A452" t="s">
        <v>72</v>
      </c>
      <c r="B452" t="s">
        <v>22</v>
      </c>
      <c r="C452" t="s">
        <v>12</v>
      </c>
      <c r="E452">
        <v>0.25</v>
      </c>
      <c r="F452" t="s">
        <v>56</v>
      </c>
      <c r="G452">
        <v>3</v>
      </c>
      <c r="H452">
        <v>0</v>
      </c>
      <c r="I452" t="s">
        <v>1928</v>
      </c>
      <c r="J452" t="s">
        <v>1936</v>
      </c>
      <c r="K452" t="s">
        <v>69</v>
      </c>
      <c r="L452" s="350">
        <v>46227</v>
      </c>
      <c r="M452">
        <v>1</v>
      </c>
      <c r="N452">
        <v>24</v>
      </c>
      <c r="O452" s="351">
        <v>46204</v>
      </c>
      <c r="P452">
        <v>1</v>
      </c>
      <c r="Q452">
        <v>0</v>
      </c>
      <c r="R452">
        <v>3.04</v>
      </c>
      <c r="S452">
        <v>1</v>
      </c>
      <c r="T452">
        <v>76</v>
      </c>
      <c r="U452">
        <v>97</v>
      </c>
      <c r="V452">
        <v>-21</v>
      </c>
      <c r="W452">
        <v>93</v>
      </c>
      <c r="X452">
        <v>36.710526315789501</v>
      </c>
      <c r="Y452">
        <v>16</v>
      </c>
      <c r="Z452">
        <v>0</v>
      </c>
      <c r="AA452">
        <v>60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3</v>
      </c>
      <c r="AH452">
        <v>18</v>
      </c>
      <c r="AI452" t="s">
        <v>12</v>
      </c>
    </row>
    <row r="453" spans="1:35" ht="12.5">
      <c r="A453" t="s">
        <v>72</v>
      </c>
      <c r="B453" t="s">
        <v>22</v>
      </c>
      <c r="C453" t="s">
        <v>12</v>
      </c>
      <c r="E453">
        <v>0.25</v>
      </c>
      <c r="F453" t="s">
        <v>56</v>
      </c>
      <c r="G453">
        <v>3</v>
      </c>
      <c r="H453">
        <v>0</v>
      </c>
      <c r="I453" t="s">
        <v>1928</v>
      </c>
      <c r="J453" t="s">
        <v>1936</v>
      </c>
      <c r="K453" t="s">
        <v>69</v>
      </c>
      <c r="L453" s="350">
        <v>46228</v>
      </c>
      <c r="M453">
        <v>2</v>
      </c>
      <c r="N453">
        <v>25</v>
      </c>
      <c r="O453" s="351">
        <v>46204</v>
      </c>
      <c r="P453">
        <v>1</v>
      </c>
      <c r="Q453">
        <v>0</v>
      </c>
      <c r="R453">
        <v>3.04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3</v>
      </c>
      <c r="AH453">
        <v>18</v>
      </c>
      <c r="AI453" t="s">
        <v>12</v>
      </c>
    </row>
    <row r="454" spans="1:35" ht="12.5">
      <c r="A454" t="s">
        <v>72</v>
      </c>
      <c r="B454" t="s">
        <v>22</v>
      </c>
      <c r="C454" t="s">
        <v>12</v>
      </c>
      <c r="E454">
        <v>0.25</v>
      </c>
      <c r="F454" t="s">
        <v>56</v>
      </c>
      <c r="G454">
        <v>3</v>
      </c>
      <c r="H454">
        <v>0</v>
      </c>
      <c r="I454" t="s">
        <v>1928</v>
      </c>
      <c r="J454" t="s">
        <v>1936</v>
      </c>
      <c r="K454" t="s">
        <v>69</v>
      </c>
      <c r="L454" s="350">
        <v>46229</v>
      </c>
      <c r="M454">
        <v>3</v>
      </c>
      <c r="N454">
        <v>26</v>
      </c>
      <c r="O454" s="351">
        <v>46204</v>
      </c>
      <c r="P454">
        <v>1</v>
      </c>
      <c r="Q454">
        <v>0</v>
      </c>
      <c r="R454">
        <v>3.04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3</v>
      </c>
      <c r="AH454">
        <v>18</v>
      </c>
      <c r="AI454" t="s">
        <v>12</v>
      </c>
    </row>
    <row r="455" spans="1:35" ht="12.5">
      <c r="A455" t="s">
        <v>72</v>
      </c>
      <c r="B455" t="s">
        <v>22</v>
      </c>
      <c r="C455" t="s">
        <v>12</v>
      </c>
      <c r="E455">
        <v>0.25</v>
      </c>
      <c r="F455" t="s">
        <v>56</v>
      </c>
      <c r="G455">
        <v>3</v>
      </c>
      <c r="H455">
        <v>0</v>
      </c>
      <c r="I455" t="s">
        <v>1928</v>
      </c>
      <c r="J455" t="s">
        <v>1936</v>
      </c>
      <c r="K455" t="s">
        <v>69</v>
      </c>
      <c r="L455" s="350">
        <v>46230</v>
      </c>
      <c r="M455">
        <v>4</v>
      </c>
      <c r="N455">
        <v>27</v>
      </c>
      <c r="O455" s="351">
        <v>46204</v>
      </c>
      <c r="P455">
        <v>1</v>
      </c>
      <c r="Q455">
        <v>49</v>
      </c>
      <c r="R455">
        <v>3.04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3</v>
      </c>
      <c r="AH455">
        <v>18</v>
      </c>
      <c r="AI455" t="s">
        <v>12</v>
      </c>
    </row>
    <row r="456" spans="1:35" ht="12.5">
      <c r="A456" t="s">
        <v>72</v>
      </c>
      <c r="B456" t="s">
        <v>22</v>
      </c>
      <c r="C456" t="s">
        <v>12</v>
      </c>
      <c r="E456">
        <v>0.25</v>
      </c>
      <c r="F456" t="s">
        <v>56</v>
      </c>
      <c r="G456">
        <v>3</v>
      </c>
      <c r="H456">
        <v>0</v>
      </c>
      <c r="I456" t="s">
        <v>1928</v>
      </c>
      <c r="J456" t="s">
        <v>1936</v>
      </c>
      <c r="K456" t="s">
        <v>69</v>
      </c>
      <c r="L456" s="350">
        <v>46231</v>
      </c>
      <c r="M456">
        <v>5</v>
      </c>
      <c r="N456">
        <v>28</v>
      </c>
      <c r="O456" s="351">
        <v>46204</v>
      </c>
      <c r="P456">
        <v>1</v>
      </c>
      <c r="Q456">
        <v>0</v>
      </c>
      <c r="R456">
        <v>3.04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3</v>
      </c>
      <c r="AH456">
        <v>18</v>
      </c>
      <c r="AI456" t="s">
        <v>12</v>
      </c>
    </row>
    <row r="457" spans="1:35" ht="12.5">
      <c r="A457" t="s">
        <v>72</v>
      </c>
      <c r="B457" t="s">
        <v>22</v>
      </c>
      <c r="C457" t="s">
        <v>12</v>
      </c>
      <c r="E457">
        <v>0.25</v>
      </c>
      <c r="F457" t="s">
        <v>56</v>
      </c>
      <c r="G457">
        <v>3</v>
      </c>
      <c r="H457">
        <v>0</v>
      </c>
      <c r="I457" t="s">
        <v>1928</v>
      </c>
      <c r="J457" t="s">
        <v>1936</v>
      </c>
      <c r="K457" t="s">
        <v>69</v>
      </c>
      <c r="L457" s="350">
        <v>46232</v>
      </c>
      <c r="M457">
        <v>6</v>
      </c>
      <c r="N457">
        <v>29</v>
      </c>
      <c r="O457" s="351">
        <v>46204</v>
      </c>
      <c r="P457">
        <v>1</v>
      </c>
      <c r="Q457">
        <v>0</v>
      </c>
      <c r="R457">
        <v>3.04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3</v>
      </c>
      <c r="AH457">
        <v>18</v>
      </c>
      <c r="AI457" t="s">
        <v>12</v>
      </c>
    </row>
    <row r="458" spans="1:35" ht="12.5">
      <c r="A458" t="s">
        <v>72</v>
      </c>
      <c r="B458" t="s">
        <v>22</v>
      </c>
      <c r="C458" t="s">
        <v>12</v>
      </c>
      <c r="E458">
        <v>0.25</v>
      </c>
      <c r="F458" t="s">
        <v>56</v>
      </c>
      <c r="G458">
        <v>3</v>
      </c>
      <c r="H458">
        <v>0</v>
      </c>
      <c r="I458" t="s">
        <v>1928</v>
      </c>
      <c r="J458" t="s">
        <v>1936</v>
      </c>
      <c r="K458" t="s">
        <v>69</v>
      </c>
      <c r="L458" s="350">
        <v>46233</v>
      </c>
      <c r="M458">
        <v>7</v>
      </c>
      <c r="N458">
        <v>30</v>
      </c>
      <c r="O458" s="351">
        <v>46204</v>
      </c>
      <c r="P458">
        <v>1</v>
      </c>
      <c r="Q458">
        <v>0</v>
      </c>
      <c r="R458">
        <v>3.04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3</v>
      </c>
      <c r="AH458">
        <v>18</v>
      </c>
      <c r="AI458" t="s">
        <v>12</v>
      </c>
    </row>
    <row r="459" spans="1:35" ht="12.5">
      <c r="A459" t="s">
        <v>72</v>
      </c>
      <c r="B459" t="s">
        <v>22</v>
      </c>
      <c r="C459" t="s">
        <v>12</v>
      </c>
      <c r="E459">
        <v>0.25</v>
      </c>
      <c r="F459" t="s">
        <v>56</v>
      </c>
      <c r="G459">
        <v>3</v>
      </c>
      <c r="H459">
        <v>0</v>
      </c>
      <c r="I459" t="s">
        <v>1928</v>
      </c>
      <c r="J459" t="s">
        <v>1936</v>
      </c>
      <c r="K459" t="s">
        <v>69</v>
      </c>
      <c r="L459" s="350">
        <v>46234</v>
      </c>
      <c r="M459">
        <v>8</v>
      </c>
      <c r="N459">
        <v>31</v>
      </c>
      <c r="O459" s="351">
        <v>46204</v>
      </c>
      <c r="P459">
        <v>1</v>
      </c>
      <c r="Q459">
        <v>0</v>
      </c>
      <c r="R459">
        <v>3.04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3</v>
      </c>
      <c r="AH459">
        <v>18</v>
      </c>
      <c r="AI459" t="s">
        <v>12</v>
      </c>
    </row>
    <row r="460" spans="1:35" ht="12.5">
      <c r="A460" t="s">
        <v>72</v>
      </c>
      <c r="B460" t="s">
        <v>22</v>
      </c>
      <c r="C460" t="s">
        <v>12</v>
      </c>
      <c r="E460">
        <v>0.25</v>
      </c>
      <c r="F460" t="s">
        <v>56</v>
      </c>
      <c r="G460">
        <v>3</v>
      </c>
      <c r="H460">
        <v>0</v>
      </c>
      <c r="I460" t="s">
        <v>1928</v>
      </c>
      <c r="J460" t="s">
        <v>1936</v>
      </c>
      <c r="K460" t="s">
        <v>69</v>
      </c>
      <c r="L460" s="350">
        <v>46235</v>
      </c>
      <c r="M460">
        <v>9</v>
      </c>
      <c r="N460">
        <v>1</v>
      </c>
      <c r="O460" s="351">
        <v>46235</v>
      </c>
      <c r="P460">
        <v>1</v>
      </c>
      <c r="Q460">
        <v>48</v>
      </c>
      <c r="R460">
        <v>3.04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3</v>
      </c>
      <c r="AH460">
        <v>18</v>
      </c>
      <c r="AI460" t="s">
        <v>12</v>
      </c>
    </row>
    <row r="461" spans="1:35" ht="12.5">
      <c r="A461" t="s">
        <v>72</v>
      </c>
      <c r="B461" t="s">
        <v>22</v>
      </c>
      <c r="C461" t="s">
        <v>12</v>
      </c>
      <c r="E461">
        <v>0.25</v>
      </c>
      <c r="F461" t="s">
        <v>56</v>
      </c>
      <c r="G461">
        <v>3</v>
      </c>
      <c r="H461">
        <v>0</v>
      </c>
      <c r="I461" t="s">
        <v>1928</v>
      </c>
      <c r="J461" t="s">
        <v>1936</v>
      </c>
      <c r="K461" t="s">
        <v>69</v>
      </c>
      <c r="L461" s="350">
        <v>46236</v>
      </c>
      <c r="M461">
        <v>10</v>
      </c>
      <c r="N461">
        <v>2</v>
      </c>
      <c r="O461" s="351">
        <v>46235</v>
      </c>
      <c r="P461">
        <v>1</v>
      </c>
      <c r="Q461">
        <v>0</v>
      </c>
      <c r="R461">
        <v>3.04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3</v>
      </c>
      <c r="AH461">
        <v>18</v>
      </c>
      <c r="AI461" t="s">
        <v>12</v>
      </c>
    </row>
    <row r="462" spans="1:35" ht="12.5">
      <c r="A462" t="s">
        <v>72</v>
      </c>
      <c r="B462" t="s">
        <v>22</v>
      </c>
      <c r="C462" t="s">
        <v>12</v>
      </c>
      <c r="E462">
        <v>0.25</v>
      </c>
      <c r="F462" t="s">
        <v>56</v>
      </c>
      <c r="G462">
        <v>3</v>
      </c>
      <c r="H462">
        <v>0</v>
      </c>
      <c r="I462" t="s">
        <v>1928</v>
      </c>
      <c r="J462" t="s">
        <v>1936</v>
      </c>
      <c r="K462" t="s">
        <v>69</v>
      </c>
      <c r="L462" s="350">
        <v>46237</v>
      </c>
      <c r="M462">
        <v>11</v>
      </c>
      <c r="N462">
        <v>3</v>
      </c>
      <c r="O462" s="351">
        <v>46235</v>
      </c>
      <c r="P462">
        <v>1</v>
      </c>
      <c r="Q462">
        <v>0</v>
      </c>
      <c r="R462">
        <v>3.04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3</v>
      </c>
      <c r="AH462">
        <v>18</v>
      </c>
      <c r="AI462" t="s">
        <v>12</v>
      </c>
    </row>
    <row r="463" spans="1:35" ht="12.5">
      <c r="A463" t="s">
        <v>72</v>
      </c>
      <c r="B463" t="s">
        <v>22</v>
      </c>
      <c r="C463" t="s">
        <v>12</v>
      </c>
      <c r="E463">
        <v>0.25</v>
      </c>
      <c r="F463" t="s">
        <v>56</v>
      </c>
      <c r="G463">
        <v>3</v>
      </c>
      <c r="H463">
        <v>0</v>
      </c>
      <c r="I463" t="s">
        <v>1928</v>
      </c>
      <c r="J463" t="s">
        <v>1936</v>
      </c>
      <c r="K463" t="s">
        <v>69</v>
      </c>
      <c r="L463" s="350">
        <v>46238</v>
      </c>
      <c r="M463">
        <v>12</v>
      </c>
      <c r="N463">
        <v>4</v>
      </c>
      <c r="O463" s="351">
        <v>46235</v>
      </c>
      <c r="P463">
        <v>0</v>
      </c>
      <c r="Q463">
        <v>0</v>
      </c>
      <c r="R463">
        <v>3.04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3</v>
      </c>
      <c r="AH463">
        <v>18</v>
      </c>
      <c r="AI463" t="s">
        <v>12</v>
      </c>
    </row>
    <row r="464" spans="1:35" ht="12.5">
      <c r="A464" t="s">
        <v>72</v>
      </c>
      <c r="B464" t="s">
        <v>22</v>
      </c>
      <c r="C464" t="s">
        <v>12</v>
      </c>
      <c r="E464">
        <v>0.25</v>
      </c>
      <c r="F464" t="s">
        <v>56</v>
      </c>
      <c r="G464">
        <v>3</v>
      </c>
      <c r="H464">
        <v>0</v>
      </c>
      <c r="I464" t="s">
        <v>1928</v>
      </c>
      <c r="J464" t="s">
        <v>1936</v>
      </c>
      <c r="K464" t="s">
        <v>69</v>
      </c>
      <c r="L464" s="350">
        <v>46239</v>
      </c>
      <c r="M464">
        <v>13</v>
      </c>
      <c r="N464">
        <v>5</v>
      </c>
      <c r="O464" s="351">
        <v>46235</v>
      </c>
      <c r="P464">
        <v>0</v>
      </c>
      <c r="Q464">
        <v>0</v>
      </c>
      <c r="R464">
        <v>3.04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3</v>
      </c>
      <c r="AH464">
        <v>18</v>
      </c>
      <c r="AI464" t="s">
        <v>12</v>
      </c>
    </row>
    <row r="465" spans="1:35" ht="12.5">
      <c r="A465" t="s">
        <v>72</v>
      </c>
      <c r="B465" t="s">
        <v>22</v>
      </c>
      <c r="C465" t="s">
        <v>12</v>
      </c>
      <c r="E465">
        <v>0.25</v>
      </c>
      <c r="F465" t="s">
        <v>56</v>
      </c>
      <c r="G465">
        <v>3</v>
      </c>
      <c r="H465">
        <v>0</v>
      </c>
      <c r="I465" t="s">
        <v>1928</v>
      </c>
      <c r="J465" t="s">
        <v>1936</v>
      </c>
      <c r="K465" t="s">
        <v>69</v>
      </c>
      <c r="L465" s="350">
        <v>46240</v>
      </c>
      <c r="M465">
        <v>14</v>
      </c>
      <c r="N465">
        <v>6</v>
      </c>
      <c r="O465" s="351">
        <v>46235</v>
      </c>
      <c r="P465">
        <v>0</v>
      </c>
      <c r="Q465">
        <v>0</v>
      </c>
      <c r="R465">
        <v>3.04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3</v>
      </c>
      <c r="AH465">
        <v>18</v>
      </c>
      <c r="AI465" t="s">
        <v>12</v>
      </c>
    </row>
    <row r="466" spans="1:35" ht="12.5">
      <c r="A466" t="s">
        <v>72</v>
      </c>
      <c r="B466" t="s">
        <v>22</v>
      </c>
      <c r="C466" t="s">
        <v>12</v>
      </c>
      <c r="E466">
        <v>0.25</v>
      </c>
      <c r="F466" t="s">
        <v>56</v>
      </c>
      <c r="G466">
        <v>3</v>
      </c>
      <c r="H466">
        <v>0</v>
      </c>
      <c r="I466" t="s">
        <v>1928</v>
      </c>
      <c r="J466" t="s">
        <v>1936</v>
      </c>
      <c r="K466" t="s">
        <v>69</v>
      </c>
      <c r="L466" s="350">
        <v>46241</v>
      </c>
      <c r="M466">
        <v>15</v>
      </c>
      <c r="N466">
        <v>7</v>
      </c>
      <c r="O466" s="351">
        <v>46235</v>
      </c>
      <c r="P466">
        <v>0</v>
      </c>
      <c r="Q466">
        <v>0</v>
      </c>
      <c r="R466">
        <v>3.04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3</v>
      </c>
      <c r="AH466">
        <v>18</v>
      </c>
      <c r="AI466" t="s">
        <v>12</v>
      </c>
    </row>
    <row r="467" spans="1:35" ht="12.5">
      <c r="A467" t="s">
        <v>72</v>
      </c>
      <c r="B467" t="s">
        <v>22</v>
      </c>
      <c r="C467" t="s">
        <v>12</v>
      </c>
      <c r="E467">
        <v>0.25</v>
      </c>
      <c r="F467" t="s">
        <v>56</v>
      </c>
      <c r="G467">
        <v>3</v>
      </c>
      <c r="H467">
        <v>0</v>
      </c>
      <c r="I467" t="s">
        <v>1928</v>
      </c>
      <c r="J467" t="s">
        <v>1936</v>
      </c>
      <c r="K467" t="s">
        <v>69</v>
      </c>
      <c r="L467" s="350">
        <v>46242</v>
      </c>
      <c r="M467">
        <v>16</v>
      </c>
      <c r="N467">
        <v>8</v>
      </c>
      <c r="O467" s="351">
        <v>46235</v>
      </c>
      <c r="P467">
        <v>0</v>
      </c>
      <c r="Q467">
        <v>0</v>
      </c>
      <c r="R467">
        <v>3.04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3</v>
      </c>
      <c r="AH467">
        <v>18</v>
      </c>
      <c r="AI467" t="s">
        <v>12</v>
      </c>
    </row>
    <row r="468" spans="1:35" ht="12.5">
      <c r="A468" t="s">
        <v>72</v>
      </c>
      <c r="B468" t="s">
        <v>22</v>
      </c>
      <c r="C468" t="s">
        <v>12</v>
      </c>
      <c r="E468">
        <v>0.25</v>
      </c>
      <c r="F468" t="s">
        <v>56</v>
      </c>
      <c r="G468">
        <v>3</v>
      </c>
      <c r="H468">
        <v>0</v>
      </c>
      <c r="I468" t="s">
        <v>1928</v>
      </c>
      <c r="J468" t="s">
        <v>1936</v>
      </c>
      <c r="K468" t="s">
        <v>69</v>
      </c>
      <c r="L468" s="350">
        <v>46243</v>
      </c>
      <c r="M468">
        <v>17</v>
      </c>
      <c r="N468">
        <v>9</v>
      </c>
      <c r="O468" s="351">
        <v>46235</v>
      </c>
      <c r="P468">
        <v>0</v>
      </c>
      <c r="Q468">
        <v>0</v>
      </c>
      <c r="R468">
        <v>3.04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3</v>
      </c>
      <c r="AH468">
        <v>18</v>
      </c>
      <c r="AI468" t="s">
        <v>12</v>
      </c>
    </row>
    <row r="469" spans="1:35" ht="12.5">
      <c r="A469" t="s">
        <v>72</v>
      </c>
      <c r="B469" t="s">
        <v>22</v>
      </c>
      <c r="C469" t="s">
        <v>12</v>
      </c>
      <c r="E469">
        <v>0.25</v>
      </c>
      <c r="F469" t="s">
        <v>56</v>
      </c>
      <c r="G469">
        <v>3</v>
      </c>
      <c r="H469">
        <v>0</v>
      </c>
      <c r="I469" t="s">
        <v>1928</v>
      </c>
      <c r="J469" t="s">
        <v>1936</v>
      </c>
      <c r="K469" t="s">
        <v>69</v>
      </c>
      <c r="L469" s="350">
        <v>46244</v>
      </c>
      <c r="M469">
        <v>18</v>
      </c>
      <c r="N469">
        <v>10</v>
      </c>
      <c r="O469" s="351">
        <v>46235</v>
      </c>
      <c r="P469">
        <v>0</v>
      </c>
      <c r="Q469">
        <v>0</v>
      </c>
      <c r="R469">
        <v>3.04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3</v>
      </c>
      <c r="AH469">
        <v>18</v>
      </c>
      <c r="AI469" t="s">
        <v>12</v>
      </c>
    </row>
    <row r="470" spans="1:35" ht="12.5">
      <c r="A470" t="s">
        <v>72</v>
      </c>
      <c r="B470" t="s">
        <v>22</v>
      </c>
      <c r="C470" t="s">
        <v>12</v>
      </c>
      <c r="E470">
        <v>0.25</v>
      </c>
      <c r="F470" t="s">
        <v>56</v>
      </c>
      <c r="G470">
        <v>3</v>
      </c>
      <c r="H470">
        <v>0</v>
      </c>
      <c r="I470" t="s">
        <v>1928</v>
      </c>
      <c r="J470" t="s">
        <v>1936</v>
      </c>
      <c r="K470" t="s">
        <v>69</v>
      </c>
      <c r="L470" s="350">
        <v>46245</v>
      </c>
      <c r="M470">
        <v>19</v>
      </c>
      <c r="N470">
        <v>11</v>
      </c>
      <c r="O470" s="351">
        <v>46235</v>
      </c>
      <c r="P470">
        <v>0</v>
      </c>
      <c r="Q470">
        <v>0</v>
      </c>
      <c r="R470">
        <v>3.04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3</v>
      </c>
      <c r="AH470">
        <v>18</v>
      </c>
      <c r="AI470" t="s">
        <v>12</v>
      </c>
    </row>
    <row r="471" spans="1:35" ht="12.5">
      <c r="A471" t="s">
        <v>72</v>
      </c>
      <c r="B471" t="s">
        <v>22</v>
      </c>
      <c r="C471" t="s">
        <v>12</v>
      </c>
      <c r="E471">
        <v>0.25</v>
      </c>
      <c r="F471" t="s">
        <v>56</v>
      </c>
      <c r="G471">
        <v>3</v>
      </c>
      <c r="H471">
        <v>0</v>
      </c>
      <c r="I471" t="s">
        <v>1928</v>
      </c>
      <c r="J471" t="s">
        <v>1936</v>
      </c>
      <c r="K471" t="s">
        <v>69</v>
      </c>
      <c r="L471" s="350">
        <v>46246</v>
      </c>
      <c r="M471">
        <v>20</v>
      </c>
      <c r="N471">
        <v>12</v>
      </c>
      <c r="O471" s="351">
        <v>46235</v>
      </c>
      <c r="P471">
        <v>0</v>
      </c>
      <c r="Q471">
        <v>0</v>
      </c>
      <c r="R471">
        <v>3.04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3</v>
      </c>
      <c r="AH471">
        <v>18</v>
      </c>
      <c r="AI471" t="s">
        <v>12</v>
      </c>
    </row>
    <row r="472" spans="1:35" ht="12.5">
      <c r="A472" t="s">
        <v>72</v>
      </c>
      <c r="B472" t="s">
        <v>22</v>
      </c>
      <c r="C472" t="s">
        <v>12</v>
      </c>
      <c r="E472">
        <v>0.25</v>
      </c>
      <c r="F472" t="s">
        <v>56</v>
      </c>
      <c r="G472">
        <v>3</v>
      </c>
      <c r="H472">
        <v>0</v>
      </c>
      <c r="I472" t="s">
        <v>1928</v>
      </c>
      <c r="J472" t="s">
        <v>1936</v>
      </c>
      <c r="K472" t="s">
        <v>69</v>
      </c>
      <c r="L472" s="350">
        <v>46247</v>
      </c>
      <c r="M472">
        <v>21</v>
      </c>
      <c r="N472">
        <v>13</v>
      </c>
      <c r="O472" s="351">
        <v>46235</v>
      </c>
      <c r="P472">
        <v>0</v>
      </c>
      <c r="Q472">
        <v>0</v>
      </c>
      <c r="R472">
        <v>3.04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3</v>
      </c>
      <c r="AH472">
        <v>18</v>
      </c>
      <c r="AI472" t="s">
        <v>12</v>
      </c>
    </row>
    <row r="473" spans="1:35" ht="12.5">
      <c r="A473" t="s">
        <v>72</v>
      </c>
      <c r="B473" t="s">
        <v>22</v>
      </c>
      <c r="C473" t="s">
        <v>12</v>
      </c>
      <c r="E473">
        <v>0.25</v>
      </c>
      <c r="F473" t="s">
        <v>56</v>
      </c>
      <c r="G473">
        <v>3</v>
      </c>
      <c r="H473">
        <v>0</v>
      </c>
      <c r="I473" t="s">
        <v>1928</v>
      </c>
      <c r="J473" t="s">
        <v>1936</v>
      </c>
      <c r="K473" t="s">
        <v>69</v>
      </c>
      <c r="L473" s="350">
        <v>46248</v>
      </c>
      <c r="M473">
        <v>22</v>
      </c>
      <c r="N473">
        <v>14</v>
      </c>
      <c r="O473" s="351">
        <v>46235</v>
      </c>
      <c r="P473">
        <v>0</v>
      </c>
      <c r="Q473">
        <v>0</v>
      </c>
      <c r="R473">
        <v>3.04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3</v>
      </c>
      <c r="AH473">
        <v>18</v>
      </c>
      <c r="AI473" t="s">
        <v>12</v>
      </c>
    </row>
    <row r="474" spans="1:35" ht="12.5">
      <c r="A474" t="s">
        <v>72</v>
      </c>
      <c r="B474" t="s">
        <v>22</v>
      </c>
      <c r="C474" t="s">
        <v>12</v>
      </c>
      <c r="E474">
        <v>0.25</v>
      </c>
      <c r="F474" t="s">
        <v>56</v>
      </c>
      <c r="G474">
        <v>3</v>
      </c>
      <c r="H474">
        <v>0</v>
      </c>
      <c r="I474" t="s">
        <v>1928</v>
      </c>
      <c r="J474" t="s">
        <v>1936</v>
      </c>
      <c r="K474" t="s">
        <v>69</v>
      </c>
      <c r="L474" s="350">
        <v>46249</v>
      </c>
      <c r="M474">
        <v>23</v>
      </c>
      <c r="N474">
        <v>15</v>
      </c>
      <c r="O474" s="351">
        <v>46235</v>
      </c>
      <c r="P474">
        <v>0</v>
      </c>
      <c r="Q474">
        <v>0</v>
      </c>
      <c r="R474">
        <v>3.04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3</v>
      </c>
      <c r="AH474">
        <v>18</v>
      </c>
      <c r="AI474" t="s">
        <v>12</v>
      </c>
    </row>
    <row r="475" spans="1:35" ht="12.5">
      <c r="A475" t="s">
        <v>72</v>
      </c>
      <c r="B475" t="s">
        <v>22</v>
      </c>
      <c r="C475" t="s">
        <v>12</v>
      </c>
      <c r="E475">
        <v>0.25</v>
      </c>
      <c r="F475" t="s">
        <v>56</v>
      </c>
      <c r="G475">
        <v>3</v>
      </c>
      <c r="H475">
        <v>0</v>
      </c>
      <c r="I475" t="s">
        <v>1928</v>
      </c>
      <c r="J475" t="s">
        <v>1936</v>
      </c>
      <c r="K475" t="s">
        <v>69</v>
      </c>
      <c r="L475" s="350">
        <v>46250</v>
      </c>
      <c r="M475">
        <v>24</v>
      </c>
      <c r="N475">
        <v>16</v>
      </c>
      <c r="O475" s="351">
        <v>46235</v>
      </c>
      <c r="P475">
        <v>0</v>
      </c>
      <c r="Q475">
        <v>0</v>
      </c>
      <c r="R475">
        <v>3.04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3</v>
      </c>
      <c r="AH475">
        <v>18</v>
      </c>
      <c r="AI475" t="s">
        <v>12</v>
      </c>
    </row>
    <row r="476" spans="1:35" ht="12.5">
      <c r="A476" t="s">
        <v>72</v>
      </c>
      <c r="B476" t="s">
        <v>22</v>
      </c>
      <c r="C476" t="s">
        <v>12</v>
      </c>
      <c r="E476">
        <v>0.25</v>
      </c>
      <c r="F476" t="s">
        <v>56</v>
      </c>
      <c r="G476">
        <v>3</v>
      </c>
      <c r="H476">
        <v>0</v>
      </c>
      <c r="I476" t="s">
        <v>1928</v>
      </c>
      <c r="J476" t="s">
        <v>1936</v>
      </c>
      <c r="K476" t="s">
        <v>69</v>
      </c>
      <c r="L476" s="350">
        <v>46251</v>
      </c>
      <c r="M476">
        <v>25</v>
      </c>
      <c r="N476">
        <v>17</v>
      </c>
      <c r="O476" s="351">
        <v>46235</v>
      </c>
      <c r="P476">
        <v>0</v>
      </c>
      <c r="Q476">
        <v>0</v>
      </c>
      <c r="R476">
        <v>3.04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3</v>
      </c>
      <c r="AH476">
        <v>18</v>
      </c>
      <c r="AI476" t="s">
        <v>12</v>
      </c>
    </row>
    <row r="477" spans="1:35" ht="12.5">
      <c r="A477" t="s">
        <v>72</v>
      </c>
      <c r="B477" t="s">
        <v>22</v>
      </c>
      <c r="C477" t="s">
        <v>12</v>
      </c>
      <c r="E477">
        <v>0.25</v>
      </c>
      <c r="F477" t="s">
        <v>56</v>
      </c>
      <c r="G477">
        <v>3</v>
      </c>
      <c r="H477">
        <v>0</v>
      </c>
      <c r="I477" t="s">
        <v>1928</v>
      </c>
      <c r="J477" t="s">
        <v>1936</v>
      </c>
      <c r="K477" t="s">
        <v>69</v>
      </c>
      <c r="L477" s="350">
        <v>46252</v>
      </c>
      <c r="M477">
        <v>26</v>
      </c>
      <c r="N477">
        <v>18</v>
      </c>
      <c r="O477" s="351">
        <v>46235</v>
      </c>
      <c r="P477">
        <v>0</v>
      </c>
      <c r="Q477">
        <v>0</v>
      </c>
      <c r="R477">
        <v>3.04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3</v>
      </c>
      <c r="AH477">
        <v>18</v>
      </c>
      <c r="AI477" t="s">
        <v>12</v>
      </c>
    </row>
    <row r="478" spans="1:35" ht="12.5">
      <c r="A478" t="s">
        <v>72</v>
      </c>
      <c r="B478" t="s">
        <v>22</v>
      </c>
      <c r="C478" t="s">
        <v>12</v>
      </c>
      <c r="E478">
        <v>0.25</v>
      </c>
      <c r="F478" t="s">
        <v>56</v>
      </c>
      <c r="G478">
        <v>3</v>
      </c>
      <c r="H478">
        <v>0</v>
      </c>
      <c r="I478" t="s">
        <v>1928</v>
      </c>
      <c r="J478" t="s">
        <v>1936</v>
      </c>
      <c r="K478" t="s">
        <v>69</v>
      </c>
      <c r="L478" s="350">
        <v>46253</v>
      </c>
      <c r="M478">
        <v>27</v>
      </c>
      <c r="N478">
        <v>19</v>
      </c>
      <c r="O478" s="351">
        <v>46235</v>
      </c>
      <c r="P478">
        <v>0</v>
      </c>
      <c r="Q478">
        <v>0</v>
      </c>
      <c r="R478">
        <v>3.04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3</v>
      </c>
      <c r="AH478">
        <v>18</v>
      </c>
      <c r="AI478" t="s">
        <v>12</v>
      </c>
    </row>
    <row r="479" spans="1:35" ht="12.5">
      <c r="A479" t="s">
        <v>72</v>
      </c>
      <c r="B479" t="s">
        <v>22</v>
      </c>
      <c r="C479" t="s">
        <v>12</v>
      </c>
      <c r="E479">
        <v>0.25</v>
      </c>
      <c r="F479" t="s">
        <v>56</v>
      </c>
      <c r="G479">
        <v>3</v>
      </c>
      <c r="H479">
        <v>0</v>
      </c>
      <c r="I479" t="s">
        <v>1928</v>
      </c>
      <c r="J479" t="s">
        <v>1936</v>
      </c>
      <c r="K479" t="s">
        <v>69</v>
      </c>
      <c r="L479" s="350">
        <v>46254</v>
      </c>
      <c r="M479">
        <v>28</v>
      </c>
      <c r="N479">
        <v>20</v>
      </c>
      <c r="O479" s="351">
        <v>46235</v>
      </c>
      <c r="P479">
        <v>0</v>
      </c>
      <c r="Q479">
        <v>0</v>
      </c>
      <c r="R479">
        <v>3.04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3</v>
      </c>
      <c r="AH479">
        <v>18</v>
      </c>
      <c r="AI479" t="s">
        <v>12</v>
      </c>
    </row>
    <row r="480" spans="1:35" ht="12.5">
      <c r="A480" t="s">
        <v>72</v>
      </c>
      <c r="B480" t="s">
        <v>22</v>
      </c>
      <c r="C480" t="s">
        <v>12</v>
      </c>
      <c r="E480">
        <v>0.25</v>
      </c>
      <c r="F480" t="s">
        <v>56</v>
      </c>
      <c r="G480">
        <v>3</v>
      </c>
      <c r="H480">
        <v>0</v>
      </c>
      <c r="I480" t="s">
        <v>1928</v>
      </c>
      <c r="J480" t="s">
        <v>1936</v>
      </c>
      <c r="K480" t="s">
        <v>69</v>
      </c>
      <c r="L480" s="350">
        <v>46255</v>
      </c>
      <c r="M480">
        <v>29</v>
      </c>
      <c r="N480">
        <v>21</v>
      </c>
      <c r="O480" s="351">
        <v>46235</v>
      </c>
      <c r="P480">
        <v>0</v>
      </c>
      <c r="Q480">
        <v>0</v>
      </c>
      <c r="R480">
        <v>3.04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3</v>
      </c>
      <c r="AH480">
        <v>18</v>
      </c>
      <c r="AI480" t="s">
        <v>12</v>
      </c>
    </row>
    <row r="481" spans="1:35" ht="12.5">
      <c r="A481" t="s">
        <v>72</v>
      </c>
      <c r="B481" t="s">
        <v>22</v>
      </c>
      <c r="C481" t="s">
        <v>12</v>
      </c>
      <c r="E481">
        <v>0.25</v>
      </c>
      <c r="F481" t="s">
        <v>56</v>
      </c>
      <c r="G481">
        <v>3</v>
      </c>
      <c r="H481">
        <v>0</v>
      </c>
      <c r="I481" t="s">
        <v>1928</v>
      </c>
      <c r="J481" t="s">
        <v>1936</v>
      </c>
      <c r="K481" t="s">
        <v>69</v>
      </c>
      <c r="L481" s="350">
        <v>46256</v>
      </c>
      <c r="M481">
        <v>30</v>
      </c>
      <c r="N481">
        <v>22</v>
      </c>
      <c r="O481" s="351">
        <v>46235</v>
      </c>
      <c r="P481">
        <v>0</v>
      </c>
      <c r="Q481">
        <v>0</v>
      </c>
      <c r="R481">
        <v>3.04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3</v>
      </c>
      <c r="AH481">
        <v>18</v>
      </c>
      <c r="AI481" t="s">
        <v>12</v>
      </c>
    </row>
    <row r="482" spans="1:35" ht="12.5">
      <c r="A482" t="s">
        <v>70</v>
      </c>
      <c r="B482" t="s">
        <v>14</v>
      </c>
      <c r="C482" t="s">
        <v>12</v>
      </c>
      <c r="E482">
        <v>0.25</v>
      </c>
      <c r="F482" t="s">
        <v>56</v>
      </c>
      <c r="G482">
        <v>3</v>
      </c>
      <c r="H482">
        <v>0</v>
      </c>
      <c r="I482" t="s">
        <v>1928</v>
      </c>
      <c r="J482" t="s">
        <v>1937</v>
      </c>
      <c r="L482" s="350">
        <v>46227</v>
      </c>
      <c r="M482">
        <v>1</v>
      </c>
      <c r="N482">
        <v>24</v>
      </c>
      <c r="O482" s="351">
        <v>46204</v>
      </c>
      <c r="P482">
        <v>1</v>
      </c>
      <c r="Q482">
        <v>0</v>
      </c>
      <c r="R482">
        <v>3.64</v>
      </c>
      <c r="S482">
        <v>1</v>
      </c>
      <c r="T482">
        <v>91</v>
      </c>
      <c r="U482">
        <v>82</v>
      </c>
      <c r="V482">
        <v>9</v>
      </c>
      <c r="W482">
        <v>28</v>
      </c>
      <c r="X482">
        <v>9.2307692307692299</v>
      </c>
      <c r="Y482">
        <v>91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7</v>
      </c>
      <c r="AH482">
        <v>19</v>
      </c>
      <c r="AI482" t="s">
        <v>12</v>
      </c>
    </row>
    <row r="483" spans="1:35" ht="12.5">
      <c r="A483" t="s">
        <v>70</v>
      </c>
      <c r="B483" t="s">
        <v>14</v>
      </c>
      <c r="C483" t="s">
        <v>12</v>
      </c>
      <c r="E483">
        <v>0.25</v>
      </c>
      <c r="F483" t="s">
        <v>56</v>
      </c>
      <c r="G483">
        <v>3</v>
      </c>
      <c r="H483">
        <v>0</v>
      </c>
      <c r="I483" t="s">
        <v>1928</v>
      </c>
      <c r="J483" t="s">
        <v>1937</v>
      </c>
      <c r="L483" s="350">
        <v>46228</v>
      </c>
      <c r="M483">
        <v>2</v>
      </c>
      <c r="N483">
        <v>25</v>
      </c>
      <c r="O483" s="351">
        <v>46204</v>
      </c>
      <c r="P483">
        <v>1</v>
      </c>
      <c r="Q483">
        <v>0</v>
      </c>
      <c r="R483">
        <v>3.64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7</v>
      </c>
      <c r="AH483">
        <v>19</v>
      </c>
      <c r="AI483" t="s">
        <v>12</v>
      </c>
    </row>
    <row r="484" spans="1:35" ht="12.5">
      <c r="A484" t="s">
        <v>70</v>
      </c>
      <c r="B484" t="s">
        <v>14</v>
      </c>
      <c r="C484" t="s">
        <v>12</v>
      </c>
      <c r="E484">
        <v>0.25</v>
      </c>
      <c r="F484" t="s">
        <v>56</v>
      </c>
      <c r="G484">
        <v>3</v>
      </c>
      <c r="H484">
        <v>0</v>
      </c>
      <c r="I484" t="s">
        <v>1928</v>
      </c>
      <c r="J484" t="s">
        <v>1937</v>
      </c>
      <c r="L484" s="350">
        <v>46229</v>
      </c>
      <c r="M484">
        <v>3</v>
      </c>
      <c r="N484">
        <v>26</v>
      </c>
      <c r="O484" s="351">
        <v>46204</v>
      </c>
      <c r="P484">
        <v>1</v>
      </c>
      <c r="Q484">
        <v>0</v>
      </c>
      <c r="R484">
        <v>3.64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7</v>
      </c>
      <c r="AH484">
        <v>19</v>
      </c>
      <c r="AI484" t="s">
        <v>12</v>
      </c>
    </row>
    <row r="485" spans="1:35" ht="12.5">
      <c r="A485" t="s">
        <v>70</v>
      </c>
      <c r="B485" t="s">
        <v>14</v>
      </c>
      <c r="C485" t="s">
        <v>12</v>
      </c>
      <c r="E485">
        <v>0.25</v>
      </c>
      <c r="F485" t="s">
        <v>56</v>
      </c>
      <c r="G485">
        <v>3</v>
      </c>
      <c r="H485">
        <v>0</v>
      </c>
      <c r="I485" t="s">
        <v>1928</v>
      </c>
      <c r="J485" t="s">
        <v>1937</v>
      </c>
      <c r="L485" s="350">
        <v>46230</v>
      </c>
      <c r="M485">
        <v>4</v>
      </c>
      <c r="N485">
        <v>27</v>
      </c>
      <c r="O485" s="351">
        <v>46204</v>
      </c>
      <c r="P485">
        <v>1</v>
      </c>
      <c r="Q485">
        <v>13</v>
      </c>
      <c r="R485">
        <v>3.64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7</v>
      </c>
      <c r="AH485">
        <v>19</v>
      </c>
      <c r="AI485" t="s">
        <v>12</v>
      </c>
    </row>
    <row r="486" spans="1:35" ht="12.5">
      <c r="A486" t="s">
        <v>70</v>
      </c>
      <c r="B486" t="s">
        <v>14</v>
      </c>
      <c r="C486" t="s">
        <v>12</v>
      </c>
      <c r="E486">
        <v>0.25</v>
      </c>
      <c r="F486" t="s">
        <v>56</v>
      </c>
      <c r="G486">
        <v>3</v>
      </c>
      <c r="H486">
        <v>0</v>
      </c>
      <c r="I486" t="s">
        <v>1928</v>
      </c>
      <c r="J486" t="s">
        <v>1937</v>
      </c>
      <c r="L486" s="350">
        <v>46231</v>
      </c>
      <c r="M486">
        <v>5</v>
      </c>
      <c r="N486">
        <v>28</v>
      </c>
      <c r="O486" s="351">
        <v>46204</v>
      </c>
      <c r="P486">
        <v>1</v>
      </c>
      <c r="Q486">
        <v>0</v>
      </c>
      <c r="R486">
        <v>3.64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7</v>
      </c>
      <c r="AH486">
        <v>19</v>
      </c>
      <c r="AI486" t="s">
        <v>12</v>
      </c>
    </row>
    <row r="487" spans="1:35" ht="12.5">
      <c r="A487" t="s">
        <v>70</v>
      </c>
      <c r="B487" t="s">
        <v>14</v>
      </c>
      <c r="C487" t="s">
        <v>12</v>
      </c>
      <c r="E487">
        <v>0.25</v>
      </c>
      <c r="F487" t="s">
        <v>56</v>
      </c>
      <c r="G487">
        <v>3</v>
      </c>
      <c r="H487">
        <v>0</v>
      </c>
      <c r="I487" t="s">
        <v>1928</v>
      </c>
      <c r="J487" t="s">
        <v>1937</v>
      </c>
      <c r="L487" s="350">
        <v>46232</v>
      </c>
      <c r="M487">
        <v>6</v>
      </c>
      <c r="N487">
        <v>29</v>
      </c>
      <c r="O487" s="351">
        <v>46204</v>
      </c>
      <c r="P487">
        <v>1</v>
      </c>
      <c r="Q487">
        <v>0</v>
      </c>
      <c r="R487">
        <v>3.64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7</v>
      </c>
      <c r="AH487">
        <v>19</v>
      </c>
      <c r="AI487" t="s">
        <v>12</v>
      </c>
    </row>
    <row r="488" spans="1:35" ht="12.5">
      <c r="A488" t="s">
        <v>70</v>
      </c>
      <c r="B488" t="s">
        <v>14</v>
      </c>
      <c r="C488" t="s">
        <v>12</v>
      </c>
      <c r="E488">
        <v>0.25</v>
      </c>
      <c r="F488" t="s">
        <v>56</v>
      </c>
      <c r="G488">
        <v>3</v>
      </c>
      <c r="H488">
        <v>0</v>
      </c>
      <c r="I488" t="s">
        <v>1928</v>
      </c>
      <c r="J488" t="s">
        <v>1937</v>
      </c>
      <c r="L488" s="350">
        <v>46233</v>
      </c>
      <c r="M488">
        <v>7</v>
      </c>
      <c r="N488">
        <v>30</v>
      </c>
      <c r="O488" s="351">
        <v>46204</v>
      </c>
      <c r="P488">
        <v>1</v>
      </c>
      <c r="Q488">
        <v>11</v>
      </c>
      <c r="R488">
        <v>3.64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7</v>
      </c>
      <c r="AH488">
        <v>19</v>
      </c>
      <c r="AI488" t="s">
        <v>12</v>
      </c>
    </row>
    <row r="489" spans="1:35" ht="12.5">
      <c r="A489" t="s">
        <v>70</v>
      </c>
      <c r="B489" t="s">
        <v>14</v>
      </c>
      <c r="C489" t="s">
        <v>12</v>
      </c>
      <c r="E489">
        <v>0.25</v>
      </c>
      <c r="F489" t="s">
        <v>56</v>
      </c>
      <c r="G489">
        <v>3</v>
      </c>
      <c r="H489">
        <v>0</v>
      </c>
      <c r="I489" t="s">
        <v>1928</v>
      </c>
      <c r="J489" t="s">
        <v>1937</v>
      </c>
      <c r="L489" s="350">
        <v>46234</v>
      </c>
      <c r="M489">
        <v>8</v>
      </c>
      <c r="N489">
        <v>31</v>
      </c>
      <c r="O489" s="351">
        <v>46204</v>
      </c>
      <c r="P489">
        <v>1</v>
      </c>
      <c r="Q489">
        <v>0</v>
      </c>
      <c r="R489">
        <v>3.64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7</v>
      </c>
      <c r="AH489">
        <v>19</v>
      </c>
      <c r="AI489" t="s">
        <v>12</v>
      </c>
    </row>
    <row r="490" spans="1:35" ht="12.5">
      <c r="A490" t="s">
        <v>70</v>
      </c>
      <c r="B490" t="s">
        <v>14</v>
      </c>
      <c r="C490" t="s">
        <v>12</v>
      </c>
      <c r="E490">
        <v>0.25</v>
      </c>
      <c r="F490" t="s">
        <v>56</v>
      </c>
      <c r="G490">
        <v>3</v>
      </c>
      <c r="H490">
        <v>0</v>
      </c>
      <c r="I490" t="s">
        <v>1928</v>
      </c>
      <c r="J490" t="s">
        <v>1937</v>
      </c>
      <c r="L490" s="350">
        <v>46235</v>
      </c>
      <c r="M490">
        <v>9</v>
      </c>
      <c r="N490">
        <v>1</v>
      </c>
      <c r="O490" s="351">
        <v>46235</v>
      </c>
      <c r="P490">
        <v>1</v>
      </c>
      <c r="Q490">
        <v>58</v>
      </c>
      <c r="R490">
        <v>3.64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7</v>
      </c>
      <c r="AH490">
        <v>19</v>
      </c>
      <c r="AI490" t="s">
        <v>12</v>
      </c>
    </row>
    <row r="491" spans="1:35" ht="12.5">
      <c r="A491" t="s">
        <v>70</v>
      </c>
      <c r="B491" t="s">
        <v>14</v>
      </c>
      <c r="C491" t="s">
        <v>12</v>
      </c>
      <c r="E491">
        <v>0.25</v>
      </c>
      <c r="F491" t="s">
        <v>56</v>
      </c>
      <c r="G491">
        <v>3</v>
      </c>
      <c r="H491">
        <v>0</v>
      </c>
      <c r="I491" t="s">
        <v>1928</v>
      </c>
      <c r="J491" t="s">
        <v>1937</v>
      </c>
      <c r="L491" s="350">
        <v>46236</v>
      </c>
      <c r="M491">
        <v>10</v>
      </c>
      <c r="N491">
        <v>2</v>
      </c>
      <c r="O491" s="351">
        <v>46235</v>
      </c>
      <c r="P491">
        <v>1</v>
      </c>
      <c r="Q491">
        <v>0</v>
      </c>
      <c r="R491">
        <v>3.64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7</v>
      </c>
      <c r="AH491">
        <v>19</v>
      </c>
      <c r="AI491" t="s">
        <v>12</v>
      </c>
    </row>
    <row r="492" spans="1:35" ht="12.5">
      <c r="A492" t="s">
        <v>70</v>
      </c>
      <c r="B492" t="s">
        <v>14</v>
      </c>
      <c r="C492" t="s">
        <v>12</v>
      </c>
      <c r="E492">
        <v>0.25</v>
      </c>
      <c r="F492" t="s">
        <v>56</v>
      </c>
      <c r="G492">
        <v>3</v>
      </c>
      <c r="H492">
        <v>0</v>
      </c>
      <c r="I492" t="s">
        <v>1928</v>
      </c>
      <c r="J492" t="s">
        <v>1937</v>
      </c>
      <c r="L492" s="350">
        <v>46237</v>
      </c>
      <c r="M492">
        <v>11</v>
      </c>
      <c r="N492">
        <v>3</v>
      </c>
      <c r="O492" s="351">
        <v>46235</v>
      </c>
      <c r="P492">
        <v>1</v>
      </c>
      <c r="Q492">
        <v>0</v>
      </c>
      <c r="R492">
        <v>3.64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7</v>
      </c>
      <c r="AH492">
        <v>19</v>
      </c>
      <c r="AI492" t="s">
        <v>12</v>
      </c>
    </row>
    <row r="493" spans="1:35" ht="12.5">
      <c r="A493" t="s">
        <v>70</v>
      </c>
      <c r="B493" t="s">
        <v>14</v>
      </c>
      <c r="C493" t="s">
        <v>12</v>
      </c>
      <c r="E493">
        <v>0.25</v>
      </c>
      <c r="F493" t="s">
        <v>56</v>
      </c>
      <c r="G493">
        <v>3</v>
      </c>
      <c r="H493">
        <v>0</v>
      </c>
      <c r="I493" t="s">
        <v>1928</v>
      </c>
      <c r="J493" t="s">
        <v>1937</v>
      </c>
      <c r="L493" s="350">
        <v>46238</v>
      </c>
      <c r="M493">
        <v>12</v>
      </c>
      <c r="N493">
        <v>4</v>
      </c>
      <c r="O493" s="351">
        <v>46235</v>
      </c>
      <c r="P493">
        <v>0</v>
      </c>
      <c r="Q493">
        <v>0</v>
      </c>
      <c r="R493">
        <v>3.64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7</v>
      </c>
      <c r="AH493">
        <v>19</v>
      </c>
      <c r="AI493" t="s">
        <v>12</v>
      </c>
    </row>
    <row r="494" spans="1:35" ht="12.5">
      <c r="A494" t="s">
        <v>70</v>
      </c>
      <c r="B494" t="s">
        <v>14</v>
      </c>
      <c r="C494" t="s">
        <v>12</v>
      </c>
      <c r="E494">
        <v>0.25</v>
      </c>
      <c r="F494" t="s">
        <v>56</v>
      </c>
      <c r="G494">
        <v>3</v>
      </c>
      <c r="H494">
        <v>0</v>
      </c>
      <c r="I494" t="s">
        <v>1928</v>
      </c>
      <c r="J494" t="s">
        <v>1937</v>
      </c>
      <c r="L494" s="350">
        <v>46239</v>
      </c>
      <c r="M494">
        <v>13</v>
      </c>
      <c r="N494">
        <v>5</v>
      </c>
      <c r="O494" s="351">
        <v>46235</v>
      </c>
      <c r="P494">
        <v>0</v>
      </c>
      <c r="Q494">
        <v>0</v>
      </c>
      <c r="R494">
        <v>3.64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7</v>
      </c>
      <c r="AH494">
        <v>19</v>
      </c>
      <c r="AI494" t="s">
        <v>12</v>
      </c>
    </row>
    <row r="495" spans="1:35" ht="12.5">
      <c r="A495" t="s">
        <v>70</v>
      </c>
      <c r="B495" t="s">
        <v>14</v>
      </c>
      <c r="C495" t="s">
        <v>12</v>
      </c>
      <c r="E495">
        <v>0.25</v>
      </c>
      <c r="F495" t="s">
        <v>56</v>
      </c>
      <c r="G495">
        <v>3</v>
      </c>
      <c r="H495">
        <v>0</v>
      </c>
      <c r="I495" t="s">
        <v>1928</v>
      </c>
      <c r="J495" t="s">
        <v>1937</v>
      </c>
      <c r="L495" s="350">
        <v>46240</v>
      </c>
      <c r="M495">
        <v>14</v>
      </c>
      <c r="N495">
        <v>6</v>
      </c>
      <c r="O495" s="351">
        <v>46235</v>
      </c>
      <c r="P495">
        <v>0</v>
      </c>
      <c r="Q495">
        <v>0</v>
      </c>
      <c r="R495">
        <v>3.64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7</v>
      </c>
      <c r="AH495">
        <v>19</v>
      </c>
      <c r="AI495" t="s">
        <v>12</v>
      </c>
    </row>
    <row r="496" spans="1:35" ht="12.5">
      <c r="A496" t="s">
        <v>70</v>
      </c>
      <c r="B496" t="s">
        <v>14</v>
      </c>
      <c r="C496" t="s">
        <v>12</v>
      </c>
      <c r="E496">
        <v>0.25</v>
      </c>
      <c r="F496" t="s">
        <v>56</v>
      </c>
      <c r="G496">
        <v>3</v>
      </c>
      <c r="H496">
        <v>0</v>
      </c>
      <c r="I496" t="s">
        <v>1928</v>
      </c>
      <c r="J496" t="s">
        <v>1937</v>
      </c>
      <c r="L496" s="350">
        <v>46241</v>
      </c>
      <c r="M496">
        <v>15</v>
      </c>
      <c r="N496">
        <v>7</v>
      </c>
      <c r="O496" s="351">
        <v>46235</v>
      </c>
      <c r="P496">
        <v>0</v>
      </c>
      <c r="Q496">
        <v>0</v>
      </c>
      <c r="R496">
        <v>3.64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7</v>
      </c>
      <c r="AH496">
        <v>19</v>
      </c>
      <c r="AI496" t="s">
        <v>12</v>
      </c>
    </row>
    <row r="497" spans="1:35" ht="12.5">
      <c r="A497" t="s">
        <v>70</v>
      </c>
      <c r="B497" t="s">
        <v>14</v>
      </c>
      <c r="C497" t="s">
        <v>12</v>
      </c>
      <c r="E497">
        <v>0.25</v>
      </c>
      <c r="F497" t="s">
        <v>56</v>
      </c>
      <c r="G497">
        <v>3</v>
      </c>
      <c r="H497">
        <v>0</v>
      </c>
      <c r="I497" t="s">
        <v>1928</v>
      </c>
      <c r="J497" t="s">
        <v>1937</v>
      </c>
      <c r="L497" s="350">
        <v>46242</v>
      </c>
      <c r="M497">
        <v>16</v>
      </c>
      <c r="N497">
        <v>8</v>
      </c>
      <c r="O497" s="351">
        <v>46235</v>
      </c>
      <c r="P497">
        <v>0</v>
      </c>
      <c r="Q497">
        <v>0</v>
      </c>
      <c r="R497">
        <v>3.64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7</v>
      </c>
      <c r="AH497">
        <v>19</v>
      </c>
      <c r="AI497" t="s">
        <v>12</v>
      </c>
    </row>
    <row r="498" spans="1:35" ht="12.5">
      <c r="A498" t="s">
        <v>70</v>
      </c>
      <c r="B498" t="s">
        <v>14</v>
      </c>
      <c r="C498" t="s">
        <v>12</v>
      </c>
      <c r="E498">
        <v>0.25</v>
      </c>
      <c r="F498" t="s">
        <v>56</v>
      </c>
      <c r="G498">
        <v>3</v>
      </c>
      <c r="H498">
        <v>0</v>
      </c>
      <c r="I498" t="s">
        <v>1928</v>
      </c>
      <c r="J498" t="s">
        <v>1937</v>
      </c>
      <c r="L498" s="350">
        <v>46243</v>
      </c>
      <c r="M498">
        <v>17</v>
      </c>
      <c r="N498">
        <v>9</v>
      </c>
      <c r="O498" s="351">
        <v>46235</v>
      </c>
      <c r="P498">
        <v>0</v>
      </c>
      <c r="Q498">
        <v>0</v>
      </c>
      <c r="R498">
        <v>3.64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7</v>
      </c>
      <c r="AH498">
        <v>19</v>
      </c>
      <c r="AI498" t="s">
        <v>12</v>
      </c>
    </row>
    <row r="499" spans="1:35" ht="12.5">
      <c r="A499" t="s">
        <v>70</v>
      </c>
      <c r="B499" t="s">
        <v>14</v>
      </c>
      <c r="C499" t="s">
        <v>12</v>
      </c>
      <c r="E499">
        <v>0.25</v>
      </c>
      <c r="F499" t="s">
        <v>56</v>
      </c>
      <c r="G499">
        <v>3</v>
      </c>
      <c r="H499">
        <v>0</v>
      </c>
      <c r="I499" t="s">
        <v>1928</v>
      </c>
      <c r="J499" t="s">
        <v>1937</v>
      </c>
      <c r="L499" s="350">
        <v>46244</v>
      </c>
      <c r="M499">
        <v>18</v>
      </c>
      <c r="N499">
        <v>10</v>
      </c>
      <c r="O499" s="351">
        <v>46235</v>
      </c>
      <c r="P499">
        <v>0</v>
      </c>
      <c r="Q499">
        <v>0</v>
      </c>
      <c r="R499">
        <v>3.64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7</v>
      </c>
      <c r="AH499">
        <v>19</v>
      </c>
      <c r="AI499" t="s">
        <v>12</v>
      </c>
    </row>
    <row r="500" spans="1:35" ht="12.5">
      <c r="A500" t="s">
        <v>70</v>
      </c>
      <c r="B500" t="s">
        <v>14</v>
      </c>
      <c r="C500" t="s">
        <v>12</v>
      </c>
      <c r="E500">
        <v>0.25</v>
      </c>
      <c r="F500" t="s">
        <v>56</v>
      </c>
      <c r="G500">
        <v>3</v>
      </c>
      <c r="H500">
        <v>0</v>
      </c>
      <c r="I500" t="s">
        <v>1928</v>
      </c>
      <c r="J500" t="s">
        <v>1937</v>
      </c>
      <c r="L500" s="350">
        <v>46245</v>
      </c>
      <c r="M500">
        <v>19</v>
      </c>
      <c r="N500">
        <v>11</v>
      </c>
      <c r="O500" s="351">
        <v>46235</v>
      </c>
      <c r="P500">
        <v>0</v>
      </c>
      <c r="Q500">
        <v>0</v>
      </c>
      <c r="R500">
        <v>3.64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7</v>
      </c>
      <c r="AH500">
        <v>19</v>
      </c>
      <c r="AI500" t="s">
        <v>12</v>
      </c>
    </row>
    <row r="501" spans="1:35" ht="12.5">
      <c r="A501" t="s">
        <v>70</v>
      </c>
      <c r="B501" t="s">
        <v>14</v>
      </c>
      <c r="C501" t="s">
        <v>12</v>
      </c>
      <c r="E501">
        <v>0.25</v>
      </c>
      <c r="F501" t="s">
        <v>56</v>
      </c>
      <c r="G501">
        <v>3</v>
      </c>
      <c r="H501">
        <v>0</v>
      </c>
      <c r="I501" t="s">
        <v>1928</v>
      </c>
      <c r="J501" t="s">
        <v>1937</v>
      </c>
      <c r="L501" s="350">
        <v>46246</v>
      </c>
      <c r="M501">
        <v>20</v>
      </c>
      <c r="N501">
        <v>12</v>
      </c>
      <c r="O501" s="351">
        <v>46235</v>
      </c>
      <c r="P501">
        <v>0</v>
      </c>
      <c r="Q501">
        <v>0</v>
      </c>
      <c r="R501">
        <v>3.64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7</v>
      </c>
      <c r="AH501">
        <v>19</v>
      </c>
      <c r="AI501" t="s">
        <v>12</v>
      </c>
    </row>
    <row r="502" spans="1:35" ht="12.5">
      <c r="A502" t="s">
        <v>70</v>
      </c>
      <c r="B502" t="s">
        <v>14</v>
      </c>
      <c r="C502" t="s">
        <v>12</v>
      </c>
      <c r="E502">
        <v>0.25</v>
      </c>
      <c r="F502" t="s">
        <v>56</v>
      </c>
      <c r="G502">
        <v>3</v>
      </c>
      <c r="H502">
        <v>0</v>
      </c>
      <c r="I502" t="s">
        <v>1928</v>
      </c>
      <c r="J502" t="s">
        <v>1937</v>
      </c>
      <c r="L502" s="350">
        <v>46247</v>
      </c>
      <c r="M502">
        <v>21</v>
      </c>
      <c r="N502">
        <v>13</v>
      </c>
      <c r="O502" s="351">
        <v>46235</v>
      </c>
      <c r="P502">
        <v>0</v>
      </c>
      <c r="Q502">
        <v>0</v>
      </c>
      <c r="R502">
        <v>3.64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7</v>
      </c>
      <c r="AH502">
        <v>19</v>
      </c>
      <c r="AI502" t="s">
        <v>12</v>
      </c>
    </row>
    <row r="503" spans="1:35" ht="12.5">
      <c r="A503" t="s">
        <v>70</v>
      </c>
      <c r="B503" t="s">
        <v>14</v>
      </c>
      <c r="C503" t="s">
        <v>12</v>
      </c>
      <c r="E503">
        <v>0.25</v>
      </c>
      <c r="F503" t="s">
        <v>56</v>
      </c>
      <c r="G503">
        <v>3</v>
      </c>
      <c r="H503">
        <v>0</v>
      </c>
      <c r="I503" t="s">
        <v>1928</v>
      </c>
      <c r="J503" t="s">
        <v>1937</v>
      </c>
      <c r="L503" s="350">
        <v>46248</v>
      </c>
      <c r="M503">
        <v>22</v>
      </c>
      <c r="N503">
        <v>14</v>
      </c>
      <c r="O503" s="351">
        <v>46235</v>
      </c>
      <c r="P503">
        <v>0</v>
      </c>
      <c r="Q503">
        <v>0</v>
      </c>
      <c r="R503">
        <v>3.64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7</v>
      </c>
      <c r="AH503">
        <v>19</v>
      </c>
      <c r="AI503" t="s">
        <v>12</v>
      </c>
    </row>
    <row r="504" spans="1:35" ht="12.5">
      <c r="A504" t="s">
        <v>70</v>
      </c>
      <c r="B504" t="s">
        <v>14</v>
      </c>
      <c r="C504" t="s">
        <v>12</v>
      </c>
      <c r="E504">
        <v>0.25</v>
      </c>
      <c r="F504" t="s">
        <v>56</v>
      </c>
      <c r="G504">
        <v>3</v>
      </c>
      <c r="H504">
        <v>0</v>
      </c>
      <c r="I504" t="s">
        <v>1928</v>
      </c>
      <c r="J504" t="s">
        <v>1937</v>
      </c>
      <c r="L504" s="350">
        <v>46249</v>
      </c>
      <c r="M504">
        <v>23</v>
      </c>
      <c r="N504">
        <v>15</v>
      </c>
      <c r="O504" s="351">
        <v>46235</v>
      </c>
      <c r="P504">
        <v>0</v>
      </c>
      <c r="Q504">
        <v>0</v>
      </c>
      <c r="R504">
        <v>3.64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7</v>
      </c>
      <c r="AH504">
        <v>19</v>
      </c>
      <c r="AI504" t="s">
        <v>12</v>
      </c>
    </row>
    <row r="505" spans="1:35" ht="12.5">
      <c r="A505" t="s">
        <v>70</v>
      </c>
      <c r="B505" t="s">
        <v>14</v>
      </c>
      <c r="C505" t="s">
        <v>12</v>
      </c>
      <c r="E505">
        <v>0.25</v>
      </c>
      <c r="F505" t="s">
        <v>56</v>
      </c>
      <c r="G505">
        <v>3</v>
      </c>
      <c r="H505">
        <v>0</v>
      </c>
      <c r="I505" t="s">
        <v>1928</v>
      </c>
      <c r="J505" t="s">
        <v>1937</v>
      </c>
      <c r="L505" s="350">
        <v>46250</v>
      </c>
      <c r="M505">
        <v>24</v>
      </c>
      <c r="N505">
        <v>16</v>
      </c>
      <c r="O505" s="351">
        <v>46235</v>
      </c>
      <c r="P505">
        <v>0</v>
      </c>
      <c r="Q505">
        <v>0</v>
      </c>
      <c r="R505">
        <v>3.64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7</v>
      </c>
      <c r="AH505">
        <v>19</v>
      </c>
      <c r="AI505" t="s">
        <v>12</v>
      </c>
    </row>
    <row r="506" spans="1:35" ht="12.5">
      <c r="A506" t="s">
        <v>70</v>
      </c>
      <c r="B506" t="s">
        <v>14</v>
      </c>
      <c r="C506" t="s">
        <v>12</v>
      </c>
      <c r="E506">
        <v>0.25</v>
      </c>
      <c r="F506" t="s">
        <v>56</v>
      </c>
      <c r="G506">
        <v>3</v>
      </c>
      <c r="H506">
        <v>0</v>
      </c>
      <c r="I506" t="s">
        <v>1928</v>
      </c>
      <c r="J506" t="s">
        <v>1937</v>
      </c>
      <c r="L506" s="350">
        <v>46251</v>
      </c>
      <c r="M506">
        <v>25</v>
      </c>
      <c r="N506">
        <v>17</v>
      </c>
      <c r="O506" s="351">
        <v>46235</v>
      </c>
      <c r="P506">
        <v>0</v>
      </c>
      <c r="Q506">
        <v>0</v>
      </c>
      <c r="R506">
        <v>3.64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7</v>
      </c>
      <c r="AH506">
        <v>19</v>
      </c>
      <c r="AI506" t="s">
        <v>12</v>
      </c>
    </row>
    <row r="507" spans="1:35" ht="12.5">
      <c r="A507" t="s">
        <v>70</v>
      </c>
      <c r="B507" t="s">
        <v>14</v>
      </c>
      <c r="C507" t="s">
        <v>12</v>
      </c>
      <c r="E507">
        <v>0.25</v>
      </c>
      <c r="F507" t="s">
        <v>56</v>
      </c>
      <c r="G507">
        <v>3</v>
      </c>
      <c r="H507">
        <v>0</v>
      </c>
      <c r="I507" t="s">
        <v>1928</v>
      </c>
      <c r="J507" t="s">
        <v>1937</v>
      </c>
      <c r="L507" s="350">
        <v>46252</v>
      </c>
      <c r="M507">
        <v>26</v>
      </c>
      <c r="N507">
        <v>18</v>
      </c>
      <c r="O507" s="351">
        <v>46235</v>
      </c>
      <c r="P507">
        <v>0</v>
      </c>
      <c r="Q507">
        <v>0</v>
      </c>
      <c r="R507">
        <v>3.64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7</v>
      </c>
      <c r="AH507">
        <v>19</v>
      </c>
      <c r="AI507" t="s">
        <v>12</v>
      </c>
    </row>
    <row r="508" spans="1:35" ht="12.5">
      <c r="A508" t="s">
        <v>70</v>
      </c>
      <c r="B508" t="s">
        <v>14</v>
      </c>
      <c r="C508" t="s">
        <v>12</v>
      </c>
      <c r="E508">
        <v>0.25</v>
      </c>
      <c r="F508" t="s">
        <v>56</v>
      </c>
      <c r="G508">
        <v>3</v>
      </c>
      <c r="H508">
        <v>0</v>
      </c>
      <c r="I508" t="s">
        <v>1928</v>
      </c>
      <c r="J508" t="s">
        <v>1937</v>
      </c>
      <c r="L508" s="350">
        <v>46253</v>
      </c>
      <c r="M508">
        <v>27</v>
      </c>
      <c r="N508">
        <v>19</v>
      </c>
      <c r="O508" s="351">
        <v>46235</v>
      </c>
      <c r="P508">
        <v>0</v>
      </c>
      <c r="Q508">
        <v>0</v>
      </c>
      <c r="R508">
        <v>3.64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7</v>
      </c>
      <c r="AH508">
        <v>19</v>
      </c>
      <c r="AI508" t="s">
        <v>12</v>
      </c>
    </row>
    <row r="509" spans="1:35" ht="12.5">
      <c r="A509" t="s">
        <v>70</v>
      </c>
      <c r="B509" t="s">
        <v>14</v>
      </c>
      <c r="C509" t="s">
        <v>12</v>
      </c>
      <c r="E509">
        <v>0.25</v>
      </c>
      <c r="F509" t="s">
        <v>56</v>
      </c>
      <c r="G509">
        <v>3</v>
      </c>
      <c r="H509">
        <v>0</v>
      </c>
      <c r="I509" t="s">
        <v>1928</v>
      </c>
      <c r="J509" t="s">
        <v>1937</v>
      </c>
      <c r="L509" s="350">
        <v>46254</v>
      </c>
      <c r="M509">
        <v>28</v>
      </c>
      <c r="N509">
        <v>20</v>
      </c>
      <c r="O509" s="351">
        <v>46235</v>
      </c>
      <c r="P509">
        <v>0</v>
      </c>
      <c r="Q509">
        <v>0</v>
      </c>
      <c r="R509">
        <v>3.64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7</v>
      </c>
      <c r="AH509">
        <v>19</v>
      </c>
      <c r="AI509" t="s">
        <v>12</v>
      </c>
    </row>
    <row r="510" spans="1:35" ht="12.5">
      <c r="A510" t="s">
        <v>70</v>
      </c>
      <c r="B510" t="s">
        <v>14</v>
      </c>
      <c r="C510" t="s">
        <v>12</v>
      </c>
      <c r="E510">
        <v>0.25</v>
      </c>
      <c r="F510" t="s">
        <v>56</v>
      </c>
      <c r="G510">
        <v>3</v>
      </c>
      <c r="H510">
        <v>0</v>
      </c>
      <c r="I510" t="s">
        <v>1928</v>
      </c>
      <c r="J510" t="s">
        <v>1937</v>
      </c>
      <c r="L510" s="350">
        <v>46255</v>
      </c>
      <c r="M510">
        <v>29</v>
      </c>
      <c r="N510">
        <v>21</v>
      </c>
      <c r="O510" s="351">
        <v>46235</v>
      </c>
      <c r="P510">
        <v>0</v>
      </c>
      <c r="Q510">
        <v>0</v>
      </c>
      <c r="R510">
        <v>3.64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7</v>
      </c>
      <c r="AH510">
        <v>19</v>
      </c>
      <c r="AI510" t="s">
        <v>12</v>
      </c>
    </row>
    <row r="511" spans="1:35" ht="12.5">
      <c r="A511" t="s">
        <v>70</v>
      </c>
      <c r="B511" t="s">
        <v>14</v>
      </c>
      <c r="C511" t="s">
        <v>12</v>
      </c>
      <c r="E511">
        <v>0.25</v>
      </c>
      <c r="F511" t="s">
        <v>56</v>
      </c>
      <c r="G511">
        <v>3</v>
      </c>
      <c r="H511">
        <v>0</v>
      </c>
      <c r="I511" t="s">
        <v>1928</v>
      </c>
      <c r="J511" t="s">
        <v>1937</v>
      </c>
      <c r="L511" s="350">
        <v>46256</v>
      </c>
      <c r="M511">
        <v>30</v>
      </c>
      <c r="N511">
        <v>22</v>
      </c>
      <c r="O511" s="351">
        <v>46235</v>
      </c>
      <c r="P511">
        <v>0</v>
      </c>
      <c r="Q511">
        <v>0</v>
      </c>
      <c r="R511">
        <v>3.64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7</v>
      </c>
      <c r="AH511">
        <v>19</v>
      </c>
      <c r="AI511" t="s">
        <v>12</v>
      </c>
    </row>
  </sheetData>
  <pageMargins left="0.70000000000000007" right="0.70000000000000007" top="0.75" bottom="0.75" header="0.30000000000000004" footer="0.30000000000000004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9BB89-4DB0-4170-AFCB-BE3DC809A739}">
  <dimension ref="A1:K137"/>
  <sheetViews>
    <sheetView workbookViewId="0"/>
  </sheetViews>
  <sheetFormatPr defaultRowHeight="12.65"/>
  <cols>
    <col min="1" max="1" width="20.453125" bestFit="1" customWidth="1"/>
    <col min="2" max="2" width="38.26953125" customWidth="1"/>
    <col min="3" max="3" width="9.08984375" bestFit="1" customWidth="1"/>
    <col min="4" max="4" width="7.08984375" bestFit="1" customWidth="1"/>
    <col min="5" max="5" width="14.453125" bestFit="1" customWidth="1"/>
    <col min="6" max="6" width="9.90625" bestFit="1" customWidth="1"/>
    <col min="7" max="7" width="14.26953125" bestFit="1" customWidth="1"/>
    <col min="8" max="8" width="13.08984375" bestFit="1" customWidth="1"/>
    <col min="9" max="9" width="9" bestFit="1" customWidth="1"/>
    <col min="10" max="10" width="9.26953125" bestFit="1" customWidth="1"/>
    <col min="11" max="11" width="14.81640625" bestFit="1" customWidth="1"/>
    <col min="12" max="12" width="8.7265625" customWidth="1"/>
  </cols>
  <sheetData>
    <row r="1" spans="1:11" s="349" customFormat="1" ht="13">
      <c r="A1" s="349" t="s">
        <v>1898</v>
      </c>
      <c r="B1" s="349" t="s">
        <v>60</v>
      </c>
      <c r="C1" s="349" t="s">
        <v>6</v>
      </c>
      <c r="D1" s="349" t="s">
        <v>107</v>
      </c>
      <c r="E1" s="349" t="s">
        <v>33</v>
      </c>
      <c r="F1" s="349" t="s">
        <v>1910</v>
      </c>
      <c r="G1" s="349" t="s">
        <v>1911</v>
      </c>
      <c r="H1" s="349" t="s">
        <v>1912</v>
      </c>
      <c r="I1" s="349" t="s">
        <v>1938</v>
      </c>
      <c r="J1" s="349" t="s">
        <v>1923</v>
      </c>
      <c r="K1" s="349" t="s">
        <v>1924</v>
      </c>
    </row>
    <row r="2" spans="1:11" ht="12.5">
      <c r="A2" t="s">
        <v>79</v>
      </c>
      <c r="B2" t="s">
        <v>37</v>
      </c>
      <c r="C2" t="s">
        <v>12</v>
      </c>
      <c r="E2" t="s">
        <v>36</v>
      </c>
      <c r="F2" s="352">
        <v>28190</v>
      </c>
      <c r="G2" s="352">
        <v>7073</v>
      </c>
      <c r="H2" s="352">
        <v>21117</v>
      </c>
      <c r="I2" s="353">
        <v>0.25090457609081235</v>
      </c>
      <c r="J2">
        <v>3</v>
      </c>
      <c r="K2" t="s">
        <v>12</v>
      </c>
    </row>
    <row r="3" spans="1:11" ht="12.5">
      <c r="A3" t="s">
        <v>79</v>
      </c>
      <c r="B3" t="s">
        <v>37</v>
      </c>
      <c r="C3" t="s">
        <v>12</v>
      </c>
      <c r="E3" t="s">
        <v>39</v>
      </c>
      <c r="F3">
        <v>0</v>
      </c>
      <c r="G3">
        <v>0</v>
      </c>
      <c r="H3">
        <v>0</v>
      </c>
      <c r="I3" s="353">
        <v>0</v>
      </c>
      <c r="J3">
        <v>3</v>
      </c>
      <c r="K3" t="s">
        <v>12</v>
      </c>
    </row>
    <row r="4" spans="1:11" ht="12.5">
      <c r="A4" t="s">
        <v>79</v>
      </c>
      <c r="B4" t="s">
        <v>37</v>
      </c>
      <c r="C4" t="s">
        <v>12</v>
      </c>
      <c r="E4" t="s">
        <v>41</v>
      </c>
      <c r="F4">
        <v>3210</v>
      </c>
      <c r="G4">
        <v>950</v>
      </c>
      <c r="H4">
        <v>2260</v>
      </c>
      <c r="I4" s="353">
        <v>0.29595015576323985</v>
      </c>
      <c r="J4">
        <v>3</v>
      </c>
      <c r="K4" t="s">
        <v>12</v>
      </c>
    </row>
    <row r="5" spans="1:11" ht="12.5">
      <c r="A5" t="s">
        <v>79</v>
      </c>
      <c r="B5" t="s">
        <v>37</v>
      </c>
      <c r="C5" t="s">
        <v>12</v>
      </c>
      <c r="E5" t="s">
        <v>43</v>
      </c>
      <c r="F5">
        <v>4179</v>
      </c>
      <c r="G5">
        <v>0</v>
      </c>
      <c r="H5">
        <v>4179</v>
      </c>
      <c r="I5" s="353">
        <v>0</v>
      </c>
      <c r="J5">
        <v>3</v>
      </c>
      <c r="K5" t="s">
        <v>12</v>
      </c>
    </row>
    <row r="6" spans="1:11" ht="12.5">
      <c r="A6" t="s">
        <v>79</v>
      </c>
      <c r="B6" t="s">
        <v>37</v>
      </c>
      <c r="C6" t="s">
        <v>12</v>
      </c>
      <c r="E6" t="s">
        <v>45</v>
      </c>
      <c r="F6">
        <v>0</v>
      </c>
      <c r="G6">
        <v>0</v>
      </c>
      <c r="H6">
        <v>0</v>
      </c>
      <c r="I6" s="353">
        <v>0</v>
      </c>
      <c r="J6">
        <v>3</v>
      </c>
      <c r="K6" t="s">
        <v>12</v>
      </c>
    </row>
    <row r="7" spans="1:11" ht="12.5">
      <c r="A7" t="s">
        <v>79</v>
      </c>
      <c r="B7" t="s">
        <v>37</v>
      </c>
      <c r="C7" t="s">
        <v>12</v>
      </c>
      <c r="E7" t="s">
        <v>47</v>
      </c>
      <c r="F7">
        <v>0</v>
      </c>
      <c r="G7">
        <v>0</v>
      </c>
      <c r="H7">
        <v>0</v>
      </c>
      <c r="I7" s="353">
        <v>0</v>
      </c>
      <c r="J7">
        <v>3</v>
      </c>
      <c r="K7" t="s">
        <v>12</v>
      </c>
    </row>
    <row r="8" spans="1:11" ht="12.5">
      <c r="A8" t="s">
        <v>79</v>
      </c>
      <c r="B8" t="s">
        <v>37</v>
      </c>
      <c r="C8" t="s">
        <v>12</v>
      </c>
      <c r="E8" t="s">
        <v>49</v>
      </c>
      <c r="F8">
        <v>0</v>
      </c>
      <c r="G8">
        <v>0</v>
      </c>
      <c r="H8">
        <v>0</v>
      </c>
      <c r="I8" s="353">
        <v>0</v>
      </c>
      <c r="J8">
        <v>3</v>
      </c>
      <c r="K8" t="s">
        <v>12</v>
      </c>
    </row>
    <row r="9" spans="1:11" ht="12.5">
      <c r="A9" t="s">
        <v>79</v>
      </c>
      <c r="B9" t="s">
        <v>37</v>
      </c>
      <c r="C9" t="s">
        <v>12</v>
      </c>
      <c r="E9" t="s">
        <v>51</v>
      </c>
      <c r="F9">
        <v>3010</v>
      </c>
      <c r="G9">
        <v>2959</v>
      </c>
      <c r="H9">
        <v>51</v>
      </c>
      <c r="I9" s="353">
        <v>0.98305647840531563</v>
      </c>
      <c r="J9">
        <v>3</v>
      </c>
      <c r="K9" t="s">
        <v>12</v>
      </c>
    </row>
    <row r="10" spans="1:11" ht="12.5">
      <c r="A10" t="s">
        <v>82</v>
      </c>
      <c r="B10" t="s">
        <v>44</v>
      </c>
      <c r="C10" t="s">
        <v>12</v>
      </c>
      <c r="E10" t="s">
        <v>36</v>
      </c>
      <c r="F10">
        <v>12430</v>
      </c>
      <c r="G10">
        <v>1343</v>
      </c>
      <c r="H10">
        <v>11087</v>
      </c>
      <c r="I10" s="353">
        <v>0.10804505229283991</v>
      </c>
      <c r="J10">
        <v>4</v>
      </c>
      <c r="K10" t="s">
        <v>12</v>
      </c>
    </row>
    <row r="11" spans="1:11" ht="12.5">
      <c r="A11" t="s">
        <v>82</v>
      </c>
      <c r="B11" t="s">
        <v>44</v>
      </c>
      <c r="C11" t="s">
        <v>12</v>
      </c>
      <c r="E11" t="s">
        <v>39</v>
      </c>
      <c r="F11">
        <v>0</v>
      </c>
      <c r="G11">
        <v>0</v>
      </c>
      <c r="H11">
        <v>0</v>
      </c>
      <c r="I11" s="353">
        <v>0</v>
      </c>
      <c r="J11">
        <v>4</v>
      </c>
      <c r="K11" t="s">
        <v>12</v>
      </c>
    </row>
    <row r="12" spans="1:11" ht="12.5">
      <c r="A12" t="s">
        <v>82</v>
      </c>
      <c r="B12" t="s">
        <v>44</v>
      </c>
      <c r="C12" t="s">
        <v>12</v>
      </c>
      <c r="E12" t="s">
        <v>41</v>
      </c>
      <c r="F12">
        <v>0</v>
      </c>
      <c r="G12">
        <v>0</v>
      </c>
      <c r="H12">
        <v>0</v>
      </c>
      <c r="I12" s="353">
        <v>0</v>
      </c>
      <c r="J12">
        <v>4</v>
      </c>
      <c r="K12" t="s">
        <v>12</v>
      </c>
    </row>
    <row r="13" spans="1:11" ht="12.5">
      <c r="A13" t="s">
        <v>82</v>
      </c>
      <c r="B13" t="s">
        <v>44</v>
      </c>
      <c r="C13" t="s">
        <v>12</v>
      </c>
      <c r="E13" t="s">
        <v>43</v>
      </c>
      <c r="F13">
        <v>0</v>
      </c>
      <c r="G13">
        <v>0</v>
      </c>
      <c r="H13">
        <v>0</v>
      </c>
      <c r="I13" s="353">
        <v>0</v>
      </c>
      <c r="J13">
        <v>4</v>
      </c>
      <c r="K13" t="s">
        <v>12</v>
      </c>
    </row>
    <row r="14" spans="1:11" ht="12.5">
      <c r="A14" t="s">
        <v>82</v>
      </c>
      <c r="B14" t="s">
        <v>44</v>
      </c>
      <c r="C14" t="s">
        <v>12</v>
      </c>
      <c r="E14" t="s">
        <v>45</v>
      </c>
      <c r="F14">
        <v>0</v>
      </c>
      <c r="G14">
        <v>0</v>
      </c>
      <c r="H14">
        <v>0</v>
      </c>
      <c r="I14" s="353">
        <v>0</v>
      </c>
      <c r="J14">
        <v>4</v>
      </c>
      <c r="K14" t="s">
        <v>12</v>
      </c>
    </row>
    <row r="15" spans="1:11" ht="12.5">
      <c r="A15" t="s">
        <v>82</v>
      </c>
      <c r="B15" t="s">
        <v>44</v>
      </c>
      <c r="C15" t="s">
        <v>12</v>
      </c>
      <c r="E15" t="s">
        <v>47</v>
      </c>
      <c r="F15">
        <v>0</v>
      </c>
      <c r="G15">
        <v>0</v>
      </c>
      <c r="H15">
        <v>0</v>
      </c>
      <c r="I15" s="353">
        <v>0</v>
      </c>
      <c r="J15">
        <v>4</v>
      </c>
      <c r="K15" t="s">
        <v>12</v>
      </c>
    </row>
    <row r="16" spans="1:11" ht="12.5">
      <c r="A16" t="s">
        <v>82</v>
      </c>
      <c r="B16" t="s">
        <v>44</v>
      </c>
      <c r="C16" t="s">
        <v>12</v>
      </c>
      <c r="E16" t="s">
        <v>49</v>
      </c>
      <c r="F16">
        <v>0</v>
      </c>
      <c r="G16">
        <v>0</v>
      </c>
      <c r="H16">
        <v>0</v>
      </c>
      <c r="I16" s="353">
        <v>0</v>
      </c>
      <c r="J16">
        <v>4</v>
      </c>
      <c r="K16" t="s">
        <v>12</v>
      </c>
    </row>
    <row r="17" spans="1:11" ht="12.5">
      <c r="A17" t="s">
        <v>82</v>
      </c>
      <c r="B17" t="s">
        <v>44</v>
      </c>
      <c r="C17" t="s">
        <v>12</v>
      </c>
      <c r="E17" t="s">
        <v>51</v>
      </c>
      <c r="F17">
        <v>0</v>
      </c>
      <c r="G17">
        <v>0</v>
      </c>
      <c r="H17">
        <v>0</v>
      </c>
      <c r="I17" s="353">
        <v>0</v>
      </c>
      <c r="J17">
        <v>4</v>
      </c>
      <c r="K17" t="s">
        <v>12</v>
      </c>
    </row>
    <row r="18" spans="1:11" ht="12.5">
      <c r="A18" t="s">
        <v>125</v>
      </c>
      <c r="B18" t="s">
        <v>46</v>
      </c>
      <c r="C18" t="s">
        <v>12</v>
      </c>
      <c r="E18" t="s">
        <v>36</v>
      </c>
      <c r="F18">
        <v>9384</v>
      </c>
      <c r="G18">
        <v>2340</v>
      </c>
      <c r="H18">
        <v>7044</v>
      </c>
      <c r="I18" s="353">
        <v>0.24936061381074168</v>
      </c>
      <c r="J18">
        <v>5</v>
      </c>
      <c r="K18" t="s">
        <v>12</v>
      </c>
    </row>
    <row r="19" spans="1:11" ht="12.5">
      <c r="A19" t="s">
        <v>125</v>
      </c>
      <c r="B19" t="s">
        <v>46</v>
      </c>
      <c r="C19" t="s">
        <v>12</v>
      </c>
      <c r="E19" t="s">
        <v>39</v>
      </c>
      <c r="F19">
        <v>0</v>
      </c>
      <c r="G19">
        <v>0</v>
      </c>
      <c r="H19">
        <v>0</v>
      </c>
      <c r="I19" s="353">
        <v>0</v>
      </c>
      <c r="J19">
        <v>5</v>
      </c>
      <c r="K19" t="s">
        <v>12</v>
      </c>
    </row>
    <row r="20" spans="1:11" ht="12.5">
      <c r="A20" t="s">
        <v>125</v>
      </c>
      <c r="B20" t="s">
        <v>46</v>
      </c>
      <c r="C20" t="s">
        <v>12</v>
      </c>
      <c r="E20" t="s">
        <v>41</v>
      </c>
      <c r="F20">
        <v>0</v>
      </c>
      <c r="G20">
        <v>0</v>
      </c>
      <c r="H20">
        <v>0</v>
      </c>
      <c r="I20" s="353">
        <v>0</v>
      </c>
      <c r="J20">
        <v>5</v>
      </c>
      <c r="K20" t="s">
        <v>12</v>
      </c>
    </row>
    <row r="21" spans="1:11" ht="12.5">
      <c r="A21" t="s">
        <v>125</v>
      </c>
      <c r="B21" t="s">
        <v>46</v>
      </c>
      <c r="C21" t="s">
        <v>12</v>
      </c>
      <c r="E21" t="s">
        <v>43</v>
      </c>
      <c r="F21">
        <v>0</v>
      </c>
      <c r="G21">
        <v>0</v>
      </c>
      <c r="H21">
        <v>0</v>
      </c>
      <c r="I21" s="353">
        <v>0</v>
      </c>
      <c r="J21">
        <v>5</v>
      </c>
      <c r="K21" t="s">
        <v>12</v>
      </c>
    </row>
    <row r="22" spans="1:11" ht="12.5">
      <c r="A22" t="s">
        <v>125</v>
      </c>
      <c r="B22" t="s">
        <v>46</v>
      </c>
      <c r="C22" t="s">
        <v>12</v>
      </c>
      <c r="E22" t="s">
        <v>45</v>
      </c>
      <c r="F22">
        <v>0</v>
      </c>
      <c r="G22">
        <v>0</v>
      </c>
      <c r="H22">
        <v>0</v>
      </c>
      <c r="I22" s="353">
        <v>0</v>
      </c>
      <c r="J22">
        <v>5</v>
      </c>
      <c r="K22" t="s">
        <v>12</v>
      </c>
    </row>
    <row r="23" spans="1:11" ht="12.5">
      <c r="A23" t="s">
        <v>125</v>
      </c>
      <c r="B23" t="s">
        <v>46</v>
      </c>
      <c r="C23" t="s">
        <v>12</v>
      </c>
      <c r="E23" t="s">
        <v>47</v>
      </c>
      <c r="F23">
        <v>0</v>
      </c>
      <c r="G23">
        <v>0</v>
      </c>
      <c r="H23">
        <v>0</v>
      </c>
      <c r="I23" s="353">
        <v>0</v>
      </c>
      <c r="J23">
        <v>5</v>
      </c>
      <c r="K23" t="s">
        <v>12</v>
      </c>
    </row>
    <row r="24" spans="1:11" ht="12.5">
      <c r="A24" t="s">
        <v>125</v>
      </c>
      <c r="B24" t="s">
        <v>46</v>
      </c>
      <c r="C24" t="s">
        <v>12</v>
      </c>
      <c r="E24" t="s">
        <v>49</v>
      </c>
      <c r="F24">
        <v>0</v>
      </c>
      <c r="G24">
        <v>0</v>
      </c>
      <c r="H24">
        <v>0</v>
      </c>
      <c r="I24" s="353">
        <v>0</v>
      </c>
      <c r="J24">
        <v>5</v>
      </c>
      <c r="K24" t="s">
        <v>12</v>
      </c>
    </row>
    <row r="25" spans="1:11" ht="12.5">
      <c r="A25" t="s">
        <v>125</v>
      </c>
      <c r="B25" t="s">
        <v>46</v>
      </c>
      <c r="C25" t="s">
        <v>12</v>
      </c>
      <c r="E25" t="s">
        <v>51</v>
      </c>
      <c r="F25">
        <v>200</v>
      </c>
      <c r="G25">
        <v>226</v>
      </c>
      <c r="H25">
        <v>-26</v>
      </c>
      <c r="I25" s="353">
        <v>1.1299999999999999</v>
      </c>
      <c r="J25">
        <v>5</v>
      </c>
      <c r="K25" t="s">
        <v>12</v>
      </c>
    </row>
    <row r="26" spans="1:11" ht="12.5">
      <c r="A26" t="s">
        <v>83</v>
      </c>
      <c r="B26" t="s">
        <v>48</v>
      </c>
      <c r="C26" t="s">
        <v>12</v>
      </c>
      <c r="E26" t="s">
        <v>36</v>
      </c>
      <c r="F26">
        <v>7433</v>
      </c>
      <c r="G26">
        <v>1093</v>
      </c>
      <c r="H26">
        <v>6340</v>
      </c>
      <c r="I26" s="353">
        <v>0.1470469527781515</v>
      </c>
      <c r="J26">
        <v>6</v>
      </c>
      <c r="K26" t="s">
        <v>12</v>
      </c>
    </row>
    <row r="27" spans="1:11" ht="12.5">
      <c r="A27" t="s">
        <v>83</v>
      </c>
      <c r="B27" t="s">
        <v>48</v>
      </c>
      <c r="C27" t="s">
        <v>12</v>
      </c>
      <c r="E27" t="s">
        <v>39</v>
      </c>
      <c r="F27">
        <v>0</v>
      </c>
      <c r="G27">
        <v>0</v>
      </c>
      <c r="H27">
        <v>0</v>
      </c>
      <c r="I27" s="353">
        <v>0</v>
      </c>
      <c r="J27">
        <v>6</v>
      </c>
      <c r="K27" t="s">
        <v>12</v>
      </c>
    </row>
    <row r="28" spans="1:11" ht="12.5">
      <c r="A28" t="s">
        <v>83</v>
      </c>
      <c r="B28" t="s">
        <v>48</v>
      </c>
      <c r="C28" t="s">
        <v>12</v>
      </c>
      <c r="E28" t="s">
        <v>41</v>
      </c>
      <c r="F28">
        <v>0</v>
      </c>
      <c r="G28">
        <v>34</v>
      </c>
      <c r="H28">
        <v>-34</v>
      </c>
      <c r="I28" s="353">
        <v>0</v>
      </c>
      <c r="J28">
        <v>6</v>
      </c>
      <c r="K28" t="s">
        <v>12</v>
      </c>
    </row>
    <row r="29" spans="1:11" ht="12.5">
      <c r="A29" t="s">
        <v>83</v>
      </c>
      <c r="B29" t="s">
        <v>48</v>
      </c>
      <c r="C29" t="s">
        <v>12</v>
      </c>
      <c r="E29" t="s">
        <v>43</v>
      </c>
      <c r="F29">
        <v>2640</v>
      </c>
      <c r="G29">
        <v>0</v>
      </c>
      <c r="H29">
        <v>2640</v>
      </c>
      <c r="I29" s="353">
        <v>0</v>
      </c>
      <c r="J29">
        <v>6</v>
      </c>
      <c r="K29" t="s">
        <v>12</v>
      </c>
    </row>
    <row r="30" spans="1:11" ht="12.5">
      <c r="A30" t="s">
        <v>83</v>
      </c>
      <c r="B30" t="s">
        <v>48</v>
      </c>
      <c r="C30" t="s">
        <v>12</v>
      </c>
      <c r="E30" t="s">
        <v>45</v>
      </c>
      <c r="F30">
        <v>0</v>
      </c>
      <c r="G30">
        <v>180</v>
      </c>
      <c r="H30">
        <v>-180</v>
      </c>
      <c r="I30" s="353">
        <v>0</v>
      </c>
      <c r="J30">
        <v>6</v>
      </c>
      <c r="K30" t="s">
        <v>12</v>
      </c>
    </row>
    <row r="31" spans="1:11" ht="12.5">
      <c r="A31" t="s">
        <v>83</v>
      </c>
      <c r="B31" t="s">
        <v>48</v>
      </c>
      <c r="C31" t="s">
        <v>12</v>
      </c>
      <c r="E31" t="s">
        <v>47</v>
      </c>
      <c r="F31">
        <v>710</v>
      </c>
      <c r="G31">
        <v>736</v>
      </c>
      <c r="H31">
        <v>-26</v>
      </c>
      <c r="I31" s="353">
        <v>1.0366197183098591</v>
      </c>
      <c r="J31">
        <v>6</v>
      </c>
      <c r="K31" t="s">
        <v>12</v>
      </c>
    </row>
    <row r="32" spans="1:11" ht="12.5">
      <c r="A32" t="s">
        <v>83</v>
      </c>
      <c r="B32" t="s">
        <v>48</v>
      </c>
      <c r="C32" t="s">
        <v>12</v>
      </c>
      <c r="E32" t="s">
        <v>49</v>
      </c>
      <c r="F32">
        <v>0</v>
      </c>
      <c r="G32">
        <v>0</v>
      </c>
      <c r="H32">
        <v>0</v>
      </c>
      <c r="I32" s="353">
        <v>0</v>
      </c>
      <c r="J32">
        <v>6</v>
      </c>
      <c r="K32" t="s">
        <v>12</v>
      </c>
    </row>
    <row r="33" spans="1:11" ht="12.5">
      <c r="A33" t="s">
        <v>83</v>
      </c>
      <c r="B33" t="s">
        <v>48</v>
      </c>
      <c r="C33" t="s">
        <v>12</v>
      </c>
      <c r="E33" t="s">
        <v>51</v>
      </c>
      <c r="F33">
        <v>805</v>
      </c>
      <c r="G33">
        <v>845</v>
      </c>
      <c r="H33">
        <v>-40</v>
      </c>
      <c r="I33" s="353">
        <v>1.0496894409937889</v>
      </c>
      <c r="J33">
        <v>6</v>
      </c>
      <c r="K33" t="s">
        <v>12</v>
      </c>
    </row>
    <row r="34" spans="1:11" ht="12.5">
      <c r="A34" t="s">
        <v>77</v>
      </c>
      <c r="B34" t="s">
        <v>29</v>
      </c>
      <c r="C34" t="s">
        <v>12</v>
      </c>
      <c r="E34" t="s">
        <v>36</v>
      </c>
      <c r="F34">
        <v>587</v>
      </c>
      <c r="G34">
        <v>270</v>
      </c>
      <c r="H34">
        <v>317</v>
      </c>
      <c r="I34" s="353">
        <v>0.45996592844974449</v>
      </c>
      <c r="J34">
        <v>7</v>
      </c>
      <c r="K34" t="s">
        <v>12</v>
      </c>
    </row>
    <row r="35" spans="1:11" ht="12.5">
      <c r="A35" t="s">
        <v>77</v>
      </c>
      <c r="B35" t="s">
        <v>29</v>
      </c>
      <c r="C35" t="s">
        <v>12</v>
      </c>
      <c r="E35" t="s">
        <v>39</v>
      </c>
      <c r="F35">
        <v>0</v>
      </c>
      <c r="G35">
        <v>0</v>
      </c>
      <c r="H35">
        <v>0</v>
      </c>
      <c r="I35" s="353">
        <v>0</v>
      </c>
      <c r="J35">
        <v>7</v>
      </c>
      <c r="K35" t="s">
        <v>12</v>
      </c>
    </row>
    <row r="36" spans="1:11" ht="12.5">
      <c r="A36" t="s">
        <v>77</v>
      </c>
      <c r="B36" t="s">
        <v>29</v>
      </c>
      <c r="C36" t="s">
        <v>12</v>
      </c>
      <c r="E36" t="s">
        <v>41</v>
      </c>
      <c r="F36">
        <v>0</v>
      </c>
      <c r="G36">
        <v>0</v>
      </c>
      <c r="H36">
        <v>0</v>
      </c>
      <c r="I36" s="353">
        <v>0</v>
      </c>
      <c r="J36">
        <v>7</v>
      </c>
      <c r="K36" t="s">
        <v>12</v>
      </c>
    </row>
    <row r="37" spans="1:11" ht="12.5">
      <c r="A37" t="s">
        <v>77</v>
      </c>
      <c r="B37" t="s">
        <v>29</v>
      </c>
      <c r="C37" t="s">
        <v>12</v>
      </c>
      <c r="E37" t="s">
        <v>43</v>
      </c>
      <c r="F37">
        <v>0</v>
      </c>
      <c r="G37">
        <v>0</v>
      </c>
      <c r="H37">
        <v>0</v>
      </c>
      <c r="I37" s="353">
        <v>0</v>
      </c>
      <c r="J37">
        <v>7</v>
      </c>
      <c r="K37" t="s">
        <v>12</v>
      </c>
    </row>
    <row r="38" spans="1:11" ht="12.5">
      <c r="A38" t="s">
        <v>77</v>
      </c>
      <c r="B38" t="s">
        <v>29</v>
      </c>
      <c r="C38" t="s">
        <v>12</v>
      </c>
      <c r="E38" t="s">
        <v>45</v>
      </c>
      <c r="F38">
        <v>0</v>
      </c>
      <c r="G38">
        <v>0</v>
      </c>
      <c r="H38">
        <v>0</v>
      </c>
      <c r="I38" s="353">
        <v>0</v>
      </c>
      <c r="J38">
        <v>7</v>
      </c>
      <c r="K38" t="s">
        <v>12</v>
      </c>
    </row>
    <row r="39" spans="1:11" ht="12.5">
      <c r="A39" t="s">
        <v>77</v>
      </c>
      <c r="B39" t="s">
        <v>29</v>
      </c>
      <c r="C39" t="s">
        <v>12</v>
      </c>
      <c r="E39" t="s">
        <v>47</v>
      </c>
      <c r="F39">
        <v>0</v>
      </c>
      <c r="G39">
        <v>0</v>
      </c>
      <c r="H39">
        <v>0</v>
      </c>
      <c r="I39" s="353">
        <v>0</v>
      </c>
      <c r="J39">
        <v>7</v>
      </c>
      <c r="K39" t="s">
        <v>12</v>
      </c>
    </row>
    <row r="40" spans="1:11" ht="12.5">
      <c r="A40" t="s">
        <v>77</v>
      </c>
      <c r="B40" t="s">
        <v>29</v>
      </c>
      <c r="C40" t="s">
        <v>12</v>
      </c>
      <c r="E40" t="s">
        <v>49</v>
      </c>
      <c r="F40">
        <v>0</v>
      </c>
      <c r="G40">
        <v>0</v>
      </c>
      <c r="H40">
        <v>0</v>
      </c>
      <c r="I40" s="353">
        <v>0</v>
      </c>
      <c r="J40">
        <v>7</v>
      </c>
      <c r="K40" t="s">
        <v>12</v>
      </c>
    </row>
    <row r="41" spans="1:11" ht="12.5">
      <c r="A41" t="s">
        <v>77</v>
      </c>
      <c r="B41" t="s">
        <v>29</v>
      </c>
      <c r="C41" t="s">
        <v>12</v>
      </c>
      <c r="E41" t="s">
        <v>51</v>
      </c>
      <c r="F41">
        <v>0</v>
      </c>
      <c r="G41">
        <v>0</v>
      </c>
      <c r="H41">
        <v>0</v>
      </c>
      <c r="I41" s="353">
        <v>0</v>
      </c>
      <c r="J41">
        <v>7</v>
      </c>
      <c r="K41" t="s">
        <v>12</v>
      </c>
    </row>
    <row r="42" spans="1:11" ht="12.5">
      <c r="A42" t="s">
        <v>73</v>
      </c>
      <c r="B42" t="s">
        <v>23</v>
      </c>
      <c r="C42" t="s">
        <v>12</v>
      </c>
      <c r="E42" t="s">
        <v>36</v>
      </c>
      <c r="F42">
        <v>7155</v>
      </c>
      <c r="G42">
        <v>882</v>
      </c>
      <c r="H42">
        <v>6273</v>
      </c>
      <c r="I42" s="353">
        <v>0.12327044025157233</v>
      </c>
      <c r="J42">
        <v>8</v>
      </c>
      <c r="K42" t="s">
        <v>12</v>
      </c>
    </row>
    <row r="43" spans="1:11" ht="12.5">
      <c r="A43" t="s">
        <v>73</v>
      </c>
      <c r="B43" t="s">
        <v>23</v>
      </c>
      <c r="C43" t="s">
        <v>12</v>
      </c>
      <c r="E43" t="s">
        <v>39</v>
      </c>
      <c r="F43">
        <v>0</v>
      </c>
      <c r="G43">
        <v>0</v>
      </c>
      <c r="H43">
        <v>0</v>
      </c>
      <c r="I43" s="353">
        <v>0</v>
      </c>
      <c r="J43">
        <v>8</v>
      </c>
      <c r="K43" t="s">
        <v>12</v>
      </c>
    </row>
    <row r="44" spans="1:11" ht="12.5">
      <c r="A44" t="s">
        <v>73</v>
      </c>
      <c r="B44" t="s">
        <v>23</v>
      </c>
      <c r="C44" t="s">
        <v>12</v>
      </c>
      <c r="E44" t="s">
        <v>41</v>
      </c>
      <c r="F44">
        <v>244</v>
      </c>
      <c r="G44">
        <v>250</v>
      </c>
      <c r="H44">
        <v>-6</v>
      </c>
      <c r="I44" s="353">
        <v>1.0245901639344261</v>
      </c>
      <c r="J44">
        <v>8</v>
      </c>
      <c r="K44" t="s">
        <v>12</v>
      </c>
    </row>
    <row r="45" spans="1:11" ht="12.5">
      <c r="A45" t="s">
        <v>73</v>
      </c>
      <c r="B45" t="s">
        <v>23</v>
      </c>
      <c r="C45" t="s">
        <v>12</v>
      </c>
      <c r="E45" t="s">
        <v>43</v>
      </c>
      <c r="F45">
        <v>0</v>
      </c>
      <c r="G45">
        <v>0</v>
      </c>
      <c r="H45">
        <v>0</v>
      </c>
      <c r="I45" s="353">
        <v>0</v>
      </c>
      <c r="J45">
        <v>8</v>
      </c>
      <c r="K45" t="s">
        <v>12</v>
      </c>
    </row>
    <row r="46" spans="1:11" ht="12.5">
      <c r="A46" t="s">
        <v>73</v>
      </c>
      <c r="B46" t="s">
        <v>23</v>
      </c>
      <c r="C46" t="s">
        <v>12</v>
      </c>
      <c r="E46" t="s">
        <v>45</v>
      </c>
      <c r="F46">
        <v>0</v>
      </c>
      <c r="G46">
        <v>204</v>
      </c>
      <c r="H46">
        <v>-204</v>
      </c>
      <c r="I46" s="353">
        <v>0</v>
      </c>
      <c r="J46">
        <v>8</v>
      </c>
      <c r="K46" t="s">
        <v>12</v>
      </c>
    </row>
    <row r="47" spans="1:11" ht="12.5">
      <c r="A47" t="s">
        <v>73</v>
      </c>
      <c r="B47" t="s">
        <v>23</v>
      </c>
      <c r="C47" t="s">
        <v>12</v>
      </c>
      <c r="E47" t="s">
        <v>47</v>
      </c>
      <c r="F47">
        <v>0</v>
      </c>
      <c r="G47">
        <v>0</v>
      </c>
      <c r="H47">
        <v>0</v>
      </c>
      <c r="I47" s="353">
        <v>0</v>
      </c>
      <c r="J47">
        <v>8</v>
      </c>
      <c r="K47" t="s">
        <v>12</v>
      </c>
    </row>
    <row r="48" spans="1:11" ht="12.5">
      <c r="A48" t="s">
        <v>73</v>
      </c>
      <c r="B48" t="s">
        <v>23</v>
      </c>
      <c r="C48" t="s">
        <v>12</v>
      </c>
      <c r="E48" t="s">
        <v>49</v>
      </c>
      <c r="F48">
        <v>0</v>
      </c>
      <c r="G48">
        <v>0</v>
      </c>
      <c r="H48">
        <v>0</v>
      </c>
      <c r="I48" s="353">
        <v>0</v>
      </c>
      <c r="J48">
        <v>8</v>
      </c>
      <c r="K48" t="s">
        <v>12</v>
      </c>
    </row>
    <row r="49" spans="1:11" ht="12.5">
      <c r="A49" t="s">
        <v>73</v>
      </c>
      <c r="B49" t="s">
        <v>23</v>
      </c>
      <c r="C49" t="s">
        <v>12</v>
      </c>
      <c r="E49" t="s">
        <v>51</v>
      </c>
      <c r="F49">
        <v>0</v>
      </c>
      <c r="G49">
        <v>0</v>
      </c>
      <c r="H49">
        <v>0</v>
      </c>
      <c r="I49" s="353">
        <v>0</v>
      </c>
      <c r="J49">
        <v>8</v>
      </c>
      <c r="K49" t="s">
        <v>12</v>
      </c>
    </row>
    <row r="50" spans="1:11" ht="12.5">
      <c r="A50" t="s">
        <v>74</v>
      </c>
      <c r="B50" t="s">
        <v>24</v>
      </c>
      <c r="C50" t="s">
        <v>12</v>
      </c>
      <c r="E50" t="s">
        <v>36</v>
      </c>
      <c r="F50">
        <v>3126</v>
      </c>
      <c r="G50">
        <v>431</v>
      </c>
      <c r="H50">
        <v>2695</v>
      </c>
      <c r="I50" s="353">
        <v>0.13787587971849008</v>
      </c>
      <c r="J50">
        <v>9</v>
      </c>
      <c r="K50" t="s">
        <v>12</v>
      </c>
    </row>
    <row r="51" spans="1:11" ht="12.5">
      <c r="A51" t="s">
        <v>74</v>
      </c>
      <c r="B51" t="s">
        <v>24</v>
      </c>
      <c r="C51" t="s">
        <v>12</v>
      </c>
      <c r="E51" t="s">
        <v>39</v>
      </c>
      <c r="F51">
        <v>0</v>
      </c>
      <c r="G51">
        <v>0</v>
      </c>
      <c r="H51">
        <v>0</v>
      </c>
      <c r="I51" s="353">
        <v>0</v>
      </c>
      <c r="J51">
        <v>9</v>
      </c>
      <c r="K51" t="s">
        <v>12</v>
      </c>
    </row>
    <row r="52" spans="1:11" ht="12.5">
      <c r="A52" t="s">
        <v>74</v>
      </c>
      <c r="B52" t="s">
        <v>24</v>
      </c>
      <c r="C52" t="s">
        <v>12</v>
      </c>
      <c r="E52" t="s">
        <v>41</v>
      </c>
      <c r="F52">
        <v>0</v>
      </c>
      <c r="G52">
        <v>0</v>
      </c>
      <c r="H52">
        <v>0</v>
      </c>
      <c r="I52" s="353">
        <v>0</v>
      </c>
      <c r="J52">
        <v>9</v>
      </c>
      <c r="K52" t="s">
        <v>12</v>
      </c>
    </row>
    <row r="53" spans="1:11" ht="12.5">
      <c r="A53" t="s">
        <v>74</v>
      </c>
      <c r="B53" t="s">
        <v>24</v>
      </c>
      <c r="C53" t="s">
        <v>12</v>
      </c>
      <c r="E53" t="s">
        <v>43</v>
      </c>
      <c r="F53">
        <v>0</v>
      </c>
      <c r="G53">
        <v>0</v>
      </c>
      <c r="H53">
        <v>0</v>
      </c>
      <c r="I53" s="353">
        <v>0</v>
      </c>
      <c r="J53">
        <v>9</v>
      </c>
      <c r="K53" t="s">
        <v>12</v>
      </c>
    </row>
    <row r="54" spans="1:11" ht="12.5">
      <c r="A54" t="s">
        <v>74</v>
      </c>
      <c r="B54" t="s">
        <v>24</v>
      </c>
      <c r="C54" t="s">
        <v>12</v>
      </c>
      <c r="E54" t="s">
        <v>45</v>
      </c>
      <c r="F54">
        <v>0</v>
      </c>
      <c r="G54">
        <v>0</v>
      </c>
      <c r="H54">
        <v>0</v>
      </c>
      <c r="I54" s="353">
        <v>0</v>
      </c>
      <c r="J54">
        <v>9</v>
      </c>
      <c r="K54" t="s">
        <v>12</v>
      </c>
    </row>
    <row r="55" spans="1:11" ht="12.5">
      <c r="A55" t="s">
        <v>74</v>
      </c>
      <c r="B55" t="s">
        <v>24</v>
      </c>
      <c r="C55" t="s">
        <v>12</v>
      </c>
      <c r="E55" t="s">
        <v>47</v>
      </c>
      <c r="F55">
        <v>0</v>
      </c>
      <c r="G55">
        <v>0</v>
      </c>
      <c r="H55">
        <v>0</v>
      </c>
      <c r="I55" s="353">
        <v>0</v>
      </c>
      <c r="J55">
        <v>9</v>
      </c>
      <c r="K55" t="s">
        <v>12</v>
      </c>
    </row>
    <row r="56" spans="1:11" ht="12.5">
      <c r="A56" t="s">
        <v>74</v>
      </c>
      <c r="B56" t="s">
        <v>24</v>
      </c>
      <c r="C56" t="s">
        <v>12</v>
      </c>
      <c r="E56" t="s">
        <v>49</v>
      </c>
      <c r="F56">
        <v>0</v>
      </c>
      <c r="G56">
        <v>0</v>
      </c>
      <c r="H56">
        <v>0</v>
      </c>
      <c r="I56" s="353">
        <v>0</v>
      </c>
      <c r="J56">
        <v>9</v>
      </c>
      <c r="K56" t="s">
        <v>12</v>
      </c>
    </row>
    <row r="57" spans="1:11" ht="12.5">
      <c r="A57" t="s">
        <v>74</v>
      </c>
      <c r="B57" t="s">
        <v>24</v>
      </c>
      <c r="C57" t="s">
        <v>12</v>
      </c>
      <c r="E57" t="s">
        <v>51</v>
      </c>
      <c r="F57">
        <v>0</v>
      </c>
      <c r="G57">
        <v>0</v>
      </c>
      <c r="H57">
        <v>0</v>
      </c>
      <c r="I57" s="353">
        <v>0</v>
      </c>
      <c r="J57">
        <v>9</v>
      </c>
      <c r="K57" t="s">
        <v>12</v>
      </c>
    </row>
    <row r="58" spans="1:11" ht="12.5">
      <c r="A58" t="s">
        <v>76</v>
      </c>
      <c r="B58" t="s">
        <v>26</v>
      </c>
      <c r="C58" t="s">
        <v>12</v>
      </c>
      <c r="E58" t="s">
        <v>36</v>
      </c>
      <c r="F58">
        <v>2620</v>
      </c>
      <c r="G58">
        <v>80</v>
      </c>
      <c r="H58">
        <v>2540</v>
      </c>
      <c r="I58" s="353">
        <v>3.0534351145038167E-2</v>
      </c>
      <c r="J58">
        <v>10</v>
      </c>
      <c r="K58" t="s">
        <v>12</v>
      </c>
    </row>
    <row r="59" spans="1:11" ht="12.5">
      <c r="A59" t="s">
        <v>76</v>
      </c>
      <c r="B59" t="s">
        <v>26</v>
      </c>
      <c r="C59" t="s">
        <v>12</v>
      </c>
      <c r="E59" t="s">
        <v>39</v>
      </c>
      <c r="F59">
        <v>0</v>
      </c>
      <c r="G59">
        <v>0</v>
      </c>
      <c r="H59">
        <v>0</v>
      </c>
      <c r="I59" s="353">
        <v>0</v>
      </c>
      <c r="J59">
        <v>10</v>
      </c>
      <c r="K59" t="s">
        <v>12</v>
      </c>
    </row>
    <row r="60" spans="1:11" ht="12.5">
      <c r="A60" t="s">
        <v>76</v>
      </c>
      <c r="B60" t="s">
        <v>26</v>
      </c>
      <c r="C60" t="s">
        <v>12</v>
      </c>
      <c r="E60" t="s">
        <v>41</v>
      </c>
      <c r="F60">
        <v>610</v>
      </c>
      <c r="G60">
        <v>614</v>
      </c>
      <c r="H60">
        <v>-4</v>
      </c>
      <c r="I60" s="353">
        <v>1.0065573770491802</v>
      </c>
      <c r="J60">
        <v>10</v>
      </c>
      <c r="K60" t="s">
        <v>12</v>
      </c>
    </row>
    <row r="61" spans="1:11" ht="12.5">
      <c r="A61" t="s">
        <v>76</v>
      </c>
      <c r="B61" t="s">
        <v>26</v>
      </c>
      <c r="C61" t="s">
        <v>12</v>
      </c>
      <c r="E61" t="s">
        <v>43</v>
      </c>
      <c r="F61">
        <v>0</v>
      </c>
      <c r="G61">
        <v>0</v>
      </c>
      <c r="H61">
        <v>0</v>
      </c>
      <c r="I61" s="353">
        <v>0</v>
      </c>
      <c r="J61">
        <v>10</v>
      </c>
      <c r="K61" t="s">
        <v>12</v>
      </c>
    </row>
    <row r="62" spans="1:11" ht="12.5">
      <c r="A62" t="s">
        <v>76</v>
      </c>
      <c r="B62" t="s">
        <v>26</v>
      </c>
      <c r="C62" t="s">
        <v>12</v>
      </c>
      <c r="E62" t="s">
        <v>45</v>
      </c>
      <c r="F62">
        <v>0</v>
      </c>
      <c r="G62">
        <v>240</v>
      </c>
      <c r="H62">
        <v>-240</v>
      </c>
      <c r="I62" s="353">
        <v>0</v>
      </c>
      <c r="J62">
        <v>10</v>
      </c>
      <c r="K62" t="s">
        <v>12</v>
      </c>
    </row>
    <row r="63" spans="1:11" ht="12.5">
      <c r="A63" t="s">
        <v>76</v>
      </c>
      <c r="B63" t="s">
        <v>26</v>
      </c>
      <c r="C63" t="s">
        <v>12</v>
      </c>
      <c r="E63" t="s">
        <v>47</v>
      </c>
      <c r="F63">
        <v>0</v>
      </c>
      <c r="G63">
        <v>0</v>
      </c>
      <c r="H63">
        <v>0</v>
      </c>
      <c r="I63" s="353">
        <v>0</v>
      </c>
      <c r="J63">
        <v>10</v>
      </c>
      <c r="K63" t="s">
        <v>12</v>
      </c>
    </row>
    <row r="64" spans="1:11" ht="12.5">
      <c r="A64" t="s">
        <v>76</v>
      </c>
      <c r="B64" t="s">
        <v>26</v>
      </c>
      <c r="C64" t="s">
        <v>12</v>
      </c>
      <c r="E64" t="s">
        <v>49</v>
      </c>
      <c r="F64">
        <v>0</v>
      </c>
      <c r="G64">
        <v>0</v>
      </c>
      <c r="H64">
        <v>0</v>
      </c>
      <c r="I64" s="353">
        <v>0</v>
      </c>
      <c r="J64">
        <v>10</v>
      </c>
      <c r="K64" t="s">
        <v>12</v>
      </c>
    </row>
    <row r="65" spans="1:11" ht="12.5">
      <c r="A65" t="s">
        <v>76</v>
      </c>
      <c r="B65" t="s">
        <v>26</v>
      </c>
      <c r="C65" t="s">
        <v>12</v>
      </c>
      <c r="E65" t="s">
        <v>51</v>
      </c>
      <c r="F65">
        <v>0</v>
      </c>
      <c r="G65">
        <v>0</v>
      </c>
      <c r="H65">
        <v>0</v>
      </c>
      <c r="I65" s="353">
        <v>0</v>
      </c>
      <c r="J65">
        <v>10</v>
      </c>
      <c r="K65" t="s">
        <v>12</v>
      </c>
    </row>
    <row r="66" spans="1:11" ht="12.5">
      <c r="A66" t="s">
        <v>80</v>
      </c>
      <c r="B66" t="s">
        <v>40</v>
      </c>
      <c r="C66" t="s">
        <v>12</v>
      </c>
      <c r="E66" t="s">
        <v>36</v>
      </c>
      <c r="F66">
        <v>742</v>
      </c>
      <c r="G66">
        <v>154</v>
      </c>
      <c r="H66">
        <v>588</v>
      </c>
      <c r="I66" s="353">
        <v>0.20754716981132076</v>
      </c>
      <c r="J66">
        <v>11</v>
      </c>
      <c r="K66" t="s">
        <v>12</v>
      </c>
    </row>
    <row r="67" spans="1:11" ht="12.5">
      <c r="A67" t="s">
        <v>80</v>
      </c>
      <c r="B67" t="s">
        <v>40</v>
      </c>
      <c r="C67" t="s">
        <v>12</v>
      </c>
      <c r="E67" t="s">
        <v>39</v>
      </c>
      <c r="F67">
        <v>0</v>
      </c>
      <c r="G67">
        <v>0</v>
      </c>
      <c r="H67">
        <v>0</v>
      </c>
      <c r="I67" s="353">
        <v>0</v>
      </c>
      <c r="J67">
        <v>11</v>
      </c>
      <c r="K67" t="s">
        <v>12</v>
      </c>
    </row>
    <row r="68" spans="1:11" ht="12.5">
      <c r="A68" t="s">
        <v>80</v>
      </c>
      <c r="B68" t="s">
        <v>40</v>
      </c>
      <c r="C68" t="s">
        <v>12</v>
      </c>
      <c r="E68" t="s">
        <v>41</v>
      </c>
      <c r="F68">
        <v>300</v>
      </c>
      <c r="G68">
        <v>107</v>
      </c>
      <c r="H68">
        <v>193</v>
      </c>
      <c r="I68" s="353">
        <v>0.35666666666666669</v>
      </c>
      <c r="J68">
        <v>11</v>
      </c>
      <c r="K68" t="s">
        <v>12</v>
      </c>
    </row>
    <row r="69" spans="1:11" ht="12.5">
      <c r="A69" t="s">
        <v>80</v>
      </c>
      <c r="B69" t="s">
        <v>40</v>
      </c>
      <c r="C69" t="s">
        <v>12</v>
      </c>
      <c r="E69" t="s">
        <v>43</v>
      </c>
      <c r="F69">
        <v>0</v>
      </c>
      <c r="G69">
        <v>0</v>
      </c>
      <c r="H69">
        <v>0</v>
      </c>
      <c r="I69" s="353">
        <v>0</v>
      </c>
      <c r="J69">
        <v>11</v>
      </c>
      <c r="K69" t="s">
        <v>12</v>
      </c>
    </row>
    <row r="70" spans="1:11" ht="12.5">
      <c r="A70" t="s">
        <v>80</v>
      </c>
      <c r="B70" t="s">
        <v>40</v>
      </c>
      <c r="C70" t="s">
        <v>12</v>
      </c>
      <c r="E70" t="s">
        <v>45</v>
      </c>
      <c r="F70">
        <v>0</v>
      </c>
      <c r="G70">
        <v>0</v>
      </c>
      <c r="H70">
        <v>0</v>
      </c>
      <c r="I70" s="353">
        <v>0</v>
      </c>
      <c r="J70">
        <v>11</v>
      </c>
      <c r="K70" t="s">
        <v>12</v>
      </c>
    </row>
    <row r="71" spans="1:11" ht="12.5">
      <c r="A71" t="s">
        <v>80</v>
      </c>
      <c r="B71" t="s">
        <v>40</v>
      </c>
      <c r="C71" t="s">
        <v>12</v>
      </c>
      <c r="E71" t="s">
        <v>47</v>
      </c>
      <c r="F71">
        <v>0</v>
      </c>
      <c r="G71">
        <v>0</v>
      </c>
      <c r="H71">
        <v>0</v>
      </c>
      <c r="I71" s="353">
        <v>0</v>
      </c>
      <c r="J71">
        <v>11</v>
      </c>
      <c r="K71" t="s">
        <v>12</v>
      </c>
    </row>
    <row r="72" spans="1:11" ht="12.5">
      <c r="A72" t="s">
        <v>80</v>
      </c>
      <c r="B72" t="s">
        <v>40</v>
      </c>
      <c r="C72" t="s">
        <v>12</v>
      </c>
      <c r="E72" t="s">
        <v>49</v>
      </c>
      <c r="F72">
        <v>0</v>
      </c>
      <c r="G72">
        <v>0</v>
      </c>
      <c r="H72">
        <v>0</v>
      </c>
      <c r="I72" s="353">
        <v>0</v>
      </c>
      <c r="J72">
        <v>11</v>
      </c>
      <c r="K72" t="s">
        <v>12</v>
      </c>
    </row>
    <row r="73" spans="1:11" ht="12.5">
      <c r="A73" t="s">
        <v>80</v>
      </c>
      <c r="B73" t="s">
        <v>40</v>
      </c>
      <c r="C73" t="s">
        <v>12</v>
      </c>
      <c r="E73" t="s">
        <v>51</v>
      </c>
      <c r="F73">
        <v>102</v>
      </c>
      <c r="G73">
        <v>38</v>
      </c>
      <c r="H73">
        <v>64</v>
      </c>
      <c r="I73" s="353">
        <v>0.37254901960784315</v>
      </c>
      <c r="J73">
        <v>11</v>
      </c>
      <c r="K73" t="s">
        <v>12</v>
      </c>
    </row>
    <row r="74" spans="1:11" ht="12.5">
      <c r="A74" t="s">
        <v>75</v>
      </c>
      <c r="B74" t="s">
        <v>25</v>
      </c>
      <c r="C74" t="s">
        <v>12</v>
      </c>
      <c r="E74" t="s">
        <v>36</v>
      </c>
      <c r="F74">
        <v>659</v>
      </c>
      <c r="G74">
        <v>144</v>
      </c>
      <c r="H74">
        <v>515</v>
      </c>
      <c r="I74" s="353">
        <v>0.21851289833080426</v>
      </c>
      <c r="J74">
        <v>12</v>
      </c>
      <c r="K74" t="s">
        <v>12</v>
      </c>
    </row>
    <row r="75" spans="1:11" ht="12.5">
      <c r="A75" t="s">
        <v>75</v>
      </c>
      <c r="B75" t="s">
        <v>25</v>
      </c>
      <c r="C75" t="s">
        <v>12</v>
      </c>
      <c r="E75" t="s">
        <v>39</v>
      </c>
      <c r="F75">
        <v>0</v>
      </c>
      <c r="G75">
        <v>0</v>
      </c>
      <c r="H75">
        <v>0</v>
      </c>
      <c r="I75" s="353">
        <v>0</v>
      </c>
      <c r="J75">
        <v>12</v>
      </c>
      <c r="K75" t="s">
        <v>12</v>
      </c>
    </row>
    <row r="76" spans="1:11" ht="12.5">
      <c r="A76" t="s">
        <v>75</v>
      </c>
      <c r="B76" t="s">
        <v>25</v>
      </c>
      <c r="C76" t="s">
        <v>12</v>
      </c>
      <c r="E76" t="s">
        <v>41</v>
      </c>
      <c r="F76">
        <v>0</v>
      </c>
      <c r="G76">
        <v>0</v>
      </c>
      <c r="H76">
        <v>0</v>
      </c>
      <c r="I76" s="353">
        <v>0</v>
      </c>
      <c r="J76">
        <v>12</v>
      </c>
      <c r="K76" t="s">
        <v>12</v>
      </c>
    </row>
    <row r="77" spans="1:11" ht="12.5">
      <c r="A77" t="s">
        <v>75</v>
      </c>
      <c r="B77" t="s">
        <v>25</v>
      </c>
      <c r="C77" t="s">
        <v>12</v>
      </c>
      <c r="E77" t="s">
        <v>43</v>
      </c>
      <c r="F77">
        <v>0</v>
      </c>
      <c r="G77">
        <v>0</v>
      </c>
      <c r="H77">
        <v>0</v>
      </c>
      <c r="I77" s="353">
        <v>0</v>
      </c>
      <c r="J77">
        <v>12</v>
      </c>
      <c r="K77" t="s">
        <v>12</v>
      </c>
    </row>
    <row r="78" spans="1:11" ht="12.5">
      <c r="A78" t="s">
        <v>75</v>
      </c>
      <c r="B78" t="s">
        <v>25</v>
      </c>
      <c r="C78" t="s">
        <v>12</v>
      </c>
      <c r="E78" t="s">
        <v>45</v>
      </c>
      <c r="F78">
        <v>500</v>
      </c>
      <c r="G78">
        <v>435</v>
      </c>
      <c r="H78">
        <v>65</v>
      </c>
      <c r="I78" s="353">
        <v>0.87</v>
      </c>
      <c r="J78">
        <v>12</v>
      </c>
      <c r="K78" t="s">
        <v>12</v>
      </c>
    </row>
    <row r="79" spans="1:11" ht="12.5">
      <c r="A79" t="s">
        <v>75</v>
      </c>
      <c r="B79" t="s">
        <v>25</v>
      </c>
      <c r="C79" t="s">
        <v>12</v>
      </c>
      <c r="E79" t="s">
        <v>47</v>
      </c>
      <c r="F79">
        <v>0</v>
      </c>
      <c r="G79">
        <v>0</v>
      </c>
      <c r="H79">
        <v>0</v>
      </c>
      <c r="I79" s="353">
        <v>0</v>
      </c>
      <c r="J79">
        <v>12</v>
      </c>
      <c r="K79" t="s">
        <v>12</v>
      </c>
    </row>
    <row r="80" spans="1:11" ht="12.5">
      <c r="A80" t="s">
        <v>75</v>
      </c>
      <c r="B80" t="s">
        <v>25</v>
      </c>
      <c r="C80" t="s">
        <v>12</v>
      </c>
      <c r="E80" t="s">
        <v>49</v>
      </c>
      <c r="F80">
        <v>0</v>
      </c>
      <c r="G80">
        <v>0</v>
      </c>
      <c r="H80">
        <v>0</v>
      </c>
      <c r="I80" s="353">
        <v>0</v>
      </c>
      <c r="J80">
        <v>12</v>
      </c>
      <c r="K80" t="s">
        <v>12</v>
      </c>
    </row>
    <row r="81" spans="1:11" ht="12.5">
      <c r="A81" t="s">
        <v>75</v>
      </c>
      <c r="B81" t="s">
        <v>25</v>
      </c>
      <c r="C81" t="s">
        <v>12</v>
      </c>
      <c r="E81" t="s">
        <v>51</v>
      </c>
      <c r="F81">
        <v>0</v>
      </c>
      <c r="G81">
        <v>0</v>
      </c>
      <c r="H81">
        <v>0</v>
      </c>
      <c r="I81" s="353">
        <v>0</v>
      </c>
      <c r="J81">
        <v>12</v>
      </c>
      <c r="K81" t="s">
        <v>12</v>
      </c>
    </row>
    <row r="82" spans="1:11" ht="12.5">
      <c r="A82" t="s">
        <v>81</v>
      </c>
      <c r="B82" t="s">
        <v>42</v>
      </c>
      <c r="C82" t="s">
        <v>12</v>
      </c>
      <c r="E82" t="s">
        <v>36</v>
      </c>
      <c r="F82">
        <v>554</v>
      </c>
      <c r="G82">
        <v>130</v>
      </c>
      <c r="H82">
        <v>424</v>
      </c>
      <c r="I82" s="353">
        <v>0.23465703971119134</v>
      </c>
      <c r="J82">
        <v>13</v>
      </c>
      <c r="K82" t="s">
        <v>12</v>
      </c>
    </row>
    <row r="83" spans="1:11" ht="12.5">
      <c r="A83" t="s">
        <v>81</v>
      </c>
      <c r="B83" t="s">
        <v>42</v>
      </c>
      <c r="C83" t="s">
        <v>12</v>
      </c>
      <c r="E83" t="s">
        <v>39</v>
      </c>
      <c r="F83">
        <v>0</v>
      </c>
      <c r="G83">
        <v>0</v>
      </c>
      <c r="H83">
        <v>0</v>
      </c>
      <c r="I83" s="353">
        <v>0</v>
      </c>
      <c r="J83">
        <v>13</v>
      </c>
      <c r="K83" t="s">
        <v>12</v>
      </c>
    </row>
    <row r="84" spans="1:11" ht="12.5">
      <c r="A84" t="s">
        <v>81</v>
      </c>
      <c r="B84" t="s">
        <v>42</v>
      </c>
      <c r="C84" t="s">
        <v>12</v>
      </c>
      <c r="E84" t="s">
        <v>41</v>
      </c>
      <c r="F84">
        <v>0</v>
      </c>
      <c r="G84">
        <v>0</v>
      </c>
      <c r="H84">
        <v>0</v>
      </c>
      <c r="I84" s="353">
        <v>0</v>
      </c>
      <c r="J84">
        <v>13</v>
      </c>
      <c r="K84" t="s">
        <v>12</v>
      </c>
    </row>
    <row r="85" spans="1:11" ht="12.5">
      <c r="A85" t="s">
        <v>81</v>
      </c>
      <c r="B85" t="s">
        <v>42</v>
      </c>
      <c r="C85" t="s">
        <v>12</v>
      </c>
      <c r="E85" t="s">
        <v>43</v>
      </c>
      <c r="F85">
        <v>0</v>
      </c>
      <c r="G85">
        <v>0</v>
      </c>
      <c r="H85">
        <v>0</v>
      </c>
      <c r="I85" s="353">
        <v>0</v>
      </c>
      <c r="J85">
        <v>13</v>
      </c>
      <c r="K85" t="s">
        <v>12</v>
      </c>
    </row>
    <row r="86" spans="1:11" ht="12.5">
      <c r="A86" t="s">
        <v>81</v>
      </c>
      <c r="B86" t="s">
        <v>42</v>
      </c>
      <c r="C86" t="s">
        <v>12</v>
      </c>
      <c r="E86" t="s">
        <v>45</v>
      </c>
      <c r="F86">
        <v>0</v>
      </c>
      <c r="G86">
        <v>0</v>
      </c>
      <c r="H86">
        <v>0</v>
      </c>
      <c r="I86" s="353">
        <v>0</v>
      </c>
      <c r="J86">
        <v>13</v>
      </c>
      <c r="K86" t="s">
        <v>12</v>
      </c>
    </row>
    <row r="87" spans="1:11" ht="12.5">
      <c r="A87" t="s">
        <v>81</v>
      </c>
      <c r="B87" t="s">
        <v>42</v>
      </c>
      <c r="C87" t="s">
        <v>12</v>
      </c>
      <c r="E87" t="s">
        <v>47</v>
      </c>
      <c r="F87">
        <v>0</v>
      </c>
      <c r="G87">
        <v>0</v>
      </c>
      <c r="H87">
        <v>0</v>
      </c>
      <c r="I87" s="353">
        <v>0</v>
      </c>
      <c r="J87">
        <v>13</v>
      </c>
      <c r="K87" t="s">
        <v>12</v>
      </c>
    </row>
    <row r="88" spans="1:11" ht="12.5">
      <c r="A88" t="s">
        <v>81</v>
      </c>
      <c r="B88" t="s">
        <v>42</v>
      </c>
      <c r="C88" t="s">
        <v>12</v>
      </c>
      <c r="E88" t="s">
        <v>49</v>
      </c>
      <c r="F88">
        <v>0</v>
      </c>
      <c r="G88">
        <v>0</v>
      </c>
      <c r="H88">
        <v>0</v>
      </c>
      <c r="I88" s="353">
        <v>0</v>
      </c>
      <c r="J88">
        <v>13</v>
      </c>
      <c r="K88" t="s">
        <v>12</v>
      </c>
    </row>
    <row r="89" spans="1:11" ht="12.5">
      <c r="A89" t="s">
        <v>81</v>
      </c>
      <c r="B89" t="s">
        <v>42</v>
      </c>
      <c r="C89" t="s">
        <v>12</v>
      </c>
      <c r="E89" t="s">
        <v>51</v>
      </c>
      <c r="F89">
        <v>0</v>
      </c>
      <c r="G89">
        <v>0</v>
      </c>
      <c r="H89">
        <v>0</v>
      </c>
      <c r="I89" s="353">
        <v>0</v>
      </c>
      <c r="J89">
        <v>13</v>
      </c>
      <c r="K89" t="s">
        <v>12</v>
      </c>
    </row>
    <row r="90" spans="1:11" ht="12.5">
      <c r="A90" t="s">
        <v>78</v>
      </c>
      <c r="B90" t="s">
        <v>35</v>
      </c>
      <c r="C90" t="s">
        <v>12</v>
      </c>
      <c r="E90" t="s">
        <v>36</v>
      </c>
      <c r="F90">
        <v>189</v>
      </c>
      <c r="G90">
        <v>40</v>
      </c>
      <c r="H90">
        <v>149</v>
      </c>
      <c r="I90" s="353">
        <v>0.21164021164021163</v>
      </c>
      <c r="J90">
        <v>14</v>
      </c>
      <c r="K90" t="s">
        <v>12</v>
      </c>
    </row>
    <row r="91" spans="1:11" ht="12.5">
      <c r="A91" t="s">
        <v>78</v>
      </c>
      <c r="B91" t="s">
        <v>35</v>
      </c>
      <c r="C91" t="s">
        <v>12</v>
      </c>
      <c r="E91" t="s">
        <v>39</v>
      </c>
      <c r="F91">
        <v>0</v>
      </c>
      <c r="G91">
        <v>0</v>
      </c>
      <c r="H91">
        <v>0</v>
      </c>
      <c r="I91" s="353">
        <v>0</v>
      </c>
      <c r="J91">
        <v>14</v>
      </c>
      <c r="K91" t="s">
        <v>12</v>
      </c>
    </row>
    <row r="92" spans="1:11" ht="12.5">
      <c r="A92" t="s">
        <v>78</v>
      </c>
      <c r="B92" t="s">
        <v>35</v>
      </c>
      <c r="C92" t="s">
        <v>12</v>
      </c>
      <c r="E92" t="s">
        <v>41</v>
      </c>
      <c r="F92">
        <v>85</v>
      </c>
      <c r="G92">
        <v>75</v>
      </c>
      <c r="H92">
        <v>10</v>
      </c>
      <c r="I92" s="353">
        <v>0.88235294117647056</v>
      </c>
      <c r="J92">
        <v>14</v>
      </c>
      <c r="K92" t="s">
        <v>12</v>
      </c>
    </row>
    <row r="93" spans="1:11" ht="12.5">
      <c r="A93" t="s">
        <v>78</v>
      </c>
      <c r="B93" t="s">
        <v>35</v>
      </c>
      <c r="C93" t="s">
        <v>12</v>
      </c>
      <c r="E93" t="s">
        <v>43</v>
      </c>
      <c r="F93">
        <v>0</v>
      </c>
      <c r="G93">
        <v>0</v>
      </c>
      <c r="H93">
        <v>0</v>
      </c>
      <c r="I93" s="353">
        <v>0</v>
      </c>
      <c r="J93">
        <v>14</v>
      </c>
      <c r="K93" t="s">
        <v>12</v>
      </c>
    </row>
    <row r="94" spans="1:11" ht="12.5">
      <c r="A94" t="s">
        <v>78</v>
      </c>
      <c r="B94" t="s">
        <v>35</v>
      </c>
      <c r="C94" t="s">
        <v>12</v>
      </c>
      <c r="E94" t="s">
        <v>45</v>
      </c>
      <c r="F94">
        <v>0</v>
      </c>
      <c r="G94">
        <v>0</v>
      </c>
      <c r="H94">
        <v>0</v>
      </c>
      <c r="I94" s="353">
        <v>0</v>
      </c>
      <c r="J94">
        <v>14</v>
      </c>
      <c r="K94" t="s">
        <v>12</v>
      </c>
    </row>
    <row r="95" spans="1:11" ht="12.5">
      <c r="A95" t="s">
        <v>78</v>
      </c>
      <c r="B95" t="s">
        <v>35</v>
      </c>
      <c r="C95" t="s">
        <v>12</v>
      </c>
      <c r="E95" t="s">
        <v>47</v>
      </c>
      <c r="F95">
        <v>0</v>
      </c>
      <c r="G95">
        <v>0</v>
      </c>
      <c r="H95">
        <v>0</v>
      </c>
      <c r="I95" s="353">
        <v>0</v>
      </c>
      <c r="J95">
        <v>14</v>
      </c>
      <c r="K95" t="s">
        <v>12</v>
      </c>
    </row>
    <row r="96" spans="1:11" ht="12.5">
      <c r="A96" t="s">
        <v>78</v>
      </c>
      <c r="B96" t="s">
        <v>35</v>
      </c>
      <c r="C96" t="s">
        <v>12</v>
      </c>
      <c r="E96" t="s">
        <v>49</v>
      </c>
      <c r="F96">
        <v>0</v>
      </c>
      <c r="G96">
        <v>0</v>
      </c>
      <c r="H96">
        <v>0</v>
      </c>
      <c r="I96" s="353">
        <v>0</v>
      </c>
      <c r="J96">
        <v>14</v>
      </c>
      <c r="K96" t="s">
        <v>12</v>
      </c>
    </row>
    <row r="97" spans="1:11" ht="12.5">
      <c r="A97" t="s">
        <v>78</v>
      </c>
      <c r="B97" t="s">
        <v>35</v>
      </c>
      <c r="C97" t="s">
        <v>12</v>
      </c>
      <c r="E97" t="s">
        <v>51</v>
      </c>
      <c r="F97">
        <v>0</v>
      </c>
      <c r="G97">
        <v>0</v>
      </c>
      <c r="H97">
        <v>0</v>
      </c>
      <c r="I97" s="353">
        <v>0</v>
      </c>
      <c r="J97">
        <v>14</v>
      </c>
      <c r="K97" t="s">
        <v>12</v>
      </c>
    </row>
    <row r="98" spans="1:11" ht="12.5">
      <c r="A98" t="s">
        <v>67</v>
      </c>
      <c r="B98" t="s">
        <v>9</v>
      </c>
      <c r="C98" t="s">
        <v>12</v>
      </c>
      <c r="E98" t="s">
        <v>36</v>
      </c>
      <c r="F98">
        <v>178</v>
      </c>
      <c r="G98">
        <v>0</v>
      </c>
      <c r="H98">
        <v>178</v>
      </c>
      <c r="I98" s="353">
        <v>0</v>
      </c>
      <c r="J98">
        <v>15</v>
      </c>
      <c r="K98" t="s">
        <v>12</v>
      </c>
    </row>
    <row r="99" spans="1:11" ht="12.5">
      <c r="A99" t="s">
        <v>67</v>
      </c>
      <c r="B99" t="s">
        <v>9</v>
      </c>
      <c r="C99" t="s">
        <v>12</v>
      </c>
      <c r="E99" t="s">
        <v>39</v>
      </c>
      <c r="F99">
        <v>0</v>
      </c>
      <c r="G99">
        <v>0</v>
      </c>
      <c r="H99">
        <v>0</v>
      </c>
      <c r="I99" s="353">
        <v>0</v>
      </c>
      <c r="J99">
        <v>15</v>
      </c>
      <c r="K99" t="s">
        <v>12</v>
      </c>
    </row>
    <row r="100" spans="1:11" ht="12.5">
      <c r="A100" t="s">
        <v>67</v>
      </c>
      <c r="B100" t="s">
        <v>9</v>
      </c>
      <c r="C100" t="s">
        <v>12</v>
      </c>
      <c r="E100" t="s">
        <v>41</v>
      </c>
      <c r="F100">
        <v>0</v>
      </c>
      <c r="G100">
        <v>0</v>
      </c>
      <c r="H100">
        <v>0</v>
      </c>
      <c r="I100" s="353">
        <v>0</v>
      </c>
      <c r="J100">
        <v>15</v>
      </c>
      <c r="K100" t="s">
        <v>12</v>
      </c>
    </row>
    <row r="101" spans="1:11" ht="12.5">
      <c r="A101" t="s">
        <v>67</v>
      </c>
      <c r="B101" t="s">
        <v>9</v>
      </c>
      <c r="C101" t="s">
        <v>12</v>
      </c>
      <c r="E101" t="s">
        <v>43</v>
      </c>
      <c r="F101">
        <v>0</v>
      </c>
      <c r="G101">
        <v>0</v>
      </c>
      <c r="H101">
        <v>0</v>
      </c>
      <c r="I101" s="353">
        <v>0</v>
      </c>
      <c r="J101">
        <v>15</v>
      </c>
      <c r="K101" t="s">
        <v>12</v>
      </c>
    </row>
    <row r="102" spans="1:11" ht="12.5">
      <c r="A102" t="s">
        <v>67</v>
      </c>
      <c r="B102" t="s">
        <v>9</v>
      </c>
      <c r="C102" t="s">
        <v>12</v>
      </c>
      <c r="E102" t="s">
        <v>45</v>
      </c>
      <c r="F102">
        <v>0</v>
      </c>
      <c r="G102">
        <v>0</v>
      </c>
      <c r="H102">
        <v>0</v>
      </c>
      <c r="I102" s="353">
        <v>0</v>
      </c>
      <c r="J102">
        <v>15</v>
      </c>
      <c r="K102" t="s">
        <v>12</v>
      </c>
    </row>
    <row r="103" spans="1:11" ht="12.5">
      <c r="A103" t="s">
        <v>67</v>
      </c>
      <c r="B103" t="s">
        <v>9</v>
      </c>
      <c r="C103" t="s">
        <v>12</v>
      </c>
      <c r="E103" t="s">
        <v>47</v>
      </c>
      <c r="F103">
        <v>0</v>
      </c>
      <c r="G103">
        <v>0</v>
      </c>
      <c r="H103">
        <v>0</v>
      </c>
      <c r="I103" s="353">
        <v>0</v>
      </c>
      <c r="J103">
        <v>15</v>
      </c>
      <c r="K103" t="s">
        <v>12</v>
      </c>
    </row>
    <row r="104" spans="1:11" ht="12.5">
      <c r="A104" t="s">
        <v>67</v>
      </c>
      <c r="B104" t="s">
        <v>9</v>
      </c>
      <c r="C104" t="s">
        <v>12</v>
      </c>
      <c r="E104" t="s">
        <v>49</v>
      </c>
      <c r="F104">
        <v>0</v>
      </c>
      <c r="G104">
        <v>0</v>
      </c>
      <c r="H104">
        <v>0</v>
      </c>
      <c r="I104" s="353">
        <v>0</v>
      </c>
      <c r="J104">
        <v>15</v>
      </c>
      <c r="K104" t="s">
        <v>12</v>
      </c>
    </row>
    <row r="105" spans="1:11" ht="12.5">
      <c r="A105" t="s">
        <v>67</v>
      </c>
      <c r="B105" t="s">
        <v>9</v>
      </c>
      <c r="C105" t="s">
        <v>12</v>
      </c>
      <c r="E105" t="s">
        <v>51</v>
      </c>
      <c r="F105">
        <v>0</v>
      </c>
      <c r="G105">
        <v>0</v>
      </c>
      <c r="H105">
        <v>0</v>
      </c>
      <c r="I105" s="353">
        <v>0</v>
      </c>
      <c r="J105">
        <v>15</v>
      </c>
      <c r="K105" t="s">
        <v>12</v>
      </c>
    </row>
    <row r="106" spans="1:11" ht="12.5">
      <c r="A106" t="s">
        <v>71</v>
      </c>
      <c r="B106" t="s">
        <v>21</v>
      </c>
      <c r="C106" t="s">
        <v>12</v>
      </c>
      <c r="E106" t="s">
        <v>36</v>
      </c>
      <c r="F106">
        <v>166</v>
      </c>
      <c r="G106">
        <v>25</v>
      </c>
      <c r="H106">
        <v>141</v>
      </c>
      <c r="I106" s="353">
        <v>0.15060240963855423</v>
      </c>
      <c r="J106">
        <v>16</v>
      </c>
      <c r="K106" t="s">
        <v>12</v>
      </c>
    </row>
    <row r="107" spans="1:11" ht="12.5">
      <c r="A107" t="s">
        <v>71</v>
      </c>
      <c r="B107" t="s">
        <v>21</v>
      </c>
      <c r="C107" t="s">
        <v>12</v>
      </c>
      <c r="E107" t="s">
        <v>39</v>
      </c>
      <c r="F107">
        <v>0</v>
      </c>
      <c r="G107">
        <v>0</v>
      </c>
      <c r="H107">
        <v>0</v>
      </c>
      <c r="I107" s="353">
        <v>0</v>
      </c>
      <c r="J107">
        <v>16</v>
      </c>
      <c r="K107" t="s">
        <v>12</v>
      </c>
    </row>
    <row r="108" spans="1:11" ht="12.5">
      <c r="A108" t="s">
        <v>71</v>
      </c>
      <c r="B108" t="s">
        <v>21</v>
      </c>
      <c r="C108" t="s">
        <v>12</v>
      </c>
      <c r="E108" t="s">
        <v>41</v>
      </c>
      <c r="F108">
        <v>95</v>
      </c>
      <c r="G108">
        <v>64</v>
      </c>
      <c r="H108">
        <v>31</v>
      </c>
      <c r="I108" s="353">
        <v>0.67368421052631577</v>
      </c>
      <c r="J108">
        <v>16</v>
      </c>
      <c r="K108" t="s">
        <v>12</v>
      </c>
    </row>
    <row r="109" spans="1:11" ht="12.5">
      <c r="A109" t="s">
        <v>71</v>
      </c>
      <c r="B109" t="s">
        <v>21</v>
      </c>
      <c r="C109" t="s">
        <v>12</v>
      </c>
      <c r="E109" t="s">
        <v>43</v>
      </c>
      <c r="F109">
        <v>0</v>
      </c>
      <c r="G109">
        <v>0</v>
      </c>
      <c r="H109">
        <v>0</v>
      </c>
      <c r="I109" s="353">
        <v>0</v>
      </c>
      <c r="J109">
        <v>16</v>
      </c>
      <c r="K109" t="s">
        <v>12</v>
      </c>
    </row>
    <row r="110" spans="1:11" ht="12.5">
      <c r="A110" t="s">
        <v>71</v>
      </c>
      <c r="B110" t="s">
        <v>21</v>
      </c>
      <c r="C110" t="s">
        <v>12</v>
      </c>
      <c r="E110" t="s">
        <v>45</v>
      </c>
      <c r="F110">
        <v>0</v>
      </c>
      <c r="G110">
        <v>2</v>
      </c>
      <c r="H110">
        <v>-2</v>
      </c>
      <c r="I110" s="353">
        <v>0</v>
      </c>
      <c r="J110">
        <v>16</v>
      </c>
      <c r="K110" t="s">
        <v>12</v>
      </c>
    </row>
    <row r="111" spans="1:11" ht="12.5">
      <c r="A111" t="s">
        <v>71</v>
      </c>
      <c r="B111" t="s">
        <v>21</v>
      </c>
      <c r="C111" t="s">
        <v>12</v>
      </c>
      <c r="E111" t="s">
        <v>47</v>
      </c>
      <c r="F111">
        <v>0</v>
      </c>
      <c r="G111">
        <v>0</v>
      </c>
      <c r="H111">
        <v>0</v>
      </c>
      <c r="I111" s="353">
        <v>0</v>
      </c>
      <c r="J111">
        <v>16</v>
      </c>
      <c r="K111" t="s">
        <v>12</v>
      </c>
    </row>
    <row r="112" spans="1:11" ht="12.5">
      <c r="A112" t="s">
        <v>71</v>
      </c>
      <c r="B112" t="s">
        <v>21</v>
      </c>
      <c r="C112" t="s">
        <v>12</v>
      </c>
      <c r="E112" t="s">
        <v>49</v>
      </c>
      <c r="F112">
        <v>0</v>
      </c>
      <c r="G112">
        <v>0</v>
      </c>
      <c r="H112">
        <v>0</v>
      </c>
      <c r="I112" s="353">
        <v>0</v>
      </c>
      <c r="J112">
        <v>16</v>
      </c>
      <c r="K112" t="s">
        <v>12</v>
      </c>
    </row>
    <row r="113" spans="1:11" ht="12.5">
      <c r="A113" t="s">
        <v>71</v>
      </c>
      <c r="B113" t="s">
        <v>21</v>
      </c>
      <c r="C113" t="s">
        <v>12</v>
      </c>
      <c r="E113" t="s">
        <v>51</v>
      </c>
      <c r="F113">
        <v>0</v>
      </c>
      <c r="G113">
        <v>0</v>
      </c>
      <c r="H113">
        <v>0</v>
      </c>
      <c r="I113" s="353">
        <v>0</v>
      </c>
      <c r="J113">
        <v>16</v>
      </c>
      <c r="K113" t="s">
        <v>12</v>
      </c>
    </row>
    <row r="114" spans="1:11" ht="12.5">
      <c r="A114" t="s">
        <v>68</v>
      </c>
      <c r="B114" t="s">
        <v>13</v>
      </c>
      <c r="C114" t="s">
        <v>12</v>
      </c>
      <c r="E114" t="s">
        <v>36</v>
      </c>
      <c r="F114">
        <v>47</v>
      </c>
      <c r="G114">
        <v>20</v>
      </c>
      <c r="H114">
        <v>27</v>
      </c>
      <c r="I114" s="353">
        <v>0.42553191489361702</v>
      </c>
      <c r="J114">
        <v>17</v>
      </c>
      <c r="K114" t="s">
        <v>12</v>
      </c>
    </row>
    <row r="115" spans="1:11" ht="12.5">
      <c r="A115" t="s">
        <v>68</v>
      </c>
      <c r="B115" t="s">
        <v>13</v>
      </c>
      <c r="C115" t="s">
        <v>12</v>
      </c>
      <c r="E115" t="s">
        <v>39</v>
      </c>
      <c r="F115">
        <v>10</v>
      </c>
      <c r="G115">
        <v>0</v>
      </c>
      <c r="H115">
        <v>10</v>
      </c>
      <c r="I115" s="353">
        <v>0</v>
      </c>
      <c r="J115">
        <v>17</v>
      </c>
      <c r="K115" t="s">
        <v>12</v>
      </c>
    </row>
    <row r="116" spans="1:11" ht="12.5">
      <c r="A116" t="s">
        <v>68</v>
      </c>
      <c r="B116" t="s">
        <v>13</v>
      </c>
      <c r="C116" t="s">
        <v>12</v>
      </c>
      <c r="E116" t="s">
        <v>41</v>
      </c>
      <c r="F116">
        <v>85</v>
      </c>
      <c r="G116">
        <v>28</v>
      </c>
      <c r="H116">
        <v>57</v>
      </c>
      <c r="I116" s="353">
        <v>0.32941176470588235</v>
      </c>
      <c r="J116">
        <v>17</v>
      </c>
      <c r="K116" t="s">
        <v>12</v>
      </c>
    </row>
    <row r="117" spans="1:11" ht="12.5">
      <c r="A117" t="s">
        <v>68</v>
      </c>
      <c r="B117" t="s">
        <v>13</v>
      </c>
      <c r="C117" t="s">
        <v>12</v>
      </c>
      <c r="E117" t="s">
        <v>43</v>
      </c>
      <c r="F117">
        <v>0</v>
      </c>
      <c r="G117">
        <v>0</v>
      </c>
      <c r="H117">
        <v>0</v>
      </c>
      <c r="I117" s="353">
        <v>0</v>
      </c>
      <c r="J117">
        <v>17</v>
      </c>
      <c r="K117" t="s">
        <v>12</v>
      </c>
    </row>
    <row r="118" spans="1:11" ht="12.5">
      <c r="A118" t="s">
        <v>68</v>
      </c>
      <c r="B118" t="s">
        <v>13</v>
      </c>
      <c r="C118" t="s">
        <v>12</v>
      </c>
      <c r="E118" t="s">
        <v>45</v>
      </c>
      <c r="F118">
        <v>0</v>
      </c>
      <c r="G118">
        <v>0</v>
      </c>
      <c r="H118">
        <v>0</v>
      </c>
      <c r="I118" s="353">
        <v>0</v>
      </c>
      <c r="J118">
        <v>17</v>
      </c>
      <c r="K118" t="s">
        <v>12</v>
      </c>
    </row>
    <row r="119" spans="1:11" ht="12.5">
      <c r="A119" t="s">
        <v>68</v>
      </c>
      <c r="B119" t="s">
        <v>13</v>
      </c>
      <c r="C119" t="s">
        <v>12</v>
      </c>
      <c r="E119" t="s">
        <v>47</v>
      </c>
      <c r="F119">
        <v>0</v>
      </c>
      <c r="G119">
        <v>0</v>
      </c>
      <c r="H119">
        <v>0</v>
      </c>
      <c r="I119" s="353">
        <v>0</v>
      </c>
      <c r="J119">
        <v>17</v>
      </c>
      <c r="K119" t="s">
        <v>12</v>
      </c>
    </row>
    <row r="120" spans="1:11" ht="12.5">
      <c r="A120" t="s">
        <v>68</v>
      </c>
      <c r="B120" t="s">
        <v>13</v>
      </c>
      <c r="C120" t="s">
        <v>12</v>
      </c>
      <c r="E120" t="s">
        <v>49</v>
      </c>
      <c r="F120">
        <v>0</v>
      </c>
      <c r="G120">
        <v>0</v>
      </c>
      <c r="H120">
        <v>0</v>
      </c>
      <c r="I120" s="353">
        <v>0</v>
      </c>
      <c r="J120">
        <v>17</v>
      </c>
      <c r="K120" t="s">
        <v>12</v>
      </c>
    </row>
    <row r="121" spans="1:11" ht="12.5">
      <c r="A121" t="s">
        <v>68</v>
      </c>
      <c r="B121" t="s">
        <v>13</v>
      </c>
      <c r="C121" t="s">
        <v>12</v>
      </c>
      <c r="E121" t="s">
        <v>51</v>
      </c>
      <c r="F121">
        <v>0</v>
      </c>
      <c r="G121">
        <v>0</v>
      </c>
      <c r="H121">
        <v>0</v>
      </c>
      <c r="I121" s="353">
        <v>0</v>
      </c>
      <c r="J121">
        <v>17</v>
      </c>
      <c r="K121" t="s">
        <v>12</v>
      </c>
    </row>
    <row r="122" spans="1:11" ht="12.5">
      <c r="A122" t="s">
        <v>72</v>
      </c>
      <c r="B122" t="s">
        <v>22</v>
      </c>
      <c r="C122" t="s">
        <v>12</v>
      </c>
      <c r="E122" t="s">
        <v>36</v>
      </c>
      <c r="F122">
        <v>16</v>
      </c>
      <c r="G122">
        <v>32</v>
      </c>
      <c r="H122">
        <v>-16</v>
      </c>
      <c r="I122" s="353">
        <v>2</v>
      </c>
      <c r="J122">
        <v>18</v>
      </c>
      <c r="K122" t="s">
        <v>12</v>
      </c>
    </row>
    <row r="123" spans="1:11" ht="12.5">
      <c r="A123" t="s">
        <v>72</v>
      </c>
      <c r="B123" t="s">
        <v>22</v>
      </c>
      <c r="C123" t="s">
        <v>12</v>
      </c>
      <c r="E123" t="s">
        <v>39</v>
      </c>
      <c r="F123">
        <v>0</v>
      </c>
      <c r="G123">
        <v>0</v>
      </c>
      <c r="H123">
        <v>0</v>
      </c>
      <c r="I123" s="353">
        <v>0</v>
      </c>
      <c r="J123">
        <v>18</v>
      </c>
      <c r="K123" t="s">
        <v>12</v>
      </c>
    </row>
    <row r="124" spans="1:11" ht="12.5">
      <c r="A124" t="s">
        <v>72</v>
      </c>
      <c r="B124" t="s">
        <v>22</v>
      </c>
      <c r="C124" t="s">
        <v>12</v>
      </c>
      <c r="E124" t="s">
        <v>41</v>
      </c>
      <c r="F124">
        <v>60</v>
      </c>
      <c r="G124">
        <v>65</v>
      </c>
      <c r="H124">
        <v>-5</v>
      </c>
      <c r="I124" s="353">
        <v>1.0833333333333333</v>
      </c>
      <c r="J124">
        <v>18</v>
      </c>
      <c r="K124" t="s">
        <v>12</v>
      </c>
    </row>
    <row r="125" spans="1:11" ht="12.5">
      <c r="A125" t="s">
        <v>72</v>
      </c>
      <c r="B125" t="s">
        <v>22</v>
      </c>
      <c r="C125" t="s">
        <v>12</v>
      </c>
      <c r="E125" t="s">
        <v>43</v>
      </c>
      <c r="F125">
        <v>0</v>
      </c>
      <c r="G125">
        <v>0</v>
      </c>
      <c r="H125">
        <v>0</v>
      </c>
      <c r="I125" s="353">
        <v>0</v>
      </c>
      <c r="J125">
        <v>18</v>
      </c>
      <c r="K125" t="s">
        <v>12</v>
      </c>
    </row>
    <row r="126" spans="1:11" ht="12.5">
      <c r="A126" t="s">
        <v>72</v>
      </c>
      <c r="B126" t="s">
        <v>22</v>
      </c>
      <c r="C126" t="s">
        <v>12</v>
      </c>
      <c r="E126" t="s">
        <v>45</v>
      </c>
      <c r="F126">
        <v>0</v>
      </c>
      <c r="G126">
        <v>0</v>
      </c>
      <c r="H126">
        <v>0</v>
      </c>
      <c r="I126" s="353">
        <v>0</v>
      </c>
      <c r="J126">
        <v>18</v>
      </c>
      <c r="K126" t="s">
        <v>12</v>
      </c>
    </row>
    <row r="127" spans="1:11" ht="12.5">
      <c r="A127" t="s">
        <v>72</v>
      </c>
      <c r="B127" t="s">
        <v>22</v>
      </c>
      <c r="C127" t="s">
        <v>12</v>
      </c>
      <c r="E127" t="s">
        <v>47</v>
      </c>
      <c r="F127">
        <v>0</v>
      </c>
      <c r="G127">
        <v>0</v>
      </c>
      <c r="H127">
        <v>0</v>
      </c>
      <c r="I127" s="353">
        <v>0</v>
      </c>
      <c r="J127">
        <v>18</v>
      </c>
      <c r="K127" t="s">
        <v>12</v>
      </c>
    </row>
    <row r="128" spans="1:11" ht="12.5">
      <c r="A128" t="s">
        <v>72</v>
      </c>
      <c r="B128" t="s">
        <v>22</v>
      </c>
      <c r="C128" t="s">
        <v>12</v>
      </c>
      <c r="E128" t="s">
        <v>49</v>
      </c>
      <c r="F128">
        <v>0</v>
      </c>
      <c r="G128">
        <v>0</v>
      </c>
      <c r="H128">
        <v>0</v>
      </c>
      <c r="I128" s="353">
        <v>0</v>
      </c>
      <c r="J128">
        <v>18</v>
      </c>
      <c r="K128" t="s">
        <v>12</v>
      </c>
    </row>
    <row r="129" spans="1:11" ht="12.5">
      <c r="A129" t="s">
        <v>72</v>
      </c>
      <c r="B129" t="s">
        <v>22</v>
      </c>
      <c r="C129" t="s">
        <v>12</v>
      </c>
      <c r="E129" t="s">
        <v>51</v>
      </c>
      <c r="F129">
        <v>0</v>
      </c>
      <c r="G129">
        <v>0</v>
      </c>
      <c r="H129">
        <v>0</v>
      </c>
      <c r="I129" s="353">
        <v>0</v>
      </c>
      <c r="J129">
        <v>18</v>
      </c>
      <c r="K129" t="s">
        <v>12</v>
      </c>
    </row>
    <row r="130" spans="1:11" ht="12.5">
      <c r="A130" t="s">
        <v>70</v>
      </c>
      <c r="B130" t="s">
        <v>14</v>
      </c>
      <c r="C130" t="s">
        <v>12</v>
      </c>
      <c r="E130" t="s">
        <v>36</v>
      </c>
      <c r="F130">
        <v>91</v>
      </c>
      <c r="G130">
        <v>82</v>
      </c>
      <c r="H130">
        <v>9</v>
      </c>
      <c r="I130" s="353">
        <v>0.90109890109890112</v>
      </c>
      <c r="J130">
        <v>19</v>
      </c>
      <c r="K130" t="s">
        <v>12</v>
      </c>
    </row>
    <row r="131" spans="1:11" ht="12.5">
      <c r="A131" t="s">
        <v>70</v>
      </c>
      <c r="B131" t="s">
        <v>14</v>
      </c>
      <c r="C131" t="s">
        <v>12</v>
      </c>
      <c r="E131" t="s">
        <v>39</v>
      </c>
      <c r="F131">
        <v>0</v>
      </c>
      <c r="G131">
        <v>0</v>
      </c>
      <c r="H131">
        <v>0</v>
      </c>
      <c r="I131" s="353">
        <v>0</v>
      </c>
      <c r="J131">
        <v>19</v>
      </c>
      <c r="K131" t="s">
        <v>12</v>
      </c>
    </row>
    <row r="132" spans="1:11" ht="12.5">
      <c r="A132" t="s">
        <v>70</v>
      </c>
      <c r="B132" t="s">
        <v>14</v>
      </c>
      <c r="C132" t="s">
        <v>12</v>
      </c>
      <c r="E132" t="s">
        <v>41</v>
      </c>
      <c r="F132">
        <v>0</v>
      </c>
      <c r="G132">
        <v>0</v>
      </c>
      <c r="H132">
        <v>0</v>
      </c>
      <c r="I132" s="353">
        <v>0</v>
      </c>
      <c r="J132">
        <v>19</v>
      </c>
      <c r="K132" t="s">
        <v>12</v>
      </c>
    </row>
    <row r="133" spans="1:11" ht="12.5">
      <c r="A133" t="s">
        <v>70</v>
      </c>
      <c r="B133" t="s">
        <v>14</v>
      </c>
      <c r="C133" t="s">
        <v>12</v>
      </c>
      <c r="E133" t="s">
        <v>43</v>
      </c>
      <c r="F133">
        <v>0</v>
      </c>
      <c r="G133">
        <v>0</v>
      </c>
      <c r="H133">
        <v>0</v>
      </c>
      <c r="I133" s="353">
        <v>0</v>
      </c>
      <c r="J133">
        <v>19</v>
      </c>
      <c r="K133" t="s">
        <v>12</v>
      </c>
    </row>
    <row r="134" spans="1:11" ht="12.5">
      <c r="A134" t="s">
        <v>70</v>
      </c>
      <c r="B134" t="s">
        <v>14</v>
      </c>
      <c r="C134" t="s">
        <v>12</v>
      </c>
      <c r="E134" t="s">
        <v>45</v>
      </c>
      <c r="F134">
        <v>0</v>
      </c>
      <c r="G134">
        <v>0</v>
      </c>
      <c r="H134">
        <v>0</v>
      </c>
      <c r="I134" s="353">
        <v>0</v>
      </c>
      <c r="J134">
        <v>19</v>
      </c>
      <c r="K134" t="s">
        <v>12</v>
      </c>
    </row>
    <row r="135" spans="1:11" ht="12.5">
      <c r="A135" t="s">
        <v>70</v>
      </c>
      <c r="B135" t="s">
        <v>14</v>
      </c>
      <c r="C135" t="s">
        <v>12</v>
      </c>
      <c r="E135" t="s">
        <v>47</v>
      </c>
      <c r="F135">
        <v>0</v>
      </c>
      <c r="G135">
        <v>0</v>
      </c>
      <c r="H135">
        <v>0</v>
      </c>
      <c r="I135" s="353">
        <v>0</v>
      </c>
      <c r="J135">
        <v>19</v>
      </c>
      <c r="K135" t="s">
        <v>12</v>
      </c>
    </row>
    <row r="136" spans="1:11" ht="12.5">
      <c r="A136" t="s">
        <v>70</v>
      </c>
      <c r="B136" t="s">
        <v>14</v>
      </c>
      <c r="C136" t="s">
        <v>12</v>
      </c>
      <c r="E136" t="s">
        <v>49</v>
      </c>
      <c r="F136">
        <v>0</v>
      </c>
      <c r="G136">
        <v>0</v>
      </c>
      <c r="H136">
        <v>0</v>
      </c>
      <c r="I136" s="353">
        <v>0</v>
      </c>
      <c r="J136">
        <v>19</v>
      </c>
      <c r="K136" t="s">
        <v>12</v>
      </c>
    </row>
    <row r="137" spans="1:11" ht="12.5">
      <c r="A137" t="s">
        <v>70</v>
      </c>
      <c r="B137" t="s">
        <v>14</v>
      </c>
      <c r="C137" t="s">
        <v>12</v>
      </c>
      <c r="E137" t="s">
        <v>51</v>
      </c>
      <c r="F137">
        <v>0</v>
      </c>
      <c r="G137">
        <v>0</v>
      </c>
      <c r="H137">
        <v>0</v>
      </c>
      <c r="I137" s="353">
        <v>0</v>
      </c>
      <c r="J137">
        <v>19</v>
      </c>
      <c r="K137" t="s">
        <v>12</v>
      </c>
    </row>
  </sheetData>
  <pageMargins left="0.70000000000000007" right="0.70000000000000007" top="0.75" bottom="0.75" header="0.30000000000000004" footer="0.30000000000000004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3A8FA-B942-40CC-BB2A-E37922E3D078}">
  <dimension ref="A1:B21"/>
  <sheetViews>
    <sheetView workbookViewId="0"/>
  </sheetViews>
  <sheetFormatPr defaultRowHeight="12.65"/>
  <cols>
    <col min="1" max="1" width="31.1796875" style="356" customWidth="1"/>
    <col min="2" max="2" width="72.90625" style="356" customWidth="1"/>
    <col min="3" max="3" width="8.7265625" customWidth="1"/>
  </cols>
  <sheetData>
    <row r="1" spans="1:2" ht="13">
      <c r="A1" s="354" t="s">
        <v>1939</v>
      </c>
      <c r="B1" s="354" t="s">
        <v>1940</v>
      </c>
    </row>
    <row r="2" spans="1:2" ht="13">
      <c r="A2" s="355"/>
      <c r="B2" s="355"/>
    </row>
    <row r="3" spans="1:2" ht="13">
      <c r="A3" s="355" t="s">
        <v>1941</v>
      </c>
      <c r="B3" s="355" t="s">
        <v>130</v>
      </c>
    </row>
    <row r="4" spans="1:2" ht="26">
      <c r="A4" s="355" t="s">
        <v>1942</v>
      </c>
      <c r="B4" s="355" t="s">
        <v>1943</v>
      </c>
    </row>
    <row r="5" spans="1:2" ht="26">
      <c r="A5" s="355" t="s">
        <v>1944</v>
      </c>
      <c r="B5" s="355" t="s">
        <v>1945</v>
      </c>
    </row>
    <row r="6" spans="1:2" ht="13">
      <c r="A6" s="355" t="s">
        <v>1946</v>
      </c>
      <c r="B6" s="355" t="s">
        <v>1947</v>
      </c>
    </row>
    <row r="7" spans="1:2" ht="26">
      <c r="A7" s="355" t="s">
        <v>1948</v>
      </c>
      <c r="B7" s="355" t="s">
        <v>1949</v>
      </c>
    </row>
    <row r="8" spans="1:2" ht="13">
      <c r="A8" s="355"/>
      <c r="B8" s="355"/>
    </row>
    <row r="9" spans="1:2" ht="13">
      <c r="A9" s="355" t="s">
        <v>1950</v>
      </c>
      <c r="B9" s="355"/>
    </row>
    <row r="10" spans="1:2" ht="13">
      <c r="A10" s="355" t="s">
        <v>15</v>
      </c>
      <c r="B10" s="355" t="s">
        <v>1951</v>
      </c>
    </row>
    <row r="11" spans="1:2" ht="13">
      <c r="A11" s="355" t="s">
        <v>1952</v>
      </c>
      <c r="B11" s="355" t="s">
        <v>1953</v>
      </c>
    </row>
    <row r="12" spans="1:2" ht="13">
      <c r="A12" s="355" t="s">
        <v>1894</v>
      </c>
      <c r="B12" s="355" t="s">
        <v>1954</v>
      </c>
    </row>
    <row r="13" spans="1:2" ht="13">
      <c r="A13" s="355" t="s">
        <v>17</v>
      </c>
      <c r="B13" s="355" t="s">
        <v>1955</v>
      </c>
    </row>
    <row r="14" spans="1:2" ht="26">
      <c r="A14" s="355" t="s">
        <v>19</v>
      </c>
      <c r="B14" s="355" t="s">
        <v>1956</v>
      </c>
    </row>
    <row r="15" spans="1:2" ht="26">
      <c r="A15" s="355" t="s">
        <v>20</v>
      </c>
      <c r="B15" s="355" t="s">
        <v>1957</v>
      </c>
    </row>
    <row r="16" spans="1:2" ht="26">
      <c r="A16" s="355" t="s">
        <v>1958</v>
      </c>
      <c r="B16" s="355" t="s">
        <v>1959</v>
      </c>
    </row>
    <row r="17" spans="1:2" ht="26">
      <c r="A17" s="355" t="s">
        <v>1960</v>
      </c>
      <c r="B17" s="355" t="s">
        <v>1961</v>
      </c>
    </row>
    <row r="18" spans="1:2" ht="13">
      <c r="A18" s="355"/>
      <c r="B18" s="355"/>
    </row>
    <row r="19" spans="1:2" ht="52">
      <c r="A19" s="355" t="s">
        <v>1962</v>
      </c>
      <c r="B19" s="355" t="s">
        <v>1963</v>
      </c>
    </row>
    <row r="20" spans="1:2" ht="39">
      <c r="A20" s="355" t="s">
        <v>1964</v>
      </c>
      <c r="B20" s="355" t="s">
        <v>1965</v>
      </c>
    </row>
    <row r="21" spans="1:2" ht="26">
      <c r="A21" s="355" t="s">
        <v>1966</v>
      </c>
      <c r="B21" s="355" t="s">
        <v>1967</v>
      </c>
    </row>
  </sheetData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Dashboard</vt:lpstr>
      <vt:lpstr>Summary</vt:lpstr>
      <vt:lpstr>Domestic</vt:lpstr>
      <vt:lpstr>INT-_Manjiri</vt:lpstr>
      <vt:lpstr>USA-_Sea_shipment</vt:lpstr>
      <vt:lpstr>MENA</vt:lpstr>
      <vt:lpstr>Amazon_USA_Sea</vt:lpstr>
      <vt:lpstr>USA_Air_Shipment</vt:lpstr>
      <vt:lpstr>Amazon_USA_Air_Shipment</vt:lpstr>
      <vt:lpstr>BMM_Order</vt:lpstr>
      <vt:lpstr>Adhoc-_Backlog</vt:lpstr>
      <vt:lpstr>UK</vt:lpstr>
      <vt:lpstr>Projection_</vt:lpstr>
      <vt:lpstr>Production_(KG)</vt:lpstr>
      <vt:lpstr>Box_Packing</vt:lpstr>
      <vt:lpstr>Report</vt:lpstr>
      <vt:lpstr>Raw_Data</vt:lpstr>
      <vt:lpstr>Reports</vt:lpstr>
      <vt:lpstr>BI_Data</vt:lpstr>
      <vt:lpstr>BI_Channel</vt:lpstr>
      <vt:lpstr>BI_ReadMe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dc:description/>
  <cp:lastModifiedBy>Shekhar Sonawane</cp:lastModifiedBy>
  <dcterms:created xsi:type="dcterms:W3CDTF">2026-06-07T04:05:21Z</dcterms:created>
  <dcterms:modified xsi:type="dcterms:W3CDTF">2026-09-28T12:32:12Z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0x010100F5D152B4464E984C83A542677C553DFD</vt:lpwstr>
  </property>
</Properties>
</file>